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BuÇalışmaKitabı3"/>
  <mc:AlternateContent xmlns:mc="http://schemas.openxmlformats.org/markup-compatibility/2006">
    <mc:Choice Requires="x15">
      <x15ac:absPath xmlns:x15ac="http://schemas.microsoft.com/office/spreadsheetml/2010/11/ac" url="C:\Users\ismail.kaya\Downloads\COSHH 130426\"/>
    </mc:Choice>
  </mc:AlternateContent>
  <xr:revisionPtr revIDLastSave="0" documentId="8_{0EC0F310-EDC0-4527-8440-D31EB5E24ACD}" xr6:coauthVersionLast="47" xr6:coauthVersionMax="47" xr10:uidLastSave="{00000000-0000-0000-0000-000000000000}"/>
  <bookViews>
    <workbookView xWindow="6060" yWindow="7425" windowWidth="21600" windowHeight="11295" tabRatio="500" xr2:uid="{00000000-000D-0000-FFFF-FFFF00000000}"/>
  </bookViews>
  <sheets>
    <sheet name="COSHH" sheetId="1" r:id="rId1"/>
    <sheet name="DB" sheetId="2" r:id="rId2"/>
    <sheet name="FORM" sheetId="3" r:id="rId3"/>
    <sheet name="Sayfa1" sheetId="4" state="hidden" r:id="rId4"/>
  </sheets>
  <functionGroups builtInGroupCount="19"/>
  <definedNames>
    <definedName name="_xlnm._FilterDatabase" localSheetId="0" hidden="1">COSHH!$A$16:$AG$188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90" i="1" l="1"/>
  <c r="N190" i="1"/>
  <c r="M190" i="1"/>
  <c r="V190" i="1" s="1"/>
  <c r="L190" i="1"/>
  <c r="K190" i="1"/>
  <c r="J190" i="1"/>
  <c r="I190" i="1"/>
  <c r="D190" i="1"/>
  <c r="A190" i="1"/>
  <c r="AD189" i="1"/>
  <c r="N189" i="1"/>
  <c r="M189" i="1"/>
  <c r="V189" i="1" s="1"/>
  <c r="L189" i="1"/>
  <c r="K189" i="1"/>
  <c r="J189" i="1"/>
  <c r="I189" i="1"/>
  <c r="D189" i="1"/>
  <c r="A189" i="1"/>
  <c r="AD188" i="1"/>
  <c r="N188" i="1"/>
  <c r="M188" i="1"/>
  <c r="V188" i="1" s="1"/>
  <c r="L188" i="1"/>
  <c r="K188" i="1"/>
  <c r="J188" i="1"/>
  <c r="I188" i="1"/>
  <c r="D188" i="1"/>
  <c r="A188" i="1"/>
  <c r="AD187" i="1"/>
  <c r="N187" i="1"/>
  <c r="M187" i="1"/>
  <c r="V187" i="1" s="1"/>
  <c r="L187" i="1"/>
  <c r="K187" i="1"/>
  <c r="J187" i="1"/>
  <c r="I187" i="1"/>
  <c r="D187" i="1"/>
  <c r="A187" i="1"/>
  <c r="AD186" i="1"/>
  <c r="N186" i="1"/>
  <c r="M186" i="1"/>
  <c r="V186" i="1" s="1"/>
  <c r="L186" i="1"/>
  <c r="K186" i="1"/>
  <c r="J186" i="1"/>
  <c r="I186" i="1"/>
  <c r="D186" i="1"/>
  <c r="A186" i="1"/>
  <c r="AD185" i="1"/>
  <c r="N185" i="1"/>
  <c r="M185" i="1"/>
  <c r="V185" i="1" s="1"/>
  <c r="L185" i="1"/>
  <c r="K185" i="1"/>
  <c r="J185" i="1"/>
  <c r="I185" i="1"/>
  <c r="D185" i="1"/>
  <c r="A185" i="1"/>
  <c r="AD184" i="1"/>
  <c r="N184" i="1"/>
  <c r="M184" i="1"/>
  <c r="V184" i="1" s="1"/>
  <c r="L184" i="1"/>
  <c r="K184" i="1"/>
  <c r="J184" i="1"/>
  <c r="I184" i="1"/>
  <c r="D184" i="1"/>
  <c r="A184" i="1"/>
  <c r="AD183" i="1"/>
  <c r="N183" i="1"/>
  <c r="M183" i="1"/>
  <c r="V183" i="1" s="1"/>
  <c r="L183" i="1"/>
  <c r="K183" i="1"/>
  <c r="J183" i="1"/>
  <c r="I183" i="1"/>
  <c r="D183" i="1"/>
  <c r="A183" i="1"/>
  <c r="AD182" i="1"/>
  <c r="N182" i="1"/>
  <c r="M182" i="1"/>
  <c r="V182" i="1" s="1"/>
  <c r="L182" i="1"/>
  <c r="K182" i="1"/>
  <c r="J182" i="1"/>
  <c r="I182" i="1"/>
  <c r="D182" i="1"/>
  <c r="A182" i="1"/>
  <c r="AD181" i="1"/>
  <c r="N181" i="1"/>
  <c r="M181" i="1"/>
  <c r="V181" i="1" s="1"/>
  <c r="L181" i="1"/>
  <c r="K181" i="1"/>
  <c r="J181" i="1"/>
  <c r="I181" i="1"/>
  <c r="D181" i="1"/>
  <c r="A181" i="1"/>
  <c r="AD180" i="1"/>
  <c r="N180" i="1"/>
  <c r="M180" i="1"/>
  <c r="V180" i="1" s="1"/>
  <c r="L180" i="1"/>
  <c r="K180" i="1"/>
  <c r="J180" i="1"/>
  <c r="I180" i="1"/>
  <c r="D180" i="1"/>
  <c r="A180" i="1"/>
  <c r="AD179" i="1"/>
  <c r="N179" i="1"/>
  <c r="M179" i="1"/>
  <c r="V179" i="1" s="1"/>
  <c r="L179" i="1"/>
  <c r="K179" i="1"/>
  <c r="J179" i="1"/>
  <c r="I179" i="1"/>
  <c r="D179" i="1"/>
  <c r="A179" i="1"/>
  <c r="AD178" i="1"/>
  <c r="N178" i="1"/>
  <c r="M178" i="1"/>
  <c r="V178" i="1" s="1"/>
  <c r="L178" i="1"/>
  <c r="K178" i="1"/>
  <c r="J178" i="1"/>
  <c r="I178" i="1"/>
  <c r="D178" i="1"/>
  <c r="A178" i="1"/>
  <c r="AD177" i="1"/>
  <c r="N177" i="1"/>
  <c r="M177" i="1"/>
  <c r="V177" i="1" s="1"/>
  <c r="L177" i="1"/>
  <c r="K177" i="1"/>
  <c r="J177" i="1"/>
  <c r="I177" i="1"/>
  <c r="D177" i="1"/>
  <c r="A177" i="1"/>
  <c r="AD176" i="1"/>
  <c r="N176" i="1"/>
  <c r="M176" i="1"/>
  <c r="V176" i="1" s="1"/>
  <c r="L176" i="1"/>
  <c r="K176" i="1"/>
  <c r="J176" i="1"/>
  <c r="I176" i="1"/>
  <c r="D176" i="1"/>
  <c r="A176" i="1"/>
  <c r="AD175" i="1"/>
  <c r="N175" i="1"/>
  <c r="M175" i="1"/>
  <c r="V175" i="1" s="1"/>
  <c r="L175" i="1"/>
  <c r="K175" i="1"/>
  <c r="J175" i="1"/>
  <c r="I175" i="1"/>
  <c r="D175" i="1"/>
  <c r="A175" i="1"/>
  <c r="AD174" i="1"/>
  <c r="N174" i="1"/>
  <c r="M174" i="1"/>
  <c r="V174" i="1" s="1"/>
  <c r="L174" i="1"/>
  <c r="K174" i="1"/>
  <c r="J174" i="1"/>
  <c r="I174" i="1"/>
  <c r="D174" i="1"/>
  <c r="A174" i="1"/>
  <c r="AD173" i="1"/>
  <c r="N173" i="1"/>
  <c r="M173" i="1"/>
  <c r="V173" i="1" s="1"/>
  <c r="L173" i="1"/>
  <c r="K173" i="1"/>
  <c r="J173" i="1"/>
  <c r="I173" i="1"/>
  <c r="D173" i="1"/>
  <c r="A173" i="1"/>
  <c r="AD172" i="1"/>
  <c r="N172" i="1"/>
  <c r="M172" i="1"/>
  <c r="V172" i="1" s="1"/>
  <c r="L172" i="1"/>
  <c r="K172" i="1"/>
  <c r="J172" i="1"/>
  <c r="I172" i="1"/>
  <c r="D172" i="1"/>
  <c r="A172" i="1"/>
  <c r="AD171" i="1"/>
  <c r="N171" i="1"/>
  <c r="M171" i="1"/>
  <c r="V171" i="1" s="1"/>
  <c r="L171" i="1"/>
  <c r="K171" i="1"/>
  <c r="J171" i="1"/>
  <c r="I171" i="1"/>
  <c r="D171" i="1"/>
  <c r="A171" i="1"/>
  <c r="AD170" i="1"/>
  <c r="N170" i="1"/>
  <c r="M170" i="1"/>
  <c r="V170" i="1" s="1"/>
  <c r="L170" i="1"/>
  <c r="K170" i="1"/>
  <c r="J170" i="1"/>
  <c r="I170" i="1"/>
  <c r="D170" i="1"/>
  <c r="A170" i="1"/>
  <c r="AD169" i="1"/>
  <c r="N169" i="1"/>
  <c r="M169" i="1"/>
  <c r="V169" i="1" s="1"/>
  <c r="L169" i="1"/>
  <c r="K169" i="1"/>
  <c r="J169" i="1"/>
  <c r="I169" i="1"/>
  <c r="D169" i="1"/>
  <c r="A169" i="1"/>
  <c r="AD168" i="1"/>
  <c r="N168" i="1"/>
  <c r="M168" i="1"/>
  <c r="V168" i="1" s="1"/>
  <c r="L168" i="1"/>
  <c r="K168" i="1"/>
  <c r="J168" i="1"/>
  <c r="I168" i="1"/>
  <c r="D168" i="1"/>
  <c r="A168" i="1"/>
  <c r="AD167" i="1"/>
  <c r="N167" i="1"/>
  <c r="M167" i="1"/>
  <c r="V167" i="1" s="1"/>
  <c r="L167" i="1"/>
  <c r="K167" i="1"/>
  <c r="J167" i="1"/>
  <c r="I167" i="1"/>
  <c r="D167" i="1"/>
  <c r="A167" i="1"/>
  <c r="AD166" i="1"/>
  <c r="N166" i="1"/>
  <c r="M166" i="1"/>
  <c r="V166" i="1" s="1"/>
  <c r="L166" i="1"/>
  <c r="K166" i="1"/>
  <c r="J166" i="1"/>
  <c r="I166" i="1"/>
  <c r="D166" i="1"/>
  <c r="A166" i="1"/>
  <c r="AD165" i="1"/>
  <c r="N165" i="1"/>
  <c r="M165" i="1"/>
  <c r="V165" i="1" s="1"/>
  <c r="L165" i="1"/>
  <c r="K165" i="1"/>
  <c r="J165" i="1"/>
  <c r="I165" i="1"/>
  <c r="D165" i="1"/>
  <c r="A165" i="1"/>
  <c r="AD164" i="1"/>
  <c r="N164" i="1"/>
  <c r="M164" i="1"/>
  <c r="V164" i="1" s="1"/>
  <c r="L164" i="1"/>
  <c r="K164" i="1"/>
  <c r="J164" i="1"/>
  <c r="I164" i="1"/>
  <c r="D164" i="1"/>
  <c r="A164" i="1"/>
  <c r="AD163" i="1"/>
  <c r="N163" i="1"/>
  <c r="M163" i="1"/>
  <c r="V163" i="1" s="1"/>
  <c r="L163" i="1"/>
  <c r="K163" i="1"/>
  <c r="J163" i="1"/>
  <c r="I163" i="1"/>
  <c r="D163" i="1"/>
  <c r="A163" i="1"/>
  <c r="AD162" i="1"/>
  <c r="N162" i="1"/>
  <c r="M162" i="1"/>
  <c r="V162" i="1" s="1"/>
  <c r="L162" i="1"/>
  <c r="K162" i="1"/>
  <c r="J162" i="1"/>
  <c r="I162" i="1"/>
  <c r="D162" i="1"/>
  <c r="A162" i="1"/>
  <c r="AD161" i="1"/>
  <c r="N161" i="1"/>
  <c r="M161" i="1"/>
  <c r="V161" i="1" s="1"/>
  <c r="L161" i="1"/>
  <c r="K161" i="1"/>
  <c r="J161" i="1"/>
  <c r="I161" i="1"/>
  <c r="D161" i="1"/>
  <c r="A161" i="1"/>
  <c r="AD160" i="1"/>
  <c r="N160" i="1"/>
  <c r="M160" i="1"/>
  <c r="V160" i="1" s="1"/>
  <c r="L160" i="1"/>
  <c r="K160" i="1"/>
  <c r="J160" i="1"/>
  <c r="I160" i="1"/>
  <c r="D160" i="1"/>
  <c r="A160" i="1"/>
  <c r="AD159" i="1"/>
  <c r="N159" i="1"/>
  <c r="M159" i="1"/>
  <c r="V159" i="1" s="1"/>
  <c r="L159" i="1"/>
  <c r="K159" i="1"/>
  <c r="J159" i="1"/>
  <c r="I159" i="1"/>
  <c r="D159" i="1"/>
  <c r="A159" i="1"/>
  <c r="AD158" i="1"/>
  <c r="N158" i="1"/>
  <c r="M158" i="1"/>
  <c r="V158" i="1" s="1"/>
  <c r="L158" i="1"/>
  <c r="K158" i="1"/>
  <c r="J158" i="1"/>
  <c r="I158" i="1"/>
  <c r="D158" i="1"/>
  <c r="A158" i="1"/>
  <c r="AD157" i="1"/>
  <c r="N157" i="1"/>
  <c r="M157" i="1"/>
  <c r="V157" i="1" s="1"/>
  <c r="L157" i="1"/>
  <c r="K157" i="1"/>
  <c r="J157" i="1"/>
  <c r="I157" i="1"/>
  <c r="D157" i="1"/>
  <c r="A157" i="1"/>
  <c r="AD156" i="1"/>
  <c r="N156" i="1"/>
  <c r="M156" i="1"/>
  <c r="V156" i="1" s="1"/>
  <c r="L156" i="1"/>
  <c r="K156" i="1"/>
  <c r="J156" i="1"/>
  <c r="I156" i="1"/>
  <c r="D156" i="1"/>
  <c r="A156" i="1"/>
  <c r="AD155" i="1"/>
  <c r="N155" i="1"/>
  <c r="M155" i="1"/>
  <c r="V155" i="1" s="1"/>
  <c r="L155" i="1"/>
  <c r="K155" i="1"/>
  <c r="J155" i="1"/>
  <c r="I155" i="1"/>
  <c r="D155" i="1"/>
  <c r="A155" i="1"/>
  <c r="AD154" i="1"/>
  <c r="N154" i="1"/>
  <c r="M154" i="1"/>
  <c r="V154" i="1" s="1"/>
  <c r="L154" i="1"/>
  <c r="K154" i="1"/>
  <c r="J154" i="1"/>
  <c r="I154" i="1"/>
  <c r="D154" i="1"/>
  <c r="A154" i="1"/>
  <c r="AD153" i="1"/>
  <c r="N153" i="1"/>
  <c r="M153" i="1"/>
  <c r="V153" i="1" s="1"/>
  <c r="L153" i="1"/>
  <c r="K153" i="1"/>
  <c r="J153" i="1"/>
  <c r="I153" i="1"/>
  <c r="D153" i="1"/>
  <c r="A153" i="1"/>
  <c r="AD152" i="1"/>
  <c r="N152" i="1"/>
  <c r="M152" i="1"/>
  <c r="V152" i="1" s="1"/>
  <c r="L152" i="1"/>
  <c r="K152" i="1"/>
  <c r="J152" i="1"/>
  <c r="I152" i="1"/>
  <c r="D152" i="1"/>
  <c r="A152" i="1"/>
  <c r="AD151" i="1"/>
  <c r="N151" i="1"/>
  <c r="M151" i="1"/>
  <c r="V151" i="1" s="1"/>
  <c r="L151" i="1"/>
  <c r="K151" i="1"/>
  <c r="J151" i="1"/>
  <c r="I151" i="1"/>
  <c r="D151" i="1"/>
  <c r="A151" i="1"/>
  <c r="AD150" i="1"/>
  <c r="N150" i="1"/>
  <c r="M150" i="1"/>
  <c r="V150" i="1" s="1"/>
  <c r="L150" i="1"/>
  <c r="K150" i="1"/>
  <c r="J150" i="1"/>
  <c r="I150" i="1"/>
  <c r="D150" i="1"/>
  <c r="A150" i="1"/>
  <c r="AD149" i="1"/>
  <c r="N149" i="1"/>
  <c r="M149" i="1"/>
  <c r="V149" i="1" s="1"/>
  <c r="L149" i="1"/>
  <c r="K149" i="1"/>
  <c r="J149" i="1"/>
  <c r="I149" i="1"/>
  <c r="D149" i="1"/>
  <c r="A149" i="1"/>
  <c r="AD148" i="1"/>
  <c r="N148" i="1"/>
  <c r="M148" i="1"/>
  <c r="V148" i="1" s="1"/>
  <c r="L148" i="1"/>
  <c r="K148" i="1"/>
  <c r="J148" i="1"/>
  <c r="I148" i="1"/>
  <c r="D148" i="1"/>
  <c r="A148" i="1"/>
  <c r="AD147" i="1"/>
  <c r="N147" i="1"/>
  <c r="M147" i="1"/>
  <c r="V147" i="1" s="1"/>
  <c r="L147" i="1"/>
  <c r="K147" i="1"/>
  <c r="J147" i="1"/>
  <c r="I147" i="1"/>
  <c r="D147" i="1"/>
  <c r="A147" i="1"/>
  <c r="AD146" i="1"/>
  <c r="N146" i="1"/>
  <c r="M146" i="1"/>
  <c r="V146" i="1" s="1"/>
  <c r="L146" i="1"/>
  <c r="K146" i="1"/>
  <c r="J146" i="1"/>
  <c r="I146" i="1"/>
  <c r="D146" i="1"/>
  <c r="A146" i="1"/>
  <c r="AD145" i="1"/>
  <c r="N145" i="1"/>
  <c r="M145" i="1"/>
  <c r="V145" i="1" s="1"/>
  <c r="L145" i="1"/>
  <c r="K145" i="1"/>
  <c r="J145" i="1"/>
  <c r="I145" i="1"/>
  <c r="D145" i="1"/>
  <c r="A145" i="1"/>
  <c r="AD144" i="1"/>
  <c r="N144" i="1"/>
  <c r="M144" i="1"/>
  <c r="V144" i="1" s="1"/>
  <c r="L144" i="1"/>
  <c r="K144" i="1"/>
  <c r="J144" i="1"/>
  <c r="I144" i="1"/>
  <c r="D144" i="1"/>
  <c r="A144" i="1"/>
  <c r="AD143" i="1"/>
  <c r="N143" i="1"/>
  <c r="M143" i="1"/>
  <c r="V143" i="1" s="1"/>
  <c r="L143" i="1"/>
  <c r="K143" i="1"/>
  <c r="J143" i="1"/>
  <c r="I143" i="1"/>
  <c r="D143" i="1"/>
  <c r="A143" i="1"/>
  <c r="AD142" i="1"/>
  <c r="N142" i="1"/>
  <c r="M142" i="1"/>
  <c r="V142" i="1" s="1"/>
  <c r="L142" i="1"/>
  <c r="K142" i="1"/>
  <c r="J142" i="1"/>
  <c r="I142" i="1"/>
  <c r="D142" i="1"/>
  <c r="A142" i="1"/>
  <c r="AD141" i="1"/>
  <c r="N141" i="1"/>
  <c r="M141" i="1"/>
  <c r="V141" i="1" s="1"/>
  <c r="L141" i="1"/>
  <c r="K141" i="1"/>
  <c r="J141" i="1"/>
  <c r="I141" i="1"/>
  <c r="D141" i="1"/>
  <c r="A141" i="1"/>
  <c r="AD140" i="1"/>
  <c r="N140" i="1"/>
  <c r="M140" i="1"/>
  <c r="V140" i="1" s="1"/>
  <c r="L140" i="1"/>
  <c r="K140" i="1"/>
  <c r="J140" i="1"/>
  <c r="I140" i="1"/>
  <c r="D140" i="1"/>
  <c r="A140" i="1"/>
  <c r="AD139" i="1"/>
  <c r="N139" i="1"/>
  <c r="M139" i="1"/>
  <c r="V139" i="1" s="1"/>
  <c r="L139" i="1"/>
  <c r="K139" i="1"/>
  <c r="J139" i="1"/>
  <c r="I139" i="1"/>
  <c r="D139" i="1"/>
  <c r="A139" i="1"/>
  <c r="AD138" i="1"/>
  <c r="N138" i="1"/>
  <c r="M138" i="1"/>
  <c r="V138" i="1" s="1"/>
  <c r="L138" i="1"/>
  <c r="K138" i="1"/>
  <c r="J138" i="1"/>
  <c r="I138" i="1"/>
  <c r="D138" i="1"/>
  <c r="A138" i="1"/>
  <c r="AD137" i="1"/>
  <c r="N137" i="1"/>
  <c r="M137" i="1"/>
  <c r="V137" i="1" s="1"/>
  <c r="L137" i="1"/>
  <c r="K137" i="1"/>
  <c r="J137" i="1"/>
  <c r="I137" i="1"/>
  <c r="D137" i="1"/>
  <c r="A137" i="1"/>
  <c r="AD136" i="1"/>
  <c r="N136" i="1"/>
  <c r="M136" i="1"/>
  <c r="V136" i="1" s="1"/>
  <c r="L136" i="1"/>
  <c r="K136" i="1"/>
  <c r="J136" i="1"/>
  <c r="I136" i="1"/>
  <c r="D136" i="1"/>
  <c r="A136" i="1"/>
  <c r="AD135" i="1"/>
  <c r="N135" i="1"/>
  <c r="M135" i="1"/>
  <c r="V135" i="1" s="1"/>
  <c r="L135" i="1"/>
  <c r="K135" i="1"/>
  <c r="J135" i="1"/>
  <c r="I135" i="1"/>
  <c r="D135" i="1"/>
  <c r="A135" i="1"/>
  <c r="AD134" i="1"/>
  <c r="N134" i="1"/>
  <c r="M134" i="1"/>
  <c r="V134" i="1" s="1"/>
  <c r="L134" i="1"/>
  <c r="K134" i="1"/>
  <c r="J134" i="1"/>
  <c r="I134" i="1"/>
  <c r="D134" i="1"/>
  <c r="A134" i="1"/>
  <c r="AD133" i="1"/>
  <c r="N133" i="1"/>
  <c r="M133" i="1"/>
  <c r="V133" i="1" s="1"/>
  <c r="L133" i="1"/>
  <c r="K133" i="1"/>
  <c r="J133" i="1"/>
  <c r="I133" i="1"/>
  <c r="D133" i="1"/>
  <c r="A133" i="1"/>
  <c r="AD132" i="1"/>
  <c r="N132" i="1"/>
  <c r="M132" i="1"/>
  <c r="V132" i="1" s="1"/>
  <c r="L132" i="1"/>
  <c r="K132" i="1"/>
  <c r="J132" i="1"/>
  <c r="I132" i="1"/>
  <c r="D132" i="1"/>
  <c r="A132" i="1"/>
  <c r="AD131" i="1"/>
  <c r="N131" i="1"/>
  <c r="M131" i="1"/>
  <c r="V131" i="1" s="1"/>
  <c r="L131" i="1"/>
  <c r="K131" i="1"/>
  <c r="J131" i="1"/>
  <c r="I131" i="1"/>
  <c r="D131" i="1"/>
  <c r="A131" i="1"/>
  <c r="AD130" i="1"/>
  <c r="N130" i="1"/>
  <c r="M130" i="1"/>
  <c r="V130" i="1" s="1"/>
  <c r="L130" i="1"/>
  <c r="K130" i="1"/>
  <c r="J130" i="1"/>
  <c r="I130" i="1"/>
  <c r="D130" i="1"/>
  <c r="A130" i="1"/>
  <c r="AD129" i="1"/>
  <c r="N129" i="1"/>
  <c r="M129" i="1"/>
  <c r="V129" i="1" s="1"/>
  <c r="L129" i="1"/>
  <c r="K129" i="1"/>
  <c r="J129" i="1"/>
  <c r="I129" i="1"/>
  <c r="D129" i="1"/>
  <c r="A129" i="1"/>
  <c r="AD128" i="1"/>
  <c r="N128" i="1"/>
  <c r="M128" i="1"/>
  <c r="V128" i="1" s="1"/>
  <c r="L128" i="1"/>
  <c r="K128" i="1"/>
  <c r="J128" i="1"/>
  <c r="I128" i="1"/>
  <c r="D128" i="1"/>
  <c r="A128" i="1"/>
  <c r="AD127" i="1"/>
  <c r="N127" i="1"/>
  <c r="M127" i="1"/>
  <c r="V127" i="1" s="1"/>
  <c r="L127" i="1"/>
  <c r="K127" i="1"/>
  <c r="J127" i="1"/>
  <c r="I127" i="1"/>
  <c r="D127" i="1"/>
  <c r="A127" i="1"/>
  <c r="AD126" i="1"/>
  <c r="N126" i="1"/>
  <c r="M126" i="1"/>
  <c r="V126" i="1" s="1"/>
  <c r="L126" i="1"/>
  <c r="K126" i="1"/>
  <c r="J126" i="1"/>
  <c r="I126" i="1"/>
  <c r="D126" i="1"/>
  <c r="A126" i="1"/>
  <c r="AD125" i="1"/>
  <c r="N125" i="1"/>
  <c r="M125" i="1"/>
  <c r="V125" i="1" s="1"/>
  <c r="L125" i="1"/>
  <c r="K125" i="1"/>
  <c r="J125" i="1"/>
  <c r="I125" i="1"/>
  <c r="D125" i="1"/>
  <c r="A125" i="1"/>
  <c r="AD124" i="1"/>
  <c r="N124" i="1"/>
  <c r="M124" i="1"/>
  <c r="V124" i="1" s="1"/>
  <c r="L124" i="1"/>
  <c r="K124" i="1"/>
  <c r="J124" i="1"/>
  <c r="I124" i="1"/>
  <c r="D124" i="1"/>
  <c r="A124" i="1"/>
  <c r="AD123" i="1"/>
  <c r="N123" i="1"/>
  <c r="M123" i="1"/>
  <c r="V123" i="1" s="1"/>
  <c r="L123" i="1"/>
  <c r="K123" i="1"/>
  <c r="J123" i="1"/>
  <c r="I123" i="1"/>
  <c r="D123" i="1"/>
  <c r="A123" i="1"/>
  <c r="AD122" i="1"/>
  <c r="N122" i="1"/>
  <c r="M122" i="1"/>
  <c r="V122" i="1" s="1"/>
  <c r="L122" i="1"/>
  <c r="K122" i="1"/>
  <c r="J122" i="1"/>
  <c r="I122" i="1"/>
  <c r="D122" i="1"/>
  <c r="A122" i="1"/>
  <c r="AD121" i="1"/>
  <c r="N121" i="1"/>
  <c r="M121" i="1"/>
  <c r="V121" i="1" s="1"/>
  <c r="L121" i="1"/>
  <c r="K121" i="1"/>
  <c r="J121" i="1"/>
  <c r="I121" i="1"/>
  <c r="D121" i="1"/>
  <c r="A121" i="1"/>
  <c r="AD120" i="1"/>
  <c r="N120" i="1"/>
  <c r="M120" i="1"/>
  <c r="V120" i="1" s="1"/>
  <c r="L120" i="1"/>
  <c r="K120" i="1"/>
  <c r="J120" i="1"/>
  <c r="I120" i="1"/>
  <c r="D120" i="1"/>
  <c r="A120" i="1"/>
  <c r="AD119" i="1"/>
  <c r="N119" i="1"/>
  <c r="M119" i="1"/>
  <c r="V119" i="1" s="1"/>
  <c r="L119" i="1"/>
  <c r="K119" i="1"/>
  <c r="J119" i="1"/>
  <c r="I119" i="1"/>
  <c r="D119" i="1"/>
  <c r="A119" i="1"/>
  <c r="AD118" i="1"/>
  <c r="N118" i="1"/>
  <c r="M118" i="1"/>
  <c r="V118" i="1" s="1"/>
  <c r="L118" i="1"/>
  <c r="K118" i="1"/>
  <c r="J118" i="1"/>
  <c r="I118" i="1"/>
  <c r="D118" i="1"/>
  <c r="A118" i="1"/>
  <c r="AD117" i="1"/>
  <c r="N117" i="1"/>
  <c r="M117" i="1"/>
  <c r="V117" i="1" s="1"/>
  <c r="L117" i="1"/>
  <c r="K117" i="1"/>
  <c r="J117" i="1"/>
  <c r="I117" i="1"/>
  <c r="D117" i="1"/>
  <c r="A117" i="1"/>
  <c r="AD116" i="1"/>
  <c r="N116" i="1"/>
  <c r="M116" i="1"/>
  <c r="V116" i="1" s="1"/>
  <c r="L116" i="1"/>
  <c r="K116" i="1"/>
  <c r="J116" i="1"/>
  <c r="I116" i="1"/>
  <c r="D116" i="1"/>
  <c r="A116" i="1"/>
  <c r="AD115" i="1"/>
  <c r="N115" i="1"/>
  <c r="M115" i="1"/>
  <c r="V115" i="1" s="1"/>
  <c r="L115" i="1"/>
  <c r="K115" i="1"/>
  <c r="J115" i="1"/>
  <c r="I115" i="1"/>
  <c r="D115" i="1"/>
  <c r="A115" i="1"/>
  <c r="AD114" i="1"/>
  <c r="N114" i="1"/>
  <c r="M114" i="1"/>
  <c r="V114" i="1" s="1"/>
  <c r="L114" i="1"/>
  <c r="K114" i="1"/>
  <c r="J114" i="1"/>
  <c r="I114" i="1"/>
  <c r="D114" i="1"/>
  <c r="A114" i="1"/>
  <c r="AD113" i="1"/>
  <c r="N113" i="1"/>
  <c r="M113" i="1"/>
  <c r="V113" i="1" s="1"/>
  <c r="L113" i="1"/>
  <c r="K113" i="1"/>
  <c r="J113" i="1"/>
  <c r="I113" i="1"/>
  <c r="D113" i="1"/>
  <c r="A113" i="1"/>
  <c r="AD112" i="1"/>
  <c r="N112" i="1"/>
  <c r="M112" i="1"/>
  <c r="V112" i="1" s="1"/>
  <c r="L112" i="1"/>
  <c r="K112" i="1"/>
  <c r="J112" i="1"/>
  <c r="I112" i="1"/>
  <c r="D112" i="1"/>
  <c r="A112" i="1"/>
  <c r="AD111" i="1"/>
  <c r="N111" i="1"/>
  <c r="M111" i="1"/>
  <c r="V111" i="1" s="1"/>
  <c r="L111" i="1"/>
  <c r="K111" i="1"/>
  <c r="J111" i="1"/>
  <c r="I111" i="1"/>
  <c r="D111" i="1"/>
  <c r="A111" i="1"/>
  <c r="AD110" i="1"/>
  <c r="N110" i="1"/>
  <c r="M110" i="1"/>
  <c r="V110" i="1" s="1"/>
  <c r="L110" i="1"/>
  <c r="K110" i="1"/>
  <c r="J110" i="1"/>
  <c r="I110" i="1"/>
  <c r="D110" i="1"/>
  <c r="A110" i="1"/>
  <c r="AD109" i="1"/>
  <c r="N109" i="1"/>
  <c r="M109" i="1"/>
  <c r="V109" i="1" s="1"/>
  <c r="L109" i="1"/>
  <c r="K109" i="1"/>
  <c r="J109" i="1"/>
  <c r="I109" i="1"/>
  <c r="D109" i="1"/>
  <c r="A109" i="1"/>
  <c r="AD108" i="1"/>
  <c r="N108" i="1"/>
  <c r="M108" i="1"/>
  <c r="V108" i="1" s="1"/>
  <c r="L108" i="1"/>
  <c r="K108" i="1"/>
  <c r="J108" i="1"/>
  <c r="I108" i="1"/>
  <c r="D108" i="1"/>
  <c r="A108" i="1"/>
  <c r="AD107" i="1"/>
  <c r="N107" i="1"/>
  <c r="M107" i="1"/>
  <c r="V107" i="1" s="1"/>
  <c r="L107" i="1"/>
  <c r="K107" i="1"/>
  <c r="J107" i="1"/>
  <c r="I107" i="1"/>
  <c r="D107" i="1"/>
  <c r="A107" i="1"/>
  <c r="AD106" i="1"/>
  <c r="N106" i="1"/>
  <c r="M106" i="1"/>
  <c r="V106" i="1" s="1"/>
  <c r="L106" i="1"/>
  <c r="K106" i="1"/>
  <c r="J106" i="1"/>
  <c r="I106" i="1"/>
  <c r="D106" i="1"/>
  <c r="A106" i="1"/>
  <c r="AD105" i="1"/>
  <c r="N105" i="1"/>
  <c r="M105" i="1"/>
  <c r="V105" i="1" s="1"/>
  <c r="L105" i="1"/>
  <c r="K105" i="1"/>
  <c r="J105" i="1"/>
  <c r="I105" i="1"/>
  <c r="D105" i="1"/>
  <c r="A105" i="1"/>
  <c r="AD104" i="1"/>
  <c r="N104" i="1"/>
  <c r="M104" i="1"/>
  <c r="V104" i="1" s="1"/>
  <c r="L104" i="1"/>
  <c r="K104" i="1"/>
  <c r="J104" i="1"/>
  <c r="I104" i="1"/>
  <c r="D104" i="1"/>
  <c r="A104" i="1"/>
  <c r="AD103" i="1"/>
  <c r="N103" i="1"/>
  <c r="M103" i="1"/>
  <c r="V103" i="1" s="1"/>
  <c r="L103" i="1"/>
  <c r="K103" i="1"/>
  <c r="J103" i="1"/>
  <c r="I103" i="1"/>
  <c r="D103" i="1"/>
  <c r="A103" i="1"/>
  <c r="AD102" i="1"/>
  <c r="N102" i="1"/>
  <c r="M102" i="1"/>
  <c r="V102" i="1" s="1"/>
  <c r="L102" i="1"/>
  <c r="K102" i="1"/>
  <c r="J102" i="1"/>
  <c r="I102" i="1"/>
  <c r="D102" i="1"/>
  <c r="A102" i="1"/>
  <c r="AD101" i="1"/>
  <c r="N101" i="1"/>
  <c r="M101" i="1"/>
  <c r="V101" i="1" s="1"/>
  <c r="L101" i="1"/>
  <c r="K101" i="1"/>
  <c r="J101" i="1"/>
  <c r="I101" i="1"/>
  <c r="D101" i="1"/>
  <c r="A101" i="1"/>
  <c r="AD100" i="1"/>
  <c r="N100" i="1"/>
  <c r="M100" i="1"/>
  <c r="V100" i="1" s="1"/>
  <c r="L100" i="1"/>
  <c r="K100" i="1"/>
  <c r="J100" i="1"/>
  <c r="I100" i="1"/>
  <c r="D100" i="1"/>
  <c r="A100" i="1"/>
  <c r="AD99" i="1"/>
  <c r="N99" i="1"/>
  <c r="M99" i="1"/>
  <c r="V99" i="1" s="1"/>
  <c r="L99" i="1"/>
  <c r="K99" i="1"/>
  <c r="J99" i="1"/>
  <c r="I99" i="1"/>
  <c r="D99" i="1"/>
  <c r="A99" i="1"/>
  <c r="AD98" i="1"/>
  <c r="N98" i="1"/>
  <c r="M98" i="1"/>
  <c r="V98" i="1" s="1"/>
  <c r="L98" i="1"/>
  <c r="K98" i="1"/>
  <c r="J98" i="1"/>
  <c r="I98" i="1"/>
  <c r="D98" i="1"/>
  <c r="A98" i="1"/>
  <c r="AD97" i="1"/>
  <c r="N97" i="1"/>
  <c r="M97" i="1"/>
  <c r="V97" i="1" s="1"/>
  <c r="L97" i="1"/>
  <c r="K97" i="1"/>
  <c r="J97" i="1"/>
  <c r="I97" i="1"/>
  <c r="D97" i="1"/>
  <c r="A97" i="1"/>
  <c r="AD96" i="1"/>
  <c r="N96" i="1"/>
  <c r="M96" i="1"/>
  <c r="V96" i="1" s="1"/>
  <c r="L96" i="1"/>
  <c r="K96" i="1"/>
  <c r="J96" i="1"/>
  <c r="I96" i="1"/>
  <c r="D96" i="1"/>
  <c r="A96" i="1"/>
  <c r="AD95" i="1"/>
  <c r="N95" i="1"/>
  <c r="M95" i="1"/>
  <c r="V95" i="1" s="1"/>
  <c r="L95" i="1"/>
  <c r="K95" i="1"/>
  <c r="J95" i="1"/>
  <c r="I95" i="1"/>
  <c r="D95" i="1"/>
  <c r="A95" i="1"/>
  <c r="AD94" i="1"/>
  <c r="N94" i="1"/>
  <c r="M94" i="1"/>
  <c r="V94" i="1" s="1"/>
  <c r="L94" i="1"/>
  <c r="K94" i="1"/>
  <c r="J94" i="1"/>
  <c r="I94" i="1"/>
  <c r="D94" i="1"/>
  <c r="A94" i="1"/>
  <c r="AD93" i="1"/>
  <c r="N93" i="1"/>
  <c r="M93" i="1"/>
  <c r="V93" i="1" s="1"/>
  <c r="L93" i="1"/>
  <c r="K93" i="1"/>
  <c r="J93" i="1"/>
  <c r="I93" i="1"/>
  <c r="D93" i="1"/>
  <c r="A93" i="1"/>
  <c r="AD92" i="1"/>
  <c r="N92" i="1"/>
  <c r="M92" i="1"/>
  <c r="V92" i="1" s="1"/>
  <c r="L92" i="1"/>
  <c r="K92" i="1"/>
  <c r="J92" i="1"/>
  <c r="I92" i="1"/>
  <c r="D92" i="1"/>
  <c r="A92" i="1"/>
  <c r="AD91" i="1"/>
  <c r="N91" i="1"/>
  <c r="M91" i="1"/>
  <c r="V91" i="1" s="1"/>
  <c r="L91" i="1"/>
  <c r="K91" i="1"/>
  <c r="J91" i="1"/>
  <c r="I91" i="1"/>
  <c r="D91" i="1"/>
  <c r="A91" i="1"/>
  <c r="AD90" i="1"/>
  <c r="N90" i="1"/>
  <c r="M90" i="1"/>
  <c r="V90" i="1" s="1"/>
  <c r="L90" i="1"/>
  <c r="K90" i="1"/>
  <c r="J90" i="1"/>
  <c r="I90" i="1"/>
  <c r="D90" i="1"/>
  <c r="A90" i="1"/>
  <c r="AD89" i="1"/>
  <c r="N89" i="1"/>
  <c r="M89" i="1"/>
  <c r="V89" i="1" s="1"/>
  <c r="L89" i="1"/>
  <c r="K89" i="1"/>
  <c r="J89" i="1"/>
  <c r="I89" i="1"/>
  <c r="D89" i="1"/>
  <c r="A89" i="1"/>
  <c r="AD88" i="1"/>
  <c r="N88" i="1"/>
  <c r="M88" i="1"/>
  <c r="V88" i="1" s="1"/>
  <c r="L88" i="1"/>
  <c r="K88" i="1"/>
  <c r="J88" i="1"/>
  <c r="I88" i="1"/>
  <c r="D88" i="1"/>
  <c r="A88" i="1"/>
  <c r="AD87" i="1"/>
  <c r="N87" i="1"/>
  <c r="M87" i="1"/>
  <c r="V87" i="1" s="1"/>
  <c r="L87" i="1"/>
  <c r="K87" i="1"/>
  <c r="J87" i="1"/>
  <c r="I87" i="1"/>
  <c r="D87" i="1"/>
  <c r="A87" i="1"/>
  <c r="AD86" i="1"/>
  <c r="N86" i="1"/>
  <c r="M86" i="1"/>
  <c r="V86" i="1" s="1"/>
  <c r="L86" i="1"/>
  <c r="K86" i="1"/>
  <c r="J86" i="1"/>
  <c r="I86" i="1"/>
  <c r="D86" i="1"/>
  <c r="A86" i="1"/>
  <c r="AD85" i="1"/>
  <c r="N85" i="1"/>
  <c r="M85" i="1"/>
  <c r="V85" i="1" s="1"/>
  <c r="L85" i="1"/>
  <c r="K85" i="1"/>
  <c r="J85" i="1"/>
  <c r="I85" i="1"/>
  <c r="D85" i="1"/>
  <c r="A85" i="1"/>
  <c r="AD84" i="1"/>
  <c r="N84" i="1"/>
  <c r="M84" i="1"/>
  <c r="V84" i="1" s="1"/>
  <c r="L84" i="1"/>
  <c r="K84" i="1"/>
  <c r="J84" i="1"/>
  <c r="I84" i="1"/>
  <c r="D84" i="1"/>
  <c r="A84" i="1"/>
  <c r="AD83" i="1"/>
  <c r="N83" i="1"/>
  <c r="M83" i="1"/>
  <c r="V83" i="1" s="1"/>
  <c r="L83" i="1"/>
  <c r="K83" i="1"/>
  <c r="J83" i="1"/>
  <c r="I83" i="1"/>
  <c r="D83" i="1"/>
  <c r="A83" i="1"/>
  <c r="AD82" i="1"/>
  <c r="N82" i="1"/>
  <c r="M82" i="1"/>
  <c r="V82" i="1" s="1"/>
  <c r="L82" i="1"/>
  <c r="K82" i="1"/>
  <c r="J82" i="1"/>
  <c r="I82" i="1"/>
  <c r="D82" i="1"/>
  <c r="A82" i="1"/>
  <c r="AD81" i="1"/>
  <c r="N81" i="1"/>
  <c r="M81" i="1"/>
  <c r="V81" i="1" s="1"/>
  <c r="L81" i="1"/>
  <c r="K81" i="1"/>
  <c r="J81" i="1"/>
  <c r="I81" i="1"/>
  <c r="D81" i="1"/>
  <c r="A81" i="1"/>
  <c r="AD80" i="1"/>
  <c r="N80" i="1"/>
  <c r="M80" i="1"/>
  <c r="V80" i="1" s="1"/>
  <c r="L80" i="1"/>
  <c r="K80" i="1"/>
  <c r="J80" i="1"/>
  <c r="I80" i="1"/>
  <c r="D80" i="1"/>
  <c r="A80" i="1"/>
  <c r="AD79" i="1"/>
  <c r="N79" i="1"/>
  <c r="M79" i="1"/>
  <c r="V79" i="1" s="1"/>
  <c r="L79" i="1"/>
  <c r="K79" i="1"/>
  <c r="J79" i="1"/>
  <c r="I79" i="1"/>
  <c r="D79" i="1"/>
  <c r="A79" i="1"/>
  <c r="AD78" i="1"/>
  <c r="N78" i="1"/>
  <c r="M78" i="1"/>
  <c r="V78" i="1" s="1"/>
  <c r="L78" i="1"/>
  <c r="K78" i="1"/>
  <c r="J78" i="1"/>
  <c r="I78" i="1"/>
  <c r="D78" i="1"/>
  <c r="A78" i="1"/>
  <c r="AD77" i="1"/>
  <c r="N77" i="1"/>
  <c r="M77" i="1"/>
  <c r="V77" i="1" s="1"/>
  <c r="L77" i="1"/>
  <c r="K77" i="1"/>
  <c r="J77" i="1"/>
  <c r="I77" i="1"/>
  <c r="D77" i="1"/>
  <c r="A77" i="1"/>
  <c r="AD76" i="1"/>
  <c r="N76" i="1"/>
  <c r="M76" i="1"/>
  <c r="V76" i="1" s="1"/>
  <c r="L76" i="1"/>
  <c r="K76" i="1"/>
  <c r="J76" i="1"/>
  <c r="I76" i="1"/>
  <c r="D76" i="1"/>
  <c r="A76" i="1"/>
  <c r="AD75" i="1"/>
  <c r="N75" i="1"/>
  <c r="M75" i="1"/>
  <c r="V75" i="1" s="1"/>
  <c r="L75" i="1"/>
  <c r="K75" i="1"/>
  <c r="J75" i="1"/>
  <c r="I75" i="1"/>
  <c r="D75" i="1"/>
  <c r="A75" i="1"/>
  <c r="AD74" i="1"/>
  <c r="N74" i="1"/>
  <c r="M74" i="1"/>
  <c r="V74" i="1" s="1"/>
  <c r="L74" i="1"/>
  <c r="K74" i="1"/>
  <c r="J74" i="1"/>
  <c r="I74" i="1"/>
  <c r="D74" i="1"/>
  <c r="A74" i="1"/>
  <c r="AD73" i="1"/>
  <c r="N73" i="1"/>
  <c r="M73" i="1"/>
  <c r="V73" i="1" s="1"/>
  <c r="L73" i="1"/>
  <c r="K73" i="1"/>
  <c r="J73" i="1"/>
  <c r="I73" i="1"/>
  <c r="D73" i="1"/>
  <c r="A73" i="1"/>
  <c r="AD72" i="1"/>
  <c r="N72" i="1"/>
  <c r="M72" i="1"/>
  <c r="V72" i="1" s="1"/>
  <c r="L72" i="1"/>
  <c r="K72" i="1"/>
  <c r="J72" i="1"/>
  <c r="I72" i="1"/>
  <c r="D72" i="1"/>
  <c r="A72" i="1"/>
  <c r="AD71" i="1"/>
  <c r="N71" i="1"/>
  <c r="M71" i="1"/>
  <c r="V71" i="1" s="1"/>
  <c r="L71" i="1"/>
  <c r="K71" i="1"/>
  <c r="J71" i="1"/>
  <c r="I71" i="1"/>
  <c r="D71" i="1"/>
  <c r="A71" i="1"/>
  <c r="AD70" i="1"/>
  <c r="N70" i="1"/>
  <c r="M70" i="1"/>
  <c r="V70" i="1" s="1"/>
  <c r="L70" i="1"/>
  <c r="K70" i="1"/>
  <c r="J70" i="1"/>
  <c r="I70" i="1"/>
  <c r="D70" i="1"/>
  <c r="A70" i="1"/>
  <c r="AD69" i="1"/>
  <c r="N69" i="1"/>
  <c r="M69" i="1"/>
  <c r="V69" i="1" s="1"/>
  <c r="L69" i="1"/>
  <c r="K69" i="1"/>
  <c r="J69" i="1"/>
  <c r="I69" i="1"/>
  <c r="D69" i="1"/>
  <c r="A69" i="1"/>
  <c r="AD68" i="1"/>
  <c r="N68" i="1"/>
  <c r="M68" i="1"/>
  <c r="V68" i="1" s="1"/>
  <c r="L68" i="1"/>
  <c r="K68" i="1"/>
  <c r="J68" i="1"/>
  <c r="I68" i="1"/>
  <c r="D68" i="1"/>
  <c r="A68" i="1"/>
  <c r="AD67" i="1"/>
  <c r="N67" i="1"/>
  <c r="M67" i="1"/>
  <c r="V67" i="1" s="1"/>
  <c r="L67" i="1"/>
  <c r="K67" i="1"/>
  <c r="J67" i="1"/>
  <c r="I67" i="1"/>
  <c r="D67" i="1"/>
  <c r="A67" i="1"/>
  <c r="AD66" i="1"/>
  <c r="N66" i="1"/>
  <c r="M66" i="1"/>
  <c r="V66" i="1" s="1"/>
  <c r="L66" i="1"/>
  <c r="K66" i="1"/>
  <c r="J66" i="1"/>
  <c r="I66" i="1"/>
  <c r="D66" i="1"/>
  <c r="A66" i="1"/>
  <c r="AD65" i="1"/>
  <c r="N65" i="1"/>
  <c r="M65" i="1"/>
  <c r="V65" i="1" s="1"/>
  <c r="L65" i="1"/>
  <c r="K65" i="1"/>
  <c r="J65" i="1"/>
  <c r="I65" i="1"/>
  <c r="D65" i="1"/>
  <c r="A65" i="1"/>
  <c r="AD64" i="1"/>
  <c r="N64" i="1"/>
  <c r="M64" i="1"/>
  <c r="V64" i="1" s="1"/>
  <c r="L64" i="1"/>
  <c r="K64" i="1"/>
  <c r="J64" i="1"/>
  <c r="I64" i="1"/>
  <c r="D64" i="1"/>
  <c r="A64" i="1"/>
  <c r="AD63" i="1"/>
  <c r="N63" i="1"/>
  <c r="M63" i="1"/>
  <c r="V63" i="1" s="1"/>
  <c r="L63" i="1"/>
  <c r="K63" i="1"/>
  <c r="J63" i="1"/>
  <c r="I63" i="1"/>
  <c r="D63" i="1"/>
  <c r="A63" i="1"/>
  <c r="AD62" i="1"/>
  <c r="N62" i="1"/>
  <c r="M62" i="1"/>
  <c r="V62" i="1" s="1"/>
  <c r="L62" i="1"/>
  <c r="K62" i="1"/>
  <c r="J62" i="1"/>
  <c r="I62" i="1"/>
  <c r="D62" i="1"/>
  <c r="A62" i="1"/>
  <c r="AD61" i="1"/>
  <c r="N61" i="1"/>
  <c r="M61" i="1"/>
  <c r="V61" i="1" s="1"/>
  <c r="L61" i="1"/>
  <c r="K61" i="1"/>
  <c r="J61" i="1"/>
  <c r="I61" i="1"/>
  <c r="D61" i="1"/>
  <c r="A61" i="1"/>
  <c r="AD60" i="1"/>
  <c r="N60" i="1"/>
  <c r="M60" i="1"/>
  <c r="V60" i="1" s="1"/>
  <c r="L60" i="1"/>
  <c r="K60" i="1"/>
  <c r="J60" i="1"/>
  <c r="I60" i="1"/>
  <c r="D60" i="1"/>
  <c r="A60" i="1"/>
  <c r="AD59" i="1"/>
  <c r="N59" i="1"/>
  <c r="M59" i="1"/>
  <c r="V59" i="1" s="1"/>
  <c r="L59" i="1"/>
  <c r="K59" i="1"/>
  <c r="J59" i="1"/>
  <c r="I59" i="1"/>
  <c r="D59" i="1"/>
  <c r="A59" i="1"/>
  <c r="AD58" i="1"/>
  <c r="N58" i="1"/>
  <c r="M58" i="1"/>
  <c r="V58" i="1" s="1"/>
  <c r="L58" i="1"/>
  <c r="K58" i="1"/>
  <c r="J58" i="1"/>
  <c r="I58" i="1"/>
  <c r="D58" i="1"/>
  <c r="A58" i="1"/>
  <c r="AD57" i="1"/>
  <c r="N57" i="1"/>
  <c r="M57" i="1"/>
  <c r="V57" i="1" s="1"/>
  <c r="L57" i="1"/>
  <c r="K57" i="1"/>
  <c r="J57" i="1"/>
  <c r="I57" i="1"/>
  <c r="D57" i="1"/>
  <c r="A57" i="1"/>
  <c r="AD56" i="1"/>
  <c r="N56" i="1"/>
  <c r="M56" i="1"/>
  <c r="V56" i="1" s="1"/>
  <c r="L56" i="1"/>
  <c r="K56" i="1"/>
  <c r="J56" i="1"/>
  <c r="I56" i="1"/>
  <c r="D56" i="1"/>
  <c r="A56" i="1"/>
  <c r="AD55" i="1"/>
  <c r="N55" i="1"/>
  <c r="M55" i="1"/>
  <c r="V55" i="1" s="1"/>
  <c r="L55" i="1"/>
  <c r="K55" i="1"/>
  <c r="J55" i="1"/>
  <c r="I55" i="1"/>
  <c r="D55" i="1"/>
  <c r="A55" i="1"/>
  <c r="AD54" i="1"/>
  <c r="N54" i="1"/>
  <c r="M54" i="1"/>
  <c r="V54" i="1" s="1"/>
  <c r="L54" i="1"/>
  <c r="K54" i="1"/>
  <c r="J54" i="1"/>
  <c r="I54" i="1"/>
  <c r="D54" i="1"/>
  <c r="A54" i="1"/>
  <c r="AD53" i="1"/>
  <c r="N53" i="1"/>
  <c r="M53" i="1"/>
  <c r="V53" i="1" s="1"/>
  <c r="L53" i="1"/>
  <c r="K53" i="1"/>
  <c r="J53" i="1"/>
  <c r="I53" i="1"/>
  <c r="D53" i="1"/>
  <c r="A53" i="1"/>
  <c r="AD52" i="1"/>
  <c r="N52" i="1"/>
  <c r="M52" i="1"/>
  <c r="V52" i="1" s="1"/>
  <c r="L52" i="1"/>
  <c r="K52" i="1"/>
  <c r="J52" i="1"/>
  <c r="I52" i="1"/>
  <c r="D52" i="1"/>
  <c r="A52" i="1"/>
  <c r="AD51" i="1"/>
  <c r="N51" i="1"/>
  <c r="M51" i="1"/>
  <c r="V51" i="1" s="1"/>
  <c r="L51" i="1"/>
  <c r="K51" i="1"/>
  <c r="J51" i="1"/>
  <c r="I51" i="1"/>
  <c r="D51" i="1"/>
  <c r="A51" i="1"/>
  <c r="AD50" i="1"/>
  <c r="N50" i="1"/>
  <c r="M50" i="1"/>
  <c r="V50" i="1" s="1"/>
  <c r="L50" i="1"/>
  <c r="K50" i="1"/>
  <c r="J50" i="1"/>
  <c r="I50" i="1"/>
  <c r="D50" i="1"/>
  <c r="A50" i="1"/>
  <c r="AD49" i="1"/>
  <c r="N49" i="1"/>
  <c r="M49" i="1"/>
  <c r="V49" i="1" s="1"/>
  <c r="L49" i="1"/>
  <c r="K49" i="1"/>
  <c r="J49" i="1"/>
  <c r="I49" i="1"/>
  <c r="D49" i="1"/>
  <c r="A49" i="1"/>
  <c r="AD48" i="1"/>
  <c r="N48" i="1"/>
  <c r="M48" i="1"/>
  <c r="V48" i="1" s="1"/>
  <c r="L48" i="1"/>
  <c r="K48" i="1"/>
  <c r="J48" i="1"/>
  <c r="I48" i="1"/>
  <c r="D48" i="1"/>
  <c r="A48" i="1"/>
  <c r="AD47" i="1"/>
  <c r="N47" i="1"/>
  <c r="M47" i="1"/>
  <c r="V47" i="1" s="1"/>
  <c r="L47" i="1"/>
  <c r="K47" i="1"/>
  <c r="J47" i="1"/>
  <c r="I47" i="1"/>
  <c r="D47" i="1"/>
  <c r="A47" i="1"/>
  <c r="AD46" i="1"/>
  <c r="N46" i="1"/>
  <c r="M46" i="1"/>
  <c r="V46" i="1" s="1"/>
  <c r="L46" i="1"/>
  <c r="K46" i="1"/>
  <c r="J46" i="1"/>
  <c r="I46" i="1"/>
  <c r="D46" i="1"/>
  <c r="A46" i="1"/>
  <c r="AD45" i="1"/>
  <c r="N45" i="1"/>
  <c r="M45" i="1"/>
  <c r="V45" i="1" s="1"/>
  <c r="L45" i="1"/>
  <c r="K45" i="1"/>
  <c r="J45" i="1"/>
  <c r="I45" i="1"/>
  <c r="D45" i="1"/>
  <c r="A45" i="1"/>
  <c r="AD44" i="1"/>
  <c r="N44" i="1"/>
  <c r="M44" i="1"/>
  <c r="V44" i="1" s="1"/>
  <c r="L44" i="1"/>
  <c r="K44" i="1"/>
  <c r="J44" i="1"/>
  <c r="I44" i="1"/>
  <c r="D44" i="1"/>
  <c r="A44" i="1"/>
  <c r="AD43" i="1"/>
  <c r="N43" i="1"/>
  <c r="M43" i="1"/>
  <c r="V43" i="1" s="1"/>
  <c r="L43" i="1"/>
  <c r="K43" i="1"/>
  <c r="J43" i="1"/>
  <c r="I43" i="1"/>
  <c r="D43" i="1"/>
  <c r="A43" i="1"/>
  <c r="AD42" i="1"/>
  <c r="N42" i="1"/>
  <c r="M42" i="1"/>
  <c r="V42" i="1" s="1"/>
  <c r="L42" i="1"/>
  <c r="K42" i="1"/>
  <c r="J42" i="1"/>
  <c r="I42" i="1"/>
  <c r="D42" i="1"/>
  <c r="A42" i="1"/>
  <c r="AD41" i="1"/>
  <c r="N41" i="1"/>
  <c r="M41" i="1"/>
  <c r="V41" i="1" s="1"/>
  <c r="L41" i="1"/>
  <c r="K41" i="1"/>
  <c r="J41" i="1"/>
  <c r="I41" i="1"/>
  <c r="D41" i="1"/>
  <c r="A41" i="1"/>
  <c r="AD40" i="1"/>
  <c r="N40" i="1"/>
  <c r="M40" i="1"/>
  <c r="V40" i="1" s="1"/>
  <c r="L40" i="1"/>
  <c r="K40" i="1"/>
  <c r="J40" i="1"/>
  <c r="I40" i="1"/>
  <c r="D40" i="1"/>
  <c r="A40" i="1"/>
  <c r="AD39" i="1"/>
  <c r="N39" i="1"/>
  <c r="M39" i="1"/>
  <c r="V39" i="1" s="1"/>
  <c r="L39" i="1"/>
  <c r="K39" i="1"/>
  <c r="J39" i="1"/>
  <c r="I39" i="1"/>
  <c r="D39" i="1"/>
  <c r="A39" i="1"/>
  <c r="AD38" i="1"/>
  <c r="N38" i="1"/>
  <c r="M38" i="1"/>
  <c r="V38" i="1" s="1"/>
  <c r="L38" i="1"/>
  <c r="K38" i="1"/>
  <c r="J38" i="1"/>
  <c r="I38" i="1"/>
  <c r="D38" i="1"/>
  <c r="A38" i="1"/>
  <c r="AD37" i="1"/>
  <c r="N37" i="1"/>
  <c r="M37" i="1"/>
  <c r="V37" i="1" s="1"/>
  <c r="L37" i="1"/>
  <c r="K37" i="1"/>
  <c r="J37" i="1"/>
  <c r="I37" i="1"/>
  <c r="D37" i="1"/>
  <c r="A37" i="1"/>
  <c r="AD36" i="1"/>
  <c r="N36" i="1"/>
  <c r="M36" i="1"/>
  <c r="V36" i="1" s="1"/>
  <c r="L36" i="1"/>
  <c r="K36" i="1"/>
  <c r="J36" i="1"/>
  <c r="I36" i="1"/>
  <c r="D36" i="1"/>
  <c r="A36" i="1"/>
  <c r="AD35" i="1"/>
  <c r="N35" i="1"/>
  <c r="M35" i="1"/>
  <c r="V35" i="1" s="1"/>
  <c r="L35" i="1"/>
  <c r="K35" i="1"/>
  <c r="J35" i="1"/>
  <c r="I35" i="1"/>
  <c r="D35" i="1"/>
  <c r="A35" i="1"/>
  <c r="AD34" i="1"/>
  <c r="N34" i="1"/>
  <c r="M34" i="1"/>
  <c r="V34" i="1" s="1"/>
  <c r="L34" i="1"/>
  <c r="K34" i="1"/>
  <c r="J34" i="1"/>
  <c r="I34" i="1"/>
  <c r="D34" i="1"/>
  <c r="A34" i="1"/>
  <c r="AD33" i="1"/>
  <c r="N33" i="1"/>
  <c r="M33" i="1"/>
  <c r="V33" i="1" s="1"/>
  <c r="L33" i="1"/>
  <c r="K33" i="1"/>
  <c r="J33" i="1"/>
  <c r="I33" i="1"/>
  <c r="D33" i="1"/>
  <c r="A33" i="1"/>
  <c r="AD32" i="1"/>
  <c r="N32" i="1"/>
  <c r="M32" i="1"/>
  <c r="V32" i="1" s="1"/>
  <c r="L32" i="1"/>
  <c r="K32" i="1"/>
  <c r="J32" i="1"/>
  <c r="I32" i="1"/>
  <c r="D32" i="1"/>
  <c r="A32" i="1"/>
  <c r="AD31" i="1"/>
  <c r="N31" i="1"/>
  <c r="M31" i="1"/>
  <c r="V31" i="1" s="1"/>
  <c r="L31" i="1"/>
  <c r="K31" i="1"/>
  <c r="J31" i="1"/>
  <c r="I31" i="1"/>
  <c r="D31" i="1"/>
  <c r="A31" i="1"/>
  <c r="AD30" i="1"/>
  <c r="N30" i="1"/>
  <c r="M30" i="1"/>
  <c r="V30" i="1" s="1"/>
  <c r="L30" i="1"/>
  <c r="K30" i="1"/>
  <c r="J30" i="1"/>
  <c r="I30" i="1"/>
  <c r="D30" i="1"/>
  <c r="A30" i="1"/>
  <c r="AD29" i="1"/>
  <c r="N29" i="1"/>
  <c r="M29" i="1"/>
  <c r="V29" i="1" s="1"/>
  <c r="L29" i="1"/>
  <c r="K29" i="1"/>
  <c r="J29" i="1"/>
  <c r="I29" i="1"/>
  <c r="D29" i="1"/>
  <c r="A29" i="1"/>
  <c r="AD28" i="1"/>
  <c r="N28" i="1"/>
  <c r="M28" i="1"/>
  <c r="V28" i="1" s="1"/>
  <c r="L28" i="1"/>
  <c r="K28" i="1"/>
  <c r="J28" i="1"/>
  <c r="I28" i="1"/>
  <c r="D28" i="1"/>
  <c r="A28" i="1"/>
  <c r="AD27" i="1"/>
  <c r="N27" i="1"/>
  <c r="M27" i="1"/>
  <c r="V27" i="1" s="1"/>
  <c r="L27" i="1"/>
  <c r="K27" i="1"/>
  <c r="J27" i="1"/>
  <c r="I27" i="1"/>
  <c r="D27" i="1"/>
  <c r="A27" i="1"/>
  <c r="AD26" i="1"/>
  <c r="N26" i="1"/>
  <c r="M26" i="1"/>
  <c r="V26" i="1" s="1"/>
  <c r="L26" i="1"/>
  <c r="K26" i="1"/>
  <c r="J26" i="1"/>
  <c r="I26" i="1"/>
  <c r="D26" i="1"/>
  <c r="A26" i="1"/>
  <c r="AD25" i="1"/>
  <c r="N25" i="1"/>
  <c r="M25" i="1"/>
  <c r="V25" i="1" s="1"/>
  <c r="L25" i="1"/>
  <c r="K25" i="1"/>
  <c r="J25" i="1"/>
  <c r="I25" i="1"/>
  <c r="D25" i="1"/>
  <c r="A25" i="1"/>
  <c r="AD24" i="1"/>
  <c r="N24" i="1"/>
  <c r="M24" i="1"/>
  <c r="V24" i="1" s="1"/>
  <c r="L24" i="1"/>
  <c r="K24" i="1"/>
  <c r="J24" i="1"/>
  <c r="I24" i="1"/>
  <c r="D24" i="1"/>
  <c r="A24" i="1"/>
  <c r="AD23" i="1"/>
  <c r="N23" i="1"/>
  <c r="M23" i="1"/>
  <c r="V23" i="1" s="1"/>
  <c r="A23" i="1"/>
  <c r="AD22" i="1"/>
  <c r="N22" i="1"/>
  <c r="M22" i="1"/>
  <c r="V22" i="1" s="1"/>
  <c r="A22" i="1"/>
  <c r="AD21" i="1"/>
  <c r="N21" i="1"/>
  <c r="M21" i="1"/>
  <c r="V21" i="1" s="1"/>
  <c r="A21" i="1"/>
  <c r="AD20" i="1"/>
  <c r="N20" i="1"/>
  <c r="M20" i="1"/>
  <c r="V20" i="1" s="1"/>
  <c r="A20" i="1"/>
  <c r="AI19" i="1"/>
  <c r="AD19" i="1"/>
  <c r="N19" i="1"/>
  <c r="M19" i="1"/>
  <c r="V19" i="1" s="1"/>
  <c r="A19" i="1"/>
  <c r="AI18" i="1"/>
  <c r="AD18" i="1"/>
  <c r="N18" i="1"/>
  <c r="M18" i="1"/>
  <c r="V18" i="1" s="1"/>
  <c r="A18" i="1"/>
  <c r="AI17" i="1"/>
  <c r="AD17" i="1"/>
  <c r="N17" i="1"/>
  <c r="M17" i="1"/>
  <c r="V17" i="1" s="1"/>
  <c r="A17" i="1"/>
  <c r="AI16" i="1"/>
  <c r="AI15" i="1"/>
  <c r="AI14" i="1"/>
  <c r="AI13" i="1"/>
  <c r="AI12" i="1"/>
  <c r="D10" i="1"/>
  <c r="AI9" i="1" s="1"/>
  <c r="D9" i="1"/>
  <c r="D8" i="1"/>
  <c r="D7" i="1"/>
  <c r="AI7" i="1" s="1"/>
  <c r="D6" i="1"/>
  <c r="AI6" i="1" s="1"/>
  <c r="D5" i="1"/>
  <c r="AI5" i="1" s="1"/>
  <c r="D4" i="1"/>
  <c r="AI3" i="1"/>
  <c r="X190" i="1" l="1"/>
  <c r="Y190" i="1"/>
  <c r="Z190" i="1"/>
  <c r="X189" i="1"/>
  <c r="Y189" i="1"/>
  <c r="Z189" i="1"/>
  <c r="X188" i="1"/>
  <c r="Y188" i="1"/>
  <c r="Z188" i="1"/>
  <c r="X187" i="1"/>
  <c r="Y187" i="1"/>
  <c r="Z187" i="1"/>
  <c r="X186" i="1"/>
  <c r="Y186" i="1"/>
  <c r="Z186" i="1"/>
  <c r="X185" i="1"/>
  <c r="Y185" i="1"/>
  <c r="Z185" i="1"/>
  <c r="X184" i="1"/>
  <c r="Y184" i="1"/>
  <c r="Z184" i="1"/>
  <c r="X183" i="1"/>
  <c r="Y183" i="1"/>
  <c r="Z183" i="1"/>
  <c r="X182" i="1"/>
  <c r="Y182" i="1"/>
  <c r="Z182" i="1"/>
  <c r="X181" i="1"/>
  <c r="Y181" i="1"/>
  <c r="Z181" i="1"/>
  <c r="X180" i="1"/>
  <c r="Y180" i="1"/>
  <c r="Z180" i="1"/>
  <c r="X179" i="1"/>
  <c r="Y179" i="1"/>
  <c r="Z179" i="1"/>
  <c r="X178" i="1"/>
  <c r="Y178" i="1"/>
  <c r="Z178" i="1"/>
  <c r="X177" i="1"/>
  <c r="Y177" i="1"/>
  <c r="Z177" i="1"/>
  <c r="X176" i="1"/>
  <c r="Y176" i="1"/>
  <c r="Z176" i="1"/>
  <c r="X175" i="1"/>
  <c r="Y175" i="1"/>
  <c r="Z175" i="1"/>
  <c r="X174" i="1"/>
  <c r="Y174" i="1"/>
  <c r="Z174" i="1"/>
  <c r="X173" i="1"/>
  <c r="Y173" i="1"/>
  <c r="Z173" i="1"/>
  <c r="X172" i="1"/>
  <c r="Y172" i="1"/>
  <c r="Z172" i="1"/>
  <c r="X171" i="1"/>
  <c r="Y171" i="1"/>
  <c r="Z171" i="1"/>
  <c r="X170" i="1"/>
  <c r="Y170" i="1"/>
  <c r="Z170" i="1"/>
  <c r="X169" i="1"/>
  <c r="Y169" i="1"/>
  <c r="Z169" i="1"/>
  <c r="X168" i="1"/>
  <c r="Y168" i="1"/>
  <c r="Z168" i="1"/>
  <c r="X167" i="1"/>
  <c r="Y167" i="1"/>
  <c r="Z167" i="1"/>
  <c r="X166" i="1"/>
  <c r="Y166" i="1"/>
  <c r="Z166" i="1"/>
  <c r="X165" i="1"/>
  <c r="Y165" i="1"/>
  <c r="Z165" i="1"/>
  <c r="X164" i="1"/>
  <c r="Y164" i="1"/>
  <c r="Z164" i="1"/>
  <c r="X163" i="1"/>
  <c r="Y163" i="1"/>
  <c r="Z163" i="1"/>
  <c r="X162" i="1"/>
  <c r="Y162" i="1"/>
  <c r="Z162" i="1"/>
  <c r="X161" i="1"/>
  <c r="Y161" i="1"/>
  <c r="Z161" i="1"/>
  <c r="X160" i="1"/>
  <c r="Y160" i="1"/>
  <c r="Z160" i="1"/>
  <c r="X159" i="1"/>
  <c r="Y159" i="1"/>
  <c r="Z159" i="1"/>
  <c r="X158" i="1"/>
  <c r="Y158" i="1"/>
  <c r="Z158" i="1"/>
  <c r="X157" i="1"/>
  <c r="Y157" i="1"/>
  <c r="Z157" i="1"/>
  <c r="X156" i="1"/>
  <c r="Y156" i="1"/>
  <c r="Z156" i="1"/>
  <c r="X155" i="1"/>
  <c r="Y155" i="1"/>
  <c r="Z155" i="1"/>
  <c r="X154" i="1"/>
  <c r="Y154" i="1"/>
  <c r="Z154" i="1"/>
  <c r="X153" i="1"/>
  <c r="Y153" i="1"/>
  <c r="Z153" i="1"/>
  <c r="X152" i="1"/>
  <c r="Y152" i="1"/>
  <c r="Z152" i="1"/>
  <c r="X151" i="1"/>
  <c r="Y151" i="1"/>
  <c r="Z151" i="1"/>
  <c r="X150" i="1"/>
  <c r="Y150" i="1"/>
  <c r="Z150" i="1"/>
  <c r="X149" i="1"/>
  <c r="Y149" i="1"/>
  <c r="Z149" i="1"/>
  <c r="X148" i="1"/>
  <c r="Y148" i="1"/>
  <c r="Z148" i="1"/>
  <c r="X147" i="1"/>
  <c r="Y147" i="1"/>
  <c r="Z147" i="1"/>
  <c r="X146" i="1"/>
  <c r="Y146" i="1"/>
  <c r="Z146" i="1"/>
  <c r="X145" i="1"/>
  <c r="Y145" i="1"/>
  <c r="Z145" i="1"/>
  <c r="X144" i="1"/>
  <c r="Y144" i="1"/>
  <c r="Z144" i="1"/>
  <c r="X143" i="1"/>
  <c r="Y143" i="1"/>
  <c r="Z143" i="1"/>
  <c r="X142" i="1"/>
  <c r="Y142" i="1"/>
  <c r="Z142" i="1"/>
  <c r="X141" i="1"/>
  <c r="Y141" i="1"/>
  <c r="Z141" i="1"/>
  <c r="X140" i="1"/>
  <c r="Y140" i="1"/>
  <c r="Z140" i="1"/>
  <c r="X139" i="1"/>
  <c r="Y139" i="1"/>
  <c r="Z139" i="1"/>
  <c r="X138" i="1"/>
  <c r="Y138" i="1"/>
  <c r="Z138" i="1"/>
  <c r="X137" i="1"/>
  <c r="Y137" i="1"/>
  <c r="Z137" i="1"/>
  <c r="X136" i="1"/>
  <c r="Y136" i="1"/>
  <c r="Z136" i="1"/>
  <c r="X135" i="1"/>
  <c r="Y135" i="1"/>
  <c r="Z135" i="1"/>
  <c r="Z134" i="1"/>
  <c r="Y134" i="1"/>
  <c r="X134" i="1"/>
  <c r="X133" i="1"/>
  <c r="Y133" i="1"/>
  <c r="Z133" i="1"/>
  <c r="X132" i="1"/>
  <c r="Y132" i="1"/>
  <c r="Z132" i="1"/>
  <c r="X131" i="1"/>
  <c r="Y131" i="1"/>
  <c r="Z131" i="1"/>
  <c r="X130" i="1"/>
  <c r="Y130" i="1"/>
  <c r="Z130" i="1"/>
  <c r="X129" i="1"/>
  <c r="Y129" i="1"/>
  <c r="Z129" i="1"/>
  <c r="X128" i="1"/>
  <c r="Y128" i="1"/>
  <c r="Z128" i="1"/>
  <c r="X127" i="1"/>
  <c r="Y127" i="1"/>
  <c r="Z127" i="1"/>
  <c r="X126" i="1"/>
  <c r="Y126" i="1"/>
  <c r="Z126" i="1"/>
  <c r="X125" i="1"/>
  <c r="Y125" i="1"/>
  <c r="Z125" i="1"/>
  <c r="X124" i="1"/>
  <c r="Y124" i="1"/>
  <c r="Z124" i="1"/>
  <c r="X123" i="1"/>
  <c r="Y123" i="1"/>
  <c r="Z123" i="1"/>
  <c r="X122" i="1"/>
  <c r="Y122" i="1"/>
  <c r="Z122" i="1"/>
  <c r="X121" i="1"/>
  <c r="Y121" i="1"/>
  <c r="Z121" i="1"/>
  <c r="X120" i="1"/>
  <c r="Y120" i="1"/>
  <c r="Z120" i="1"/>
  <c r="X119" i="1"/>
  <c r="Y119" i="1"/>
  <c r="Z119" i="1"/>
  <c r="X118" i="1"/>
  <c r="Y118" i="1"/>
  <c r="Z118" i="1"/>
  <c r="X117" i="1"/>
  <c r="Y117" i="1"/>
  <c r="Z117" i="1"/>
  <c r="Y116" i="1"/>
  <c r="X116" i="1"/>
  <c r="Z116" i="1"/>
  <c r="X115" i="1"/>
  <c r="Y115" i="1"/>
  <c r="Z115" i="1"/>
  <c r="X114" i="1"/>
  <c r="Y114" i="1"/>
  <c r="Z114" i="1"/>
  <c r="X113" i="1"/>
  <c r="Z113" i="1"/>
  <c r="Y113" i="1"/>
  <c r="X112" i="1"/>
  <c r="Y112" i="1"/>
  <c r="Z112" i="1"/>
  <c r="X111" i="1"/>
  <c r="Y111" i="1"/>
  <c r="Z111" i="1"/>
  <c r="X110" i="1"/>
  <c r="Y110" i="1"/>
  <c r="Z110" i="1"/>
  <c r="X109" i="1"/>
  <c r="Y109" i="1"/>
  <c r="Z109" i="1"/>
  <c r="X108" i="1"/>
  <c r="Y108" i="1"/>
  <c r="Z108" i="1"/>
  <c r="X107" i="1"/>
  <c r="Y107" i="1"/>
  <c r="Z107" i="1"/>
  <c r="X106" i="1"/>
  <c r="Y106" i="1"/>
  <c r="Z106" i="1"/>
  <c r="X105" i="1"/>
  <c r="Y105" i="1"/>
  <c r="Z105" i="1"/>
  <c r="X104" i="1"/>
  <c r="Y104" i="1"/>
  <c r="Z104" i="1"/>
  <c r="X103" i="1"/>
  <c r="Y103" i="1"/>
  <c r="Z103" i="1"/>
  <c r="X102" i="1"/>
  <c r="Y102" i="1"/>
  <c r="Z102" i="1"/>
  <c r="X101" i="1"/>
  <c r="Y101" i="1"/>
  <c r="Z101" i="1"/>
  <c r="X100" i="1"/>
  <c r="Y100" i="1"/>
  <c r="Z100" i="1"/>
  <c r="X99" i="1"/>
  <c r="Y99" i="1"/>
  <c r="Z99" i="1"/>
  <c r="X98" i="1"/>
  <c r="Y98" i="1"/>
  <c r="Z98" i="1"/>
  <c r="X97" i="1"/>
  <c r="Y97" i="1"/>
  <c r="Z97" i="1"/>
  <c r="X96" i="1"/>
  <c r="Y96" i="1"/>
  <c r="Z96" i="1"/>
  <c r="X95" i="1"/>
  <c r="Y95" i="1"/>
  <c r="Z95" i="1"/>
  <c r="X94" i="1"/>
  <c r="Y94" i="1"/>
  <c r="Z94" i="1"/>
  <c r="X93" i="1"/>
  <c r="Y93" i="1"/>
  <c r="Z93" i="1"/>
  <c r="X92" i="1"/>
  <c r="Y92" i="1"/>
  <c r="Z92" i="1"/>
  <c r="X91" i="1"/>
  <c r="Y91" i="1"/>
  <c r="Z91" i="1"/>
  <c r="Z90" i="1"/>
  <c r="X90" i="1"/>
  <c r="Y90" i="1"/>
  <c r="X89" i="1"/>
  <c r="Y89" i="1"/>
  <c r="Z89" i="1"/>
  <c r="X88" i="1"/>
  <c r="Y88" i="1"/>
  <c r="Z88" i="1"/>
  <c r="X87" i="1"/>
  <c r="Y87" i="1"/>
  <c r="Z87" i="1"/>
  <c r="X86" i="1"/>
  <c r="Y86" i="1"/>
  <c r="Z86" i="1"/>
  <c r="X85" i="1"/>
  <c r="Y85" i="1"/>
  <c r="Z85" i="1"/>
  <c r="X84" i="1"/>
  <c r="Y84" i="1"/>
  <c r="Z84" i="1"/>
  <c r="X83" i="1"/>
  <c r="Y83" i="1"/>
  <c r="Z83" i="1"/>
  <c r="X82" i="1"/>
  <c r="Y82" i="1"/>
  <c r="Z82" i="1"/>
  <c r="X81" i="1"/>
  <c r="Y81" i="1"/>
  <c r="Z81" i="1"/>
  <c r="X80" i="1"/>
  <c r="Y80" i="1"/>
  <c r="Z80" i="1"/>
  <c r="X79" i="1"/>
  <c r="Y79" i="1"/>
  <c r="Z79" i="1"/>
  <c r="X78" i="1"/>
  <c r="Y78" i="1"/>
  <c r="Z78" i="1"/>
  <c r="X77" i="1"/>
  <c r="Y77" i="1"/>
  <c r="Z77" i="1"/>
  <c r="X76" i="1"/>
  <c r="Y76" i="1"/>
  <c r="Z76" i="1"/>
  <c r="X75" i="1"/>
  <c r="Y75" i="1"/>
  <c r="Z75" i="1"/>
  <c r="X74" i="1"/>
  <c r="Y74" i="1"/>
  <c r="Z74" i="1"/>
  <c r="X73" i="1"/>
  <c r="Y73" i="1"/>
  <c r="Z73" i="1"/>
  <c r="X72" i="1"/>
  <c r="Y72" i="1"/>
  <c r="Z72" i="1"/>
  <c r="X71" i="1"/>
  <c r="Y71" i="1"/>
  <c r="Z71" i="1"/>
  <c r="X70" i="1"/>
  <c r="Y70" i="1"/>
  <c r="Z70" i="1"/>
  <c r="X69" i="1"/>
  <c r="Y69" i="1"/>
  <c r="Z69" i="1"/>
  <c r="X68" i="1"/>
  <c r="Y68" i="1"/>
  <c r="Z68" i="1"/>
  <c r="X67" i="1"/>
  <c r="Y67" i="1"/>
  <c r="Z67" i="1"/>
  <c r="X66" i="1"/>
  <c r="Y66" i="1"/>
  <c r="Z66" i="1"/>
  <c r="X65" i="1"/>
  <c r="Y65" i="1"/>
  <c r="Z65" i="1"/>
  <c r="X64" i="1"/>
  <c r="Y64" i="1"/>
  <c r="Z64" i="1"/>
  <c r="X63" i="1"/>
  <c r="Y63" i="1"/>
  <c r="Z63" i="1"/>
  <c r="X62" i="1"/>
  <c r="Y62" i="1"/>
  <c r="Z62" i="1"/>
  <c r="X61" i="1"/>
  <c r="Y61" i="1"/>
  <c r="Z61" i="1"/>
  <c r="X60" i="1"/>
  <c r="Y60" i="1"/>
  <c r="Z60" i="1"/>
  <c r="X59" i="1"/>
  <c r="Y59" i="1"/>
  <c r="Z59" i="1"/>
  <c r="X58" i="1"/>
  <c r="Y58" i="1"/>
  <c r="Z58" i="1"/>
  <c r="X57" i="1"/>
  <c r="Y57" i="1"/>
  <c r="Z57" i="1"/>
  <c r="X56" i="1"/>
  <c r="Y56" i="1"/>
  <c r="Z56" i="1"/>
  <c r="X55" i="1"/>
  <c r="Y55" i="1"/>
  <c r="Z55" i="1"/>
  <c r="X54" i="1"/>
  <c r="Y54" i="1"/>
  <c r="Z54" i="1"/>
  <c r="X53" i="1"/>
  <c r="Y53" i="1"/>
  <c r="Z53" i="1"/>
  <c r="X52" i="1"/>
  <c r="Y52" i="1"/>
  <c r="Z52" i="1"/>
  <c r="X51" i="1"/>
  <c r="Y51" i="1"/>
  <c r="Z51" i="1"/>
  <c r="X50" i="1"/>
  <c r="Y50" i="1"/>
  <c r="Z50" i="1"/>
  <c r="X49" i="1"/>
  <c r="Y49" i="1"/>
  <c r="Z49" i="1"/>
  <c r="X48" i="1"/>
  <c r="Y48" i="1"/>
  <c r="Z48" i="1"/>
  <c r="X47" i="1"/>
  <c r="Y47" i="1"/>
  <c r="Z47" i="1"/>
  <c r="X46" i="1"/>
  <c r="Y46" i="1"/>
  <c r="Z46" i="1"/>
  <c r="X45" i="1"/>
  <c r="Y45" i="1"/>
  <c r="Z45" i="1"/>
  <c r="X44" i="1"/>
  <c r="Y44" i="1"/>
  <c r="Z44" i="1"/>
  <c r="X43" i="1"/>
  <c r="Y43" i="1"/>
  <c r="Z43" i="1"/>
  <c r="X42" i="1"/>
  <c r="Y42" i="1"/>
  <c r="Z42" i="1"/>
  <c r="X41" i="1"/>
  <c r="Y41" i="1"/>
  <c r="Z41" i="1"/>
  <c r="X40" i="1"/>
  <c r="Y40" i="1"/>
  <c r="Z40" i="1"/>
  <c r="X39" i="1"/>
  <c r="Y39" i="1"/>
  <c r="Z39" i="1"/>
  <c r="X38" i="1"/>
  <c r="Y38" i="1"/>
  <c r="Z38" i="1"/>
  <c r="X37" i="1"/>
  <c r="Y37" i="1"/>
  <c r="Z37" i="1"/>
  <c r="X36" i="1"/>
  <c r="Y36" i="1"/>
  <c r="Z36" i="1"/>
  <c r="X35" i="1"/>
  <c r="Y35" i="1"/>
  <c r="Z35" i="1"/>
  <c r="X34" i="1"/>
  <c r="Y34" i="1"/>
  <c r="Z34" i="1"/>
  <c r="X33" i="1"/>
  <c r="Y33" i="1"/>
  <c r="Z33" i="1"/>
  <c r="X32" i="1"/>
  <c r="Y32" i="1"/>
  <c r="Z32" i="1"/>
  <c r="X31" i="1"/>
  <c r="Y31" i="1"/>
  <c r="Z31" i="1"/>
  <c r="X30" i="1"/>
  <c r="Y30" i="1"/>
  <c r="Z30" i="1"/>
  <c r="X29" i="1"/>
  <c r="Y29" i="1"/>
  <c r="Z29" i="1"/>
  <c r="X28" i="1"/>
  <c r="Y28" i="1"/>
  <c r="Z28" i="1"/>
  <c r="X27" i="1"/>
  <c r="Y27" i="1"/>
  <c r="Z27" i="1"/>
  <c r="X26" i="1"/>
  <c r="Y26" i="1"/>
  <c r="Z26" i="1"/>
  <c r="X25" i="1"/>
  <c r="Y25" i="1"/>
  <c r="Z25" i="1"/>
  <c r="X24" i="1"/>
  <c r="Y24" i="1"/>
  <c r="Z24" i="1"/>
  <c r="X23" i="1"/>
  <c r="Y23" i="1"/>
  <c r="Z23" i="1"/>
  <c r="X22" i="1"/>
  <c r="Y22" i="1"/>
  <c r="Z22" i="1"/>
  <c r="X21" i="1"/>
  <c r="Y21" i="1"/>
  <c r="Z21" i="1"/>
  <c r="X20" i="1"/>
  <c r="Y20" i="1"/>
  <c r="Z20" i="1"/>
  <c r="X19" i="1"/>
  <c r="Y19" i="1"/>
  <c r="Z19" i="1"/>
  <c r="X18" i="1"/>
  <c r="Y18" i="1"/>
  <c r="Z18" i="1"/>
  <c r="X17" i="1"/>
  <c r="Y17" i="1"/>
  <c r="Z17" i="1"/>
  <c r="B10" i="3"/>
  <c r="E10" i="3"/>
  <c r="B11" i="3"/>
  <c r="B12" i="3"/>
  <c r="B13" i="3"/>
  <c r="E13" i="3"/>
  <c r="B14" i="3"/>
  <c r="E14" i="3"/>
  <c r="B15" i="3"/>
  <c r="E15" i="3"/>
  <c r="B6" i="3"/>
  <c r="B20" i="3"/>
  <c r="E16" i="3"/>
  <c r="B17" i="3"/>
  <c r="E17" i="3"/>
  <c r="B16" i="3"/>
  <c r="B18" i="3"/>
  <c r="E18" i="3"/>
  <c r="B19" i="3"/>
  <c r="E19" i="3"/>
  <c r="B5" i="3"/>
  <c r="E5" i="3"/>
  <c r="E6" i="3"/>
  <c r="B7" i="3"/>
  <c r="E7" i="3"/>
  <c r="B8" i="3"/>
  <c r="E8" i="3"/>
  <c r="B9" i="3"/>
  <c r="E9" i="3"/>
  <c r="E12" i="3"/>
  <c r="D12" i="1"/>
  <c r="AI8" i="1"/>
  <c r="AI4" i="1"/>
  <c r="L14" i="1"/>
  <c r="J14" i="1"/>
  <c r="H14" i="1"/>
  <c r="K12" i="1" l="1"/>
  <c r="D13" i="1"/>
  <c r="D14" i="1"/>
  <c r="AI46" i="1"/>
  <c r="AI47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48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112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109" i="1"/>
  <c r="AI117" i="1"/>
  <c r="AI75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6" i="1"/>
  <c r="AI107" i="1"/>
  <c r="AI110" i="1"/>
  <c r="AI115" i="1"/>
  <c r="AI121" i="1"/>
  <c r="AI124" i="1"/>
  <c r="AI125" i="1"/>
  <c r="AI126" i="1"/>
  <c r="AI127" i="1"/>
  <c r="AI128" i="1"/>
  <c r="AI129" i="1"/>
  <c r="AI130" i="1"/>
  <c r="AI131" i="1"/>
  <c r="AI132" i="1"/>
  <c r="AI133" i="1"/>
  <c r="AI111" i="1"/>
  <c r="AI118" i="1"/>
  <c r="AI119" i="1"/>
  <c r="AI123" i="1"/>
  <c r="AI134" i="1"/>
  <c r="AI135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36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13" i="1"/>
  <c r="AI120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05" i="1"/>
  <c r="AI108" i="1"/>
  <c r="AI114" i="1"/>
  <c r="AI122" i="1"/>
  <c r="AI163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116" i="1"/>
  <c r="AI164" i="1"/>
  <c r="AI178" i="1"/>
</calcChain>
</file>

<file path=xl/sharedStrings.xml><?xml version="1.0" encoding="utf-8"?>
<sst xmlns="http://schemas.openxmlformats.org/spreadsheetml/2006/main" count="29838" uniqueCount="10027">
  <si>
    <t>COSHH Değerlendirme Formu (Özet)</t>
  </si>
  <si>
    <t>▼ OTOMATİK ALANLAR (Kimyasal seçince dolar)</t>
  </si>
  <si>
    <t>▼ MANUEL GİRİŞ ALANLARI</t>
  </si>
  <si>
    <t>Kimyasal Adı</t>
  </si>
  <si>
    <t>ASETON</t>
  </si>
  <si>
    <t>Ünite / Lokasyon</t>
  </si>
  <si>
    <t>CAS No</t>
  </si>
  <si>
    <t>Proses / İş</t>
  </si>
  <si>
    <t>H Kodları</t>
  </si>
  <si>
    <t>İş Tanımı (kısa)</t>
  </si>
  <si>
    <t>Fiziksel Hal</t>
  </si>
  <si>
    <t>Kullanılan Miktar</t>
  </si>
  <si>
    <t>Kaynama Noktası (°C)</t>
  </si>
  <si>
    <t>İşlem Sıcaklığı (°C)</t>
  </si>
  <si>
    <t>Tehlike Grubu (A–E)</t>
  </si>
  <si>
    <t>Maruziyet Yolu</t>
  </si>
  <si>
    <t>Uçuculuk / Tozluluk</t>
  </si>
  <si>
    <t>Maruziyet Sıklığı</t>
  </si>
  <si>
    <t>ICSC No</t>
  </si>
  <si>
    <t>Kullanım Ölçeği</t>
  </si>
  <si>
    <t>Not</t>
  </si>
  <si>
    <t>Maruziyet Süresi</t>
  </si>
  <si>
    <t>▼ SONUÇLAR</t>
  </si>
  <si>
    <t>Risk Seviyesi</t>
  </si>
  <si>
    <t>Ünite/Lokasyon</t>
  </si>
  <si>
    <t>Önerilen Kontroller</t>
  </si>
  <si>
    <t>Sonuç</t>
  </si>
  <si>
    <t>İş Tanımı</t>
  </si>
  <si>
    <t>Kayıt No</t>
  </si>
  <si>
    <t>Değerlendirme Tarihi</t>
  </si>
  <si>
    <t>Değerlendiren (Ad–Soyad)</t>
  </si>
  <si>
    <t>Gözden Geçirme Tarihi</t>
  </si>
  <si>
    <t>H Kodları (Özet)</t>
  </si>
  <si>
    <t>Birim</t>
  </si>
  <si>
    <t>Maruziyet Süresi (dk/saat)</t>
  </si>
  <si>
    <t>Kontrol Yaklaşımı (1–4)</t>
  </si>
  <si>
    <t>Mevcut Kontroller</t>
  </si>
  <si>
    <t>Önerilen Kontroller / Aksiyonlar</t>
  </si>
  <si>
    <t>SDS (Web)</t>
  </si>
  <si>
    <t>ICSC (Web)</t>
  </si>
  <si>
    <t>ECHA (Web)</t>
  </si>
  <si>
    <t>Sorumlu Kişi</t>
  </si>
  <si>
    <t>Termin / Hedef Tarih</t>
  </si>
  <si>
    <t>Notlar / Ek Açıklama</t>
  </si>
  <si>
    <t>İşlem Sıcaklığı</t>
  </si>
  <si>
    <t>67-64-1</t>
  </si>
  <si>
    <t>H225, H226, H319, H335</t>
  </si>
  <si>
    <t>Sıvı</t>
  </si>
  <si>
    <t>Yüksek</t>
  </si>
  <si>
    <t>İsmail Kaya © 2026</t>
  </si>
  <si>
    <t>Kimyasal ID</t>
  </si>
  <si>
    <t>Tehlike Grubu (A-E)</t>
  </si>
  <si>
    <t>İngilizce Kimyasal Adı</t>
  </si>
  <si>
    <t>UN Numarası</t>
  </si>
  <si>
    <t>UN Tehlike Sınıfı (Kod)</t>
  </si>
  <si>
    <t>UN Tehlike Sınıfı (Açıklama)</t>
  </si>
  <si>
    <t>GHS Sinyal Kelimesi</t>
  </si>
  <si>
    <t>GHS Tehlike Sembolleri (Kod)</t>
  </si>
  <si>
    <t>GHS Tehlike Açıklaması</t>
  </si>
  <si>
    <t>ICSC Bağlantısı</t>
  </si>
  <si>
    <t>Türkçe ICSC Bağlantısı</t>
  </si>
  <si>
    <t>SDS Ara</t>
  </si>
  <si>
    <t>ECHA</t>
  </si>
  <si>
    <t>CHM-0001</t>
  </si>
  <si>
    <t>HİDROJEN</t>
  </si>
  <si>
    <t>1333-74-0</t>
  </si>
  <si>
    <t>H220, H221, H280</t>
  </si>
  <si>
    <t>Gaz</t>
  </si>
  <si>
    <t>A</t>
  </si>
  <si>
    <t>Çok Yüksek</t>
  </si>
  <si>
    <t>0001</t>
  </si>
  <si>
    <t>HYDROGEN</t>
  </si>
  <si>
    <t>1049</t>
  </si>
  <si>
    <t>2.1</t>
  </si>
  <si>
    <t>Sınıf 2.1: Yanıcı Gazlar</t>
  </si>
  <si>
    <t>TEHLİKE</t>
  </si>
  <si>
    <t>flam; cylinder</t>
  </si>
  <si>
    <t>Yanıcı; Basınçlı Gaz</t>
  </si>
  <si>
    <t>Bağlantı</t>
  </si>
  <si>
    <t>TR Bağlantı</t>
  </si>
  <si>
    <t>H kodları SDS ile doğrulayın.</t>
  </si>
  <si>
    <t>CHM-0002</t>
  </si>
  <si>
    <t>1,2-DİBROMO-3-KLOROPROPAN</t>
  </si>
  <si>
    <t>96-12-8</t>
  </si>
  <si>
    <t>H227, H300, H301, H312, H319, H330, H335, H336, H340, H341, H351, H360, H361, H370, H371, H373, H402, H412</t>
  </si>
  <si>
    <t>E</t>
  </si>
  <si>
    <t>Düşük</t>
  </si>
  <si>
    <t>0002</t>
  </si>
  <si>
    <t>1,2-DIBROMO-3-CHLOROPROPANE</t>
  </si>
  <si>
    <t>2872</t>
  </si>
  <si>
    <t>6.1</t>
  </si>
  <si>
    <t>Sınıf 6.1: Zehirli Maddeler</t>
  </si>
  <si>
    <t>skull; cancer</t>
  </si>
  <si>
    <t>Akut Toksisite; Kanserojen/Mutajen/Repro</t>
  </si>
  <si>
    <t>CHM-0003</t>
  </si>
  <si>
    <t>KURŞUN KROMAT</t>
  </si>
  <si>
    <t>7758-97-6</t>
  </si>
  <si>
    <t>H351, H360, H361, H370, H371, H373, H400, H410, H411, H412</t>
  </si>
  <si>
    <t>Katı</t>
  </si>
  <si>
    <t>Decomposes (NTP, 1992)</t>
  </si>
  <si>
    <t>Toz</t>
  </si>
  <si>
    <t>0003</t>
  </si>
  <si>
    <t>LEAD CHROMATE</t>
  </si>
  <si>
    <t>2291</t>
  </si>
  <si>
    <t>cancer; enviro</t>
  </si>
  <si>
    <t>Kanserojen/Mutajen/Repro; Çevre için Tehlikeli</t>
  </si>
  <si>
    <t>CHM-0004</t>
  </si>
  <si>
    <t>METİL  İZOSİYANAT</t>
  </si>
  <si>
    <t>624-83-9</t>
  </si>
  <si>
    <t>SDS gerekir</t>
  </si>
  <si>
    <t>B</t>
  </si>
  <si>
    <t>0004</t>
  </si>
  <si>
    <t>METHYL ISOCYANATE</t>
  </si>
  <si>
    <t>2480</t>
  </si>
  <si>
    <t>CHM-0005</t>
  </si>
  <si>
    <t>PARAKUAT DİKLORÜR</t>
  </si>
  <si>
    <t>1910-42-5</t>
  </si>
  <si>
    <t>H300, H301, H312, H315, H319, H330, H335, H400, H410, H411, H412</t>
  </si>
  <si>
    <t>Decomposes (NIOSH, 2024)</t>
  </si>
  <si>
    <t>D</t>
  </si>
  <si>
    <t>Belirsiz</t>
  </si>
  <si>
    <t>0005</t>
  </si>
  <si>
    <t>PARAQUAT DICHLORIDE</t>
  </si>
  <si>
    <t>2781</t>
  </si>
  <si>
    <t>skull; cancer; enviro</t>
  </si>
  <si>
    <t>Akut Toksisite; Kanserojen/Mutajen/Repro; Çevre için Tehlikeli</t>
  </si>
  <si>
    <t>CHM-0006</t>
  </si>
  <si>
    <t>PARATİON</t>
  </si>
  <si>
    <t>56-38-2</t>
  </si>
  <si>
    <t>Çok Düşük</t>
  </si>
  <si>
    <t>0006</t>
  </si>
  <si>
    <t>PARATHION</t>
  </si>
  <si>
    <t>3018</t>
  </si>
  <si>
    <t>CHM-0007</t>
  </si>
  <si>
    <t>FOSGEN</t>
  </si>
  <si>
    <t>75-44-5</t>
  </si>
  <si>
    <t>H280, H300, H319, H330, H335, H373</t>
  </si>
  <si>
    <t>0007</t>
  </si>
  <si>
    <t>PHOSGENE</t>
  </si>
  <si>
    <t>1076</t>
  </si>
  <si>
    <t>2.3</t>
  </si>
  <si>
    <t>Sınıf 2.3: Zehirli Gazlar</t>
  </si>
  <si>
    <t>cylinder; skull; cancer</t>
  </si>
  <si>
    <t>Basınçlı Gaz; Akut Toksisite; Kanserojen/Mutajen/Repro</t>
  </si>
  <si>
    <t>CHM-0008</t>
  </si>
  <si>
    <t>TETRAETİL  KURŞUN</t>
  </si>
  <si>
    <t>78-00-2</t>
  </si>
  <si>
    <t>H227, H300, H361, H373, H400, H410, H411, H412</t>
  </si>
  <si>
    <t>392 °F at 760 mmHg Decomposes between 230 - 392 °F. (EPA, 1998)</t>
  </si>
  <si>
    <t>0008</t>
  </si>
  <si>
    <t>TETRAETHYL LEAD</t>
  </si>
  <si>
    <t>1649</t>
  </si>
  <si>
    <t>CHM-0009</t>
  </si>
  <si>
    <t>ASETALDEHİD</t>
  </si>
  <si>
    <t>75-07-0</t>
  </si>
  <si>
    <t>0009</t>
  </si>
  <si>
    <t>ACETALDEHYDE</t>
  </si>
  <si>
    <t>1089</t>
  </si>
  <si>
    <t>3</t>
  </si>
  <si>
    <t>Sınıf 3: Yanıcı Sıvılar</t>
  </si>
  <si>
    <t>CHM-0010</t>
  </si>
  <si>
    <t>ALİL  KLORÜR</t>
  </si>
  <si>
    <t>107-05-1</t>
  </si>
  <si>
    <t>0010</t>
  </si>
  <si>
    <t>ALLYL CHLORIDE</t>
  </si>
  <si>
    <t>1100</t>
  </si>
  <si>
    <t>CHM-0011</t>
  </si>
  <si>
    <t>ANİLİN</t>
  </si>
  <si>
    <t>62-53-3</t>
  </si>
  <si>
    <t>H301, H317, H319, H373, H400, H410</t>
  </si>
  <si>
    <t>0011</t>
  </si>
  <si>
    <t>ANILINE</t>
  </si>
  <si>
    <t>1547</t>
  </si>
  <si>
    <t>CHM-0012</t>
  </si>
  <si>
    <t>ANTİMON TRİOKSİT</t>
  </si>
  <si>
    <t>1309-64-4</t>
  </si>
  <si>
    <t>H315, H351</t>
  </si>
  <si>
    <t>0012</t>
  </si>
  <si>
    <t>ANTIMONY TRIOXIDE</t>
  </si>
  <si>
    <t>UYARI</t>
  </si>
  <si>
    <t>cancer</t>
  </si>
  <si>
    <t>Kanserojen/Mutajen/Repro</t>
  </si>
  <si>
    <t>CHM-0013</t>
  </si>
  <si>
    <t>ARSENİK</t>
  </si>
  <si>
    <t>7440-38-2</t>
  </si>
  <si>
    <t>H301, H351, H361, H370, H372, H373, H400, H411, H412</t>
  </si>
  <si>
    <t>1135 °F at 760 mmHg (sublimes) (USCG, 1999)</t>
  </si>
  <si>
    <t>0013</t>
  </si>
  <si>
    <t>ARSENIC</t>
  </si>
  <si>
    <t>1558</t>
  </si>
  <si>
    <t>CHM-0014</t>
  </si>
  <si>
    <t>KRİSOTİL</t>
  </si>
  <si>
    <t>12001-29-5</t>
  </si>
  <si>
    <t>H351, H373</t>
  </si>
  <si>
    <t>0014</t>
  </si>
  <si>
    <t>CHRYSOTILE</t>
  </si>
  <si>
    <t>2590</t>
  </si>
  <si>
    <t>9</t>
  </si>
  <si>
    <t>Sınıf 9: Çeşitli Tehlikeli Maddeler</t>
  </si>
  <si>
    <t>CHM-0015</t>
  </si>
  <si>
    <t>BENZEN</t>
  </si>
  <si>
    <t>71-43-2</t>
  </si>
  <si>
    <t>H225, H226, H300, H315, H319, H340, H341, H351, H373, H402, H412</t>
  </si>
  <si>
    <t>0015</t>
  </si>
  <si>
    <t>BENZENE</t>
  </si>
  <si>
    <t>1114</t>
  </si>
  <si>
    <t>flam; cancer; excl mark</t>
  </si>
  <si>
    <t>Yanıcı; Kanserojen/Mutajen/Repro; Sağlık Tehlikesi (hafif)</t>
  </si>
  <si>
    <t>CHM-0016</t>
  </si>
  <si>
    <t>BENZİL KLORİD</t>
  </si>
  <si>
    <t>100-44-7</t>
  </si>
  <si>
    <t>0016</t>
  </si>
  <si>
    <t>BENZYL CHLORIDE</t>
  </si>
  <si>
    <t>1738</t>
  </si>
  <si>
    <t>CHM-0017</t>
  </si>
  <si>
    <t>1,3-BÜTADİEN</t>
  </si>
  <si>
    <t>106-99-0</t>
  </si>
  <si>
    <t>H220, H221, H280, H340, H341, H351</t>
  </si>
  <si>
    <t>0017</t>
  </si>
  <si>
    <t>1,3-BUTADIENE</t>
  </si>
  <si>
    <t>1010</t>
  </si>
  <si>
    <t>cylinder; flam; cancer</t>
  </si>
  <si>
    <t>Basınçlı Gaz; Yanıcı; Kanserojen/Mutajen/Repro</t>
  </si>
  <si>
    <t>CHM-0018</t>
  </si>
  <si>
    <t>n-BÜTİL MERKAPTAN</t>
  </si>
  <si>
    <t>109-79-5</t>
  </si>
  <si>
    <t>0018</t>
  </si>
  <si>
    <t>n-BUTYL MERCAPTAN</t>
  </si>
  <si>
    <t>2347</t>
  </si>
  <si>
    <t>CHM-0019</t>
  </si>
  <si>
    <t>2-METİL-2-PROPANTİYOL</t>
  </si>
  <si>
    <t>75-66-1</t>
  </si>
  <si>
    <t>0019</t>
  </si>
  <si>
    <t>2-METHYL-2-PROPANETHIOL</t>
  </si>
  <si>
    <t>CHM-0020</t>
  </si>
  <si>
    <t>KADMIYUM</t>
  </si>
  <si>
    <t>7440-43-9</t>
  </si>
  <si>
    <t>0020</t>
  </si>
  <si>
    <t>CADMIUM</t>
  </si>
  <si>
    <t>2570</t>
  </si>
  <si>
    <t>CHM-0021</t>
  </si>
  <si>
    <t>KARBONDİOKSİT</t>
  </si>
  <si>
    <t>124-38-9</t>
  </si>
  <si>
    <t>H280</t>
  </si>
  <si>
    <t>Sublimes (NIOSH, 2024)</t>
  </si>
  <si>
    <t>0021</t>
  </si>
  <si>
    <t>CARBON DIOXIDE</t>
  </si>
  <si>
    <t>1013</t>
  </si>
  <si>
    <t>2.2</t>
  </si>
  <si>
    <t>Sınıf 2.2: Yanıcı Olmayan Gazlar</t>
  </si>
  <si>
    <t>cylinder</t>
  </si>
  <si>
    <t>Basınçlı Gaz</t>
  </si>
  <si>
    <t>CHM-0022</t>
  </si>
  <si>
    <t>KARBONDİSÜLFÜR</t>
  </si>
  <si>
    <t>75-15-0</t>
  </si>
  <si>
    <t>0022</t>
  </si>
  <si>
    <t>CARBON DISULFIDE</t>
  </si>
  <si>
    <t>1131</t>
  </si>
  <si>
    <t>CHM-0023</t>
  </si>
  <si>
    <t>KARBON MONOKSİT</t>
  </si>
  <si>
    <t>630-08-0</t>
  </si>
  <si>
    <t>H220, H221, H280, H331, H360, H361, H373</t>
  </si>
  <si>
    <t>0023</t>
  </si>
  <si>
    <t>CARBON MONOXIDE</t>
  </si>
  <si>
    <t>1016</t>
  </si>
  <si>
    <t>flam; cylinder; skull; cancer</t>
  </si>
  <si>
    <t>Yanıcı; Basınçlı Gaz; Akut Toksisite; Kanserojen/Mutajen/Repro</t>
  </si>
  <si>
    <t>CHM-0024</t>
  </si>
  <si>
    <t>KARBON TETRAKLORİD</t>
  </si>
  <si>
    <t>56-23-5</t>
  </si>
  <si>
    <t>H301, H351, H373, H402, H412</t>
  </si>
  <si>
    <t>0024</t>
  </si>
  <si>
    <t>CARBON TETRACHLORIDE</t>
  </si>
  <si>
    <t>1846</t>
  </si>
  <si>
    <t>CHM-0025</t>
  </si>
  <si>
    <t>1-HEKSADEKANTİYOL</t>
  </si>
  <si>
    <t>2917-26-2</t>
  </si>
  <si>
    <t>0025</t>
  </si>
  <si>
    <t>1-HEXADECANETHIOL</t>
  </si>
  <si>
    <t>CHM-0026</t>
  </si>
  <si>
    <t>4-KLOROANİLİN</t>
  </si>
  <si>
    <t>106-47-8</t>
  </si>
  <si>
    <t>0026</t>
  </si>
  <si>
    <t>4-CHLOROANILINE</t>
  </si>
  <si>
    <t>2018</t>
  </si>
  <si>
    <t>CHM-0027</t>
  </si>
  <si>
    <t>KLOROFORM</t>
  </si>
  <si>
    <t>67-66-3</t>
  </si>
  <si>
    <t>H302, H319, H336, H351, H361, H373, H402</t>
  </si>
  <si>
    <t>0027</t>
  </si>
  <si>
    <t>CHLOROFORM</t>
  </si>
  <si>
    <t>1888</t>
  </si>
  <si>
    <t>excl mark; cancer</t>
  </si>
  <si>
    <t>Sağlık Tehlikesi (hafif); Kanserojen/Mutajen/Repro</t>
  </si>
  <si>
    <t>CHM-0028</t>
  </si>
  <si>
    <t>1-KLORO-2-NİTROBENZEN</t>
  </si>
  <si>
    <t>88-73-3</t>
  </si>
  <si>
    <t>H301, H312, H351, H373, H400</t>
  </si>
  <si>
    <t>0028</t>
  </si>
  <si>
    <t>1-CHLORO-2-NITROBENZENE</t>
  </si>
  <si>
    <t>1578</t>
  </si>
  <si>
    <t>CHM-0029</t>
  </si>
  <si>
    <t>KROM</t>
  </si>
  <si>
    <t>7440-47-3</t>
  </si>
  <si>
    <t>0029</t>
  </si>
  <si>
    <t>CHROMIUM</t>
  </si>
  <si>
    <t>CHM-0030</t>
  </si>
  <si>
    <t>o-KRESOL</t>
  </si>
  <si>
    <t>95-48-7</t>
  </si>
  <si>
    <t>H301, H314, H373, H400</t>
  </si>
  <si>
    <t>0030</t>
  </si>
  <si>
    <t>o-CRESOL</t>
  </si>
  <si>
    <t>3455</t>
  </si>
  <si>
    <t>corr; skull; cancer</t>
  </si>
  <si>
    <t>corr; Akut Toksisite; Kanserojen/Mutajen/Repro</t>
  </si>
  <si>
    <t>CHM-0031</t>
  </si>
  <si>
    <t>p-KRESOL</t>
  </si>
  <si>
    <t>106-44-5</t>
  </si>
  <si>
    <t>H300, H301, H314, H330, H373, H400</t>
  </si>
  <si>
    <t>0031</t>
  </si>
  <si>
    <t>p-CRESOL</t>
  </si>
  <si>
    <t>CHM-0032</t>
  </si>
  <si>
    <t>SİKLOHEKSANTİYOL</t>
  </si>
  <si>
    <t>1569-69-3</t>
  </si>
  <si>
    <t>0032</t>
  </si>
  <si>
    <t>CYCLOHEXANETHIOL</t>
  </si>
  <si>
    <t>3054</t>
  </si>
  <si>
    <t>CHM-0033</t>
  </si>
  <si>
    <t>2,4-D</t>
  </si>
  <si>
    <t>94-75-7</t>
  </si>
  <si>
    <t>Orta</t>
  </si>
  <si>
    <t>0033</t>
  </si>
  <si>
    <t>3077</t>
  </si>
  <si>
    <t>CHM-0034</t>
  </si>
  <si>
    <t>DDT</t>
  </si>
  <si>
    <t>50-29-3</t>
  </si>
  <si>
    <t>0034</t>
  </si>
  <si>
    <t>2761</t>
  </si>
  <si>
    <t>CHM-0035</t>
  </si>
  <si>
    <t>1-DEKANTİYOL</t>
  </si>
  <si>
    <t>143-10-2</t>
  </si>
  <si>
    <t>0035</t>
  </si>
  <si>
    <t>1-DECANETHIOL</t>
  </si>
  <si>
    <t>CHM-0036</t>
  </si>
  <si>
    <t>DİBÜTİL FTALAT</t>
  </si>
  <si>
    <t>84-74-2</t>
  </si>
  <si>
    <t>0036</t>
  </si>
  <si>
    <t>DIBUTYL PHTHALATE</t>
  </si>
  <si>
    <t>3082</t>
  </si>
  <si>
    <t>CHM-0037</t>
  </si>
  <si>
    <t>1,4-DİKLOROBENZEN</t>
  </si>
  <si>
    <t>106-46-7</t>
  </si>
  <si>
    <t>H302, H319, H351, H400, H410, H411, H412</t>
  </si>
  <si>
    <t>0037</t>
  </si>
  <si>
    <t>1,4-DICHLOROBENZENE</t>
  </si>
  <si>
    <t>excl mark; cancer; enviro</t>
  </si>
  <si>
    <t>Sağlık Tehlikesi (hafif); Kanserojen/Mutajen/Repro; Çevre için Tehlikeli</t>
  </si>
  <si>
    <t>CHM-0038</t>
  </si>
  <si>
    <t>DİKLORPROP</t>
  </si>
  <si>
    <t>120-36-5</t>
  </si>
  <si>
    <t>H302, H315, H318, H373, H400, H410, H411, H412</t>
  </si>
  <si>
    <t>0038</t>
  </si>
  <si>
    <t>DICHLORPROP</t>
  </si>
  <si>
    <t>excl mark; corr; cancer; enviro</t>
  </si>
  <si>
    <t>Sağlık Tehlikesi (hafif); corr; Kanserojen/Mutajen/Repro; Çevre için Tehlikeli</t>
  </si>
  <si>
    <t>CHM-0039</t>
  </si>
  <si>
    <t>DİETİLEN GLİKOL MONOETİL ETER</t>
  </si>
  <si>
    <t>111-90-0</t>
  </si>
  <si>
    <t>0039</t>
  </si>
  <si>
    <t>DIETHYLENE GLYCOL MONOETHYL ETHER</t>
  </si>
  <si>
    <t>CHM-0040</t>
  </si>
  <si>
    <t>DİETİLEN GLİKOL MONOMETİL ETER</t>
  </si>
  <si>
    <t>111-77-3</t>
  </si>
  <si>
    <t>0040</t>
  </si>
  <si>
    <t>DIETHYLENE GLYCOL MONOMETHYL ETHER</t>
  </si>
  <si>
    <t>CHM-0041</t>
  </si>
  <si>
    <t>1,4-DİOKSAN</t>
  </si>
  <si>
    <t>123-91-1</t>
  </si>
  <si>
    <t>H225, H226, H302, H319, H335, H351</t>
  </si>
  <si>
    <t>0041</t>
  </si>
  <si>
    <t>1,4-DIOXANE</t>
  </si>
  <si>
    <t>1165</t>
  </si>
  <si>
    <t>flam; excl mark; cancer</t>
  </si>
  <si>
    <t>Yanıcı; Sağlık Tehlikesi (hafif); Kanserojen/Mutajen/Repro</t>
  </si>
  <si>
    <t>CHM-0042</t>
  </si>
  <si>
    <t>1-DODEKANTİYOL</t>
  </si>
  <si>
    <t>112-55-0</t>
  </si>
  <si>
    <t>0042</t>
  </si>
  <si>
    <t>1-DODECANETHIOL</t>
  </si>
  <si>
    <t>CHM-0043</t>
  </si>
  <si>
    <t>EPİKLOROHİDRİN</t>
  </si>
  <si>
    <t>106-89-8</t>
  </si>
  <si>
    <t>H226, H301, H314, H317, H340, H341, H351</t>
  </si>
  <si>
    <t>0043</t>
  </si>
  <si>
    <t>EPICHLOROHYDRIN</t>
  </si>
  <si>
    <t>2023</t>
  </si>
  <si>
    <t>flam; skull; corr; cancer</t>
  </si>
  <si>
    <t>Yanıcı; Akut Toksisite; corr; Kanserojen/Mutajen/Repro</t>
  </si>
  <si>
    <t>CHM-0044</t>
  </si>
  <si>
    <t>ETANOL (ANHİDROZ)</t>
  </si>
  <si>
    <t>64-17-5</t>
  </si>
  <si>
    <t>H225, H226, H302, H319, H370, H371, H373</t>
  </si>
  <si>
    <t>0044</t>
  </si>
  <si>
    <t>ETHANOL (ANHYDROUS)</t>
  </si>
  <si>
    <t>1170</t>
  </si>
  <si>
    <t>CHM-0045</t>
  </si>
  <si>
    <t>ETİLEN DİBROMÜR</t>
  </si>
  <si>
    <t>106-93-4</t>
  </si>
  <si>
    <t>H301, H319, H335, H336, H351, H361, H402</t>
  </si>
  <si>
    <t>0045</t>
  </si>
  <si>
    <t>ETHYLENE DIBROMIDE</t>
  </si>
  <si>
    <t>1605</t>
  </si>
  <si>
    <t>CHM-0046</t>
  </si>
  <si>
    <t>FLOR</t>
  </si>
  <si>
    <t>7782-41-4</t>
  </si>
  <si>
    <t>0046</t>
  </si>
  <si>
    <t>FLUORINE</t>
  </si>
  <si>
    <t>1045</t>
  </si>
  <si>
    <t>CHM-0047</t>
  </si>
  <si>
    <t>TRİKLOROFLÜOROMETAN</t>
  </si>
  <si>
    <t>75-69-4</t>
  </si>
  <si>
    <t>Çok Yüksek (Gaz)</t>
  </si>
  <si>
    <t>0047</t>
  </si>
  <si>
    <t>TRICHLOROFLUOROMETHANE</t>
  </si>
  <si>
    <t>CHM-0048</t>
  </si>
  <si>
    <t>DİKLORODİFLÜOROMETAN</t>
  </si>
  <si>
    <t>75-71-8</t>
  </si>
  <si>
    <t>0048</t>
  </si>
  <si>
    <t>DICHLORODIFLUOROMETHANE</t>
  </si>
  <si>
    <t>1028</t>
  </si>
  <si>
    <t>CHM-0049</t>
  </si>
  <si>
    <t>KLORODİFLÜOROMETAN</t>
  </si>
  <si>
    <t>75-45-6</t>
  </si>
  <si>
    <t>0049</t>
  </si>
  <si>
    <t>CHLORODIFLUOROMETHANE</t>
  </si>
  <si>
    <t>1018</t>
  </si>
  <si>
    <t>CHM-0050</t>
  </si>
  <si>
    <t>1,1,2-TRİKLORO-1,2,2-TRİFLÜOROETAN</t>
  </si>
  <si>
    <t>76-13-1</t>
  </si>
  <si>
    <t>0050</t>
  </si>
  <si>
    <t>1,1,2-TRICHLORO-1,2,2-TRIFLUOROETHANE</t>
  </si>
  <si>
    <t>CHM-0051</t>
  </si>
  <si>
    <t>HEKSAKLOROETAN</t>
  </si>
  <si>
    <t>67-72-1</t>
  </si>
  <si>
    <t>H302, H336, H373, H400, H410</t>
  </si>
  <si>
    <t>368.2 °F at 760 mmHg (Sublimes) (NTP, 1992)</t>
  </si>
  <si>
    <t>0051</t>
  </si>
  <si>
    <t>HEXACHLOROETHANE</t>
  </si>
  <si>
    <t>cancer; excl mark; enviro</t>
  </si>
  <si>
    <t>Kanserojen/Mutajen/Repro; Sağlık Tehlikesi (hafif); Çevre için Tehlikeli</t>
  </si>
  <si>
    <t>CHM-0052</t>
  </si>
  <si>
    <t>KURŞUN</t>
  </si>
  <si>
    <t>7439-92-1</t>
  </si>
  <si>
    <t>H351, H360, H361, H370, H372, H373, H400, H411, H412</t>
  </si>
  <si>
    <t>0052</t>
  </si>
  <si>
    <t>LEAD</t>
  </si>
  <si>
    <t>CHM-0053</t>
  </si>
  <si>
    <t>LİNDAN</t>
  </si>
  <si>
    <t>58-89-9</t>
  </si>
  <si>
    <t>H301, H332, H351, H373, H400, H410, H411, H412</t>
  </si>
  <si>
    <t>0053</t>
  </si>
  <si>
    <t>LINDANE</t>
  </si>
  <si>
    <t>CHM-0054</t>
  </si>
  <si>
    <t>MCPA</t>
  </si>
  <si>
    <t>94-74-6</t>
  </si>
  <si>
    <t>H302, H315, H318, H335, H400, H410, H411, H412</t>
  </si>
  <si>
    <t>0054</t>
  </si>
  <si>
    <t>corr; excl mark; enviro</t>
  </si>
  <si>
    <t>corr; Sağlık Tehlikesi (hafif); Çevre için Tehlikeli</t>
  </si>
  <si>
    <t>CHM-0055</t>
  </si>
  <si>
    <t>MEKOPROP</t>
  </si>
  <si>
    <t>93-65-2</t>
  </si>
  <si>
    <t>0055</t>
  </si>
  <si>
    <t>MECOPROP</t>
  </si>
  <si>
    <t>CHM-0056</t>
  </si>
  <si>
    <t>CİVA</t>
  </si>
  <si>
    <t>7439-97-6</t>
  </si>
  <si>
    <t>H290, H300, H330, H360, H361, H373, H400, H410, H411, H412</t>
  </si>
  <si>
    <t>0056</t>
  </si>
  <si>
    <t>MERCURY</t>
  </si>
  <si>
    <t>2809</t>
  </si>
  <si>
    <t>8</t>
  </si>
  <si>
    <t>Sınıf 8: Aşındırıcı Maddeler</t>
  </si>
  <si>
    <t>corr; skull; cancer; enviro</t>
  </si>
  <si>
    <t>corr; Akut Toksisite; Kanserojen/Mutajen/Repro; Çevre için Tehlikeli</t>
  </si>
  <si>
    <t>CHM-0057</t>
  </si>
  <si>
    <t>METANOL</t>
  </si>
  <si>
    <t>67-56-1</t>
  </si>
  <si>
    <t>H225, H226, H301, H332</t>
  </si>
  <si>
    <t>0057</t>
  </si>
  <si>
    <t>METHANOL</t>
  </si>
  <si>
    <t>1230</t>
  </si>
  <si>
    <t>flam; skull; cancer</t>
  </si>
  <si>
    <t>Yanıcı; Akut Toksisite; Kanserojen/Mutajen/Repro</t>
  </si>
  <si>
    <t>CHM-0058</t>
  </si>
  <si>
    <t>DİKLOROMETAN</t>
  </si>
  <si>
    <t>75-09-2</t>
  </si>
  <si>
    <t>H300, H302, H319, H330, H336, H351, H373</t>
  </si>
  <si>
    <t>0058</t>
  </si>
  <si>
    <t>DICHLOROMETHANE</t>
  </si>
  <si>
    <t>1593</t>
  </si>
  <si>
    <t>CHM-0059</t>
  </si>
  <si>
    <t>ETİLEN GLİKOL MONOBÜTİL ETER</t>
  </si>
  <si>
    <t>111-76-2</t>
  </si>
  <si>
    <t>H226, H300, H302, H310, H370, H371</t>
  </si>
  <si>
    <t>0059</t>
  </si>
  <si>
    <t>ETHYLENE GLYCOL MONOBUTYL ETHER</t>
  </si>
  <si>
    <t>2810</t>
  </si>
  <si>
    <t>flam; skull</t>
  </si>
  <si>
    <t>Yanıcı; Akut Toksisite</t>
  </si>
  <si>
    <t>CHM-0060</t>
  </si>
  <si>
    <t>ETİLEN GLİKOL MONOETİL ETER</t>
  </si>
  <si>
    <t>110-80-5</t>
  </si>
  <si>
    <t>H226, H360, H361</t>
  </si>
  <si>
    <t>0060</t>
  </si>
  <si>
    <t>ETHYLENE GLYCOL MONOETHYL ETHER</t>
  </si>
  <si>
    <t>1171</t>
  </si>
  <si>
    <t>flam; cancer</t>
  </si>
  <si>
    <t>Yanıcı; Kanserojen/Mutajen/Repro</t>
  </si>
  <si>
    <t>CHM-0061</t>
  </si>
  <si>
    <t>ETİLEN GLİKOL MONOMETİL ETER</t>
  </si>
  <si>
    <t>109-86-4</t>
  </si>
  <si>
    <t>0061</t>
  </si>
  <si>
    <t>ETHYLENE GLYCOL MONOMETHYL ETHER</t>
  </si>
  <si>
    <t>1188</t>
  </si>
  <si>
    <t>CHM-0062</t>
  </si>
  <si>
    <t>NİKEL</t>
  </si>
  <si>
    <t>7440-02-0</t>
  </si>
  <si>
    <t>H317, H334, H351, H373, H402, H412</t>
  </si>
  <si>
    <t>0062</t>
  </si>
  <si>
    <t>NICKEL</t>
  </si>
  <si>
    <t>CHM-0063</t>
  </si>
  <si>
    <t>NİKEL(II)SÜLFAT</t>
  </si>
  <si>
    <t>7786-81-4</t>
  </si>
  <si>
    <t>H302, H315, H317, H334, H340, H341, H351, H360, H361, H373, H400, H410, H411, H412</t>
  </si>
  <si>
    <t>0063</t>
  </si>
  <si>
    <t>NICKEL(II)SULPHATE</t>
  </si>
  <si>
    <t>CHM-0064</t>
  </si>
  <si>
    <t>NİKEL KARBONİL</t>
  </si>
  <si>
    <t>13463-39-3</t>
  </si>
  <si>
    <t>H225, H226, H300, H330, H351, H360, H361, H400, H410, H411, H412</t>
  </si>
  <si>
    <t>0064</t>
  </si>
  <si>
    <t>NICKEL CARBONYL</t>
  </si>
  <si>
    <t>1259</t>
  </si>
  <si>
    <t>flam; skull; cancer; enviro</t>
  </si>
  <si>
    <t>Yanıcı; Akut Toksisite; Kanserojen/Mutajen/Repro; Çevre için Tehlikeli</t>
  </si>
  <si>
    <t>CHM-0065</t>
  </si>
  <si>
    <t>NİTROBENZEN</t>
  </si>
  <si>
    <t>98-95-3</t>
  </si>
  <si>
    <t>H302, H311, H351, H361, H402, H412</t>
  </si>
  <si>
    <t>0065</t>
  </si>
  <si>
    <t>NITROBENZENE</t>
  </si>
  <si>
    <t>1662</t>
  </si>
  <si>
    <t>CHM-0066</t>
  </si>
  <si>
    <t>p-NİTROFENOL</t>
  </si>
  <si>
    <t>100-02-7</t>
  </si>
  <si>
    <t>534 °F at 760 mmHg (Decomposes) (NTP, 1992)</t>
  </si>
  <si>
    <t>0066</t>
  </si>
  <si>
    <t>p-NITROPHENOL</t>
  </si>
  <si>
    <t>1663</t>
  </si>
  <si>
    <t>CHM-0067</t>
  </si>
  <si>
    <t>DİAZOT MONOKSİT</t>
  </si>
  <si>
    <t>10024-97-2</t>
  </si>
  <si>
    <t>H280, H336, H360, H361, H373</t>
  </si>
  <si>
    <t>0067</t>
  </si>
  <si>
    <t>NITROUS OXIDE</t>
  </si>
  <si>
    <t>1070</t>
  </si>
  <si>
    <t>flam circle; cylinder; excl mark; cancer</t>
  </si>
  <si>
    <t>flam circle; Basınçlı Gaz; Sağlık Tehlikesi (hafif); Kanserojen/Mutajen/Repro</t>
  </si>
  <si>
    <t>CHM-0068</t>
  </si>
  <si>
    <t>OZON</t>
  </si>
  <si>
    <t>10028-15-6</t>
  </si>
  <si>
    <t>H300, H319, H330, H373</t>
  </si>
  <si>
    <t>0068</t>
  </si>
  <si>
    <t>OZONE</t>
  </si>
  <si>
    <t>flam circle; skull; cancer</t>
  </si>
  <si>
    <t>flam circle; Akut Toksisite; Kanserojen/Mutajen/Repro</t>
  </si>
  <si>
    <t>CHM-0069</t>
  </si>
  <si>
    <t>PENTAKLOROFENOL</t>
  </si>
  <si>
    <t>87-86-5</t>
  </si>
  <si>
    <t>588 to 590 °F at 760 mmHg (with decomposition) (NTP, 1992)</t>
  </si>
  <si>
    <t>0069</t>
  </si>
  <si>
    <t>PENTACHLOROPHENOL</t>
  </si>
  <si>
    <t>3155</t>
  </si>
  <si>
    <t>CHM-0070</t>
  </si>
  <si>
    <t>FENOL</t>
  </si>
  <si>
    <t>108-95-2</t>
  </si>
  <si>
    <t>H301, H314, H335, H340, H341, H370, H372, H373, H400</t>
  </si>
  <si>
    <t>0070</t>
  </si>
  <si>
    <t>PHENOL</t>
  </si>
  <si>
    <t>1671</t>
  </si>
  <si>
    <t>skull; corr; cancer</t>
  </si>
  <si>
    <t>Akut Toksisite; corr; Kanserojen/Mutajen/Repro</t>
  </si>
  <si>
    <t>CHM-0071</t>
  </si>
  <si>
    <t>KİNOLİN</t>
  </si>
  <si>
    <t>91-22-5</t>
  </si>
  <si>
    <t>H301, H312, H315, H319, H340, H341, H351, H400, H410</t>
  </si>
  <si>
    <t>0071</t>
  </si>
  <si>
    <t>QUINOLINE</t>
  </si>
  <si>
    <t>2656</t>
  </si>
  <si>
    <t>CHM-0072</t>
  </si>
  <si>
    <t>SELENYUM</t>
  </si>
  <si>
    <t>7782-49-2</t>
  </si>
  <si>
    <t>H335, H373, H400, H410</t>
  </si>
  <si>
    <t>0072</t>
  </si>
  <si>
    <t>SELENIUM</t>
  </si>
  <si>
    <t>3283</t>
  </si>
  <si>
    <t>CHM-0073</t>
  </si>
  <si>
    <t>STİREN</t>
  </si>
  <si>
    <t>100-42-5</t>
  </si>
  <si>
    <t>H226, H319, H332, H351, H373, H400</t>
  </si>
  <si>
    <t>0073</t>
  </si>
  <si>
    <t>STYRENE</t>
  </si>
  <si>
    <t>2055</t>
  </si>
  <si>
    <t>CHM-0074</t>
  </si>
  <si>
    <t>KÜKÜRT DİOKSİT</t>
  </si>
  <si>
    <t>7446-09-5</t>
  </si>
  <si>
    <t>H281, H319, H331, H373, H402</t>
  </si>
  <si>
    <t>0074</t>
  </si>
  <si>
    <t>SULPHUR DIOXIDE</t>
  </si>
  <si>
    <t>1079</t>
  </si>
  <si>
    <t>cylinder; skull; excl mark; enviro</t>
  </si>
  <si>
    <t>Basınçlı Gaz; Akut Toksisite; Sağlık Tehlikesi (hafif); Çevre için Tehlikeli</t>
  </si>
  <si>
    <t>CHM-0075</t>
  </si>
  <si>
    <t>(2,4,5-TRİKLOROFENOKSİ) ASETİK ASİT</t>
  </si>
  <si>
    <t>93-76-5</t>
  </si>
  <si>
    <t>0075</t>
  </si>
  <si>
    <t>(2,4,5-TRICHLOROPHENOXY) ACETIC ACID</t>
  </si>
  <si>
    <t>3345</t>
  </si>
  <si>
    <t>CHM-0076</t>
  </si>
  <si>
    <t>TETRAKLOROETİLEN</t>
  </si>
  <si>
    <t>127-18-4</t>
  </si>
  <si>
    <t>H302, H315, H336, H351, H400, H411, H412</t>
  </si>
  <si>
    <t>0076</t>
  </si>
  <si>
    <t>TETRACHLOROETHYLENE</t>
  </si>
  <si>
    <t>1897</t>
  </si>
  <si>
    <t>CHM-0077</t>
  </si>
  <si>
    <t>TALYUM</t>
  </si>
  <si>
    <t>7440-28-0</t>
  </si>
  <si>
    <t>H300</t>
  </si>
  <si>
    <t>0077</t>
  </si>
  <si>
    <t>THALLIUM</t>
  </si>
  <si>
    <t>1707</t>
  </si>
  <si>
    <t>CHM-0078</t>
  </si>
  <si>
    <t>TOLUEN</t>
  </si>
  <si>
    <t>108-88-3</t>
  </si>
  <si>
    <t>H225, H226, H300, H315, H336, H361, H373, H400, H411, H412</t>
  </si>
  <si>
    <t>0078</t>
  </si>
  <si>
    <t>TOLUENE</t>
  </si>
  <si>
    <t>1294</t>
  </si>
  <si>
    <t>flam; excl mark; cancer; enviro</t>
  </si>
  <si>
    <t>Yanıcı; Sağlık Tehlikesi (hafif); Kanserojen/Mutajen/Repro; Çevre için Tehlikeli</t>
  </si>
  <si>
    <t>CHM-0079</t>
  </si>
  <si>
    <t>1,1,1-TRİKLOROETAN</t>
  </si>
  <si>
    <t>71-55-6</t>
  </si>
  <si>
    <t>H315, H319, H402</t>
  </si>
  <si>
    <t>0079</t>
  </si>
  <si>
    <t>1,1,1-TRICHLOROETHANE</t>
  </si>
  <si>
    <t>2831</t>
  </si>
  <si>
    <t>CHM-0080</t>
  </si>
  <si>
    <t>1,1,2-TRİKLOROETAN</t>
  </si>
  <si>
    <t>79-00-5</t>
  </si>
  <si>
    <t>H300, H302, H315, H319, H331, H336, H402, H412</t>
  </si>
  <si>
    <t>0080</t>
  </si>
  <si>
    <t>1,1,2-TRICHLOROETHANE</t>
  </si>
  <si>
    <t>CHM-0081</t>
  </si>
  <si>
    <t>TRİKLOROETİLEN</t>
  </si>
  <si>
    <t>79-01-6</t>
  </si>
  <si>
    <t>H302, H315, H319, H336, H340, H341, H351, H402, H412</t>
  </si>
  <si>
    <t>0081</t>
  </si>
  <si>
    <t>TRICHLOROETHYLENE</t>
  </si>
  <si>
    <t>1710</t>
  </si>
  <si>
    <t>CHM-0082</t>
  </si>
  <si>
    <t>VİNİL KLORİD</t>
  </si>
  <si>
    <t>75-01-4</t>
  </si>
  <si>
    <t>H220, H221, H280, H336, H340, H341, H351, H373</t>
  </si>
  <si>
    <t>0082</t>
  </si>
  <si>
    <t>VINYL CHLORIDE</t>
  </si>
  <si>
    <t>1086</t>
  </si>
  <si>
    <t>flam; cylinder; excl mark; cancer</t>
  </si>
  <si>
    <t>Yanıcı; Basınçlı Gaz; Sağlık Tehlikesi (hafif); Kanserojen/Mutajen/Repro</t>
  </si>
  <si>
    <t>CHM-0083</t>
  </si>
  <si>
    <t>VİNİLİDEN KLORİD</t>
  </si>
  <si>
    <t>75-35-4</t>
  </si>
  <si>
    <t>H224, H226, H301, H332, H336, H373, H402</t>
  </si>
  <si>
    <t>0083</t>
  </si>
  <si>
    <t>VINYLIDENE CHLORIDE</t>
  </si>
  <si>
    <t>1303</t>
  </si>
  <si>
    <t>CHM-0084</t>
  </si>
  <si>
    <t>o-KSİLEN</t>
  </si>
  <si>
    <t>95-47-6</t>
  </si>
  <si>
    <t>H226, H300, H312, H315, H319, H373, H400</t>
  </si>
  <si>
    <t>0084</t>
  </si>
  <si>
    <t>o-XYLENE</t>
  </si>
  <si>
    <t>1307</t>
  </si>
  <si>
    <t>CHM-0085</t>
  </si>
  <si>
    <t>m-KSİLEN</t>
  </si>
  <si>
    <t>108-38-3</t>
  </si>
  <si>
    <t>H226, H300, H312, H319, H373, H402</t>
  </si>
  <si>
    <t>0085</t>
  </si>
  <si>
    <t>m-XYLENE</t>
  </si>
  <si>
    <t>CHM-0086</t>
  </si>
  <si>
    <t>p-KSİLEN</t>
  </si>
  <si>
    <t>106-42-3</t>
  </si>
  <si>
    <t>H226, H300, H312, H315, H319, H335, H373, H400</t>
  </si>
  <si>
    <t>0086</t>
  </si>
  <si>
    <t>p-XYLENE</t>
  </si>
  <si>
    <t>CHM-0087</t>
  </si>
  <si>
    <t>C</t>
  </si>
  <si>
    <t>0087</t>
  </si>
  <si>
    <t>ACETONE</t>
  </si>
  <si>
    <t>1090</t>
  </si>
  <si>
    <t>flam; excl mark</t>
  </si>
  <si>
    <t>Yanıcı; Sağlık Tehlikesi (hafif)</t>
  </si>
  <si>
    <t>CHM-0088</t>
  </si>
  <si>
    <t>ASETONİTRİL</t>
  </si>
  <si>
    <t>75-05-8</t>
  </si>
  <si>
    <t>H225, H226, H302, H311, H319, H373</t>
  </si>
  <si>
    <t>0088</t>
  </si>
  <si>
    <t>ACETONITRILE</t>
  </si>
  <si>
    <t>1648</t>
  </si>
  <si>
    <t>CHM-0089</t>
  </si>
  <si>
    <t>ASETİLEN</t>
  </si>
  <si>
    <t>74-86-2</t>
  </si>
  <si>
    <t>-119 °F at 760 mmHg (USCG, 1999)</t>
  </si>
  <si>
    <t>0089</t>
  </si>
  <si>
    <t>ACETYLENE</t>
  </si>
  <si>
    <t>1001</t>
  </si>
  <si>
    <t>CHM-0090</t>
  </si>
  <si>
    <t>AKROLEIN</t>
  </si>
  <si>
    <t>107-02-8</t>
  </si>
  <si>
    <t>H224, H226, H300, H314, H331, H351, H373, H400, H410</t>
  </si>
  <si>
    <t>0090</t>
  </si>
  <si>
    <t>ACROLEIN</t>
  </si>
  <si>
    <t>1092</t>
  </si>
  <si>
    <t>flam; corr; skull; enviro</t>
  </si>
  <si>
    <t>Yanıcı; corr; Akut Toksisite; Çevre için Tehlikeli</t>
  </si>
  <si>
    <t>CHM-0091</t>
  </si>
  <si>
    <t>AKRİLAMİD</t>
  </si>
  <si>
    <t>79-06-1</t>
  </si>
  <si>
    <t>H301, H312, H315, H317, H319, H340, H341, H351, H361, H373</t>
  </si>
  <si>
    <t>189 °F at 2 mmHg (EPA, 1998)</t>
  </si>
  <si>
    <t>0091</t>
  </si>
  <si>
    <t>ACRYLAMIDE</t>
  </si>
  <si>
    <t>2074</t>
  </si>
  <si>
    <t>CHM-0092</t>
  </si>
  <si>
    <t>AKRİLONİTRİL</t>
  </si>
  <si>
    <t>107-13-1</t>
  </si>
  <si>
    <t>0092</t>
  </si>
  <si>
    <t>ACRYLONITRILE</t>
  </si>
  <si>
    <t>1093</t>
  </si>
  <si>
    <t>CHM-0093</t>
  </si>
  <si>
    <t>2,2'-DİPİRİDİL</t>
  </si>
  <si>
    <t>366-18-7</t>
  </si>
  <si>
    <t>0093</t>
  </si>
  <si>
    <t>2,2'-DIPYRIDYL</t>
  </si>
  <si>
    <t>CHM-0094</t>
  </si>
  <si>
    <t>ALDİKARB</t>
  </si>
  <si>
    <t>116-06-3</t>
  </si>
  <si>
    <t>H300, H373, H400, H410, H411, H412</t>
  </si>
  <si>
    <t>0094</t>
  </si>
  <si>
    <t>ALDICARB</t>
  </si>
  <si>
    <t>2757</t>
  </si>
  <si>
    <t>CHM-0095</t>
  </si>
  <si>
    <t>ALİL ALKOL</t>
  </si>
  <si>
    <t>107-18-6</t>
  </si>
  <si>
    <t>H225, H226, H301, H315, H319, H335, H400, H410</t>
  </si>
  <si>
    <t>0095</t>
  </si>
  <si>
    <t>ALLYL ALCOHOL</t>
  </si>
  <si>
    <t>1098</t>
  </si>
  <si>
    <t>flam; skull; enviro</t>
  </si>
  <si>
    <t>Yanıcı; Akut Toksisite; Çevre için Tehlikeli</t>
  </si>
  <si>
    <t>CHM-0096</t>
  </si>
  <si>
    <t>ALİL GLİSİDİL ETER</t>
  </si>
  <si>
    <t>106-92-3</t>
  </si>
  <si>
    <t>H226, H302, H315, H317, H318, H331, H336, H340, H341, H351, H361, H402</t>
  </si>
  <si>
    <t>0096</t>
  </si>
  <si>
    <t>ALLYL GLYCIDYL ETHER</t>
  </si>
  <si>
    <t>2219</t>
  </si>
  <si>
    <t>flam; corr; skull; cancer</t>
  </si>
  <si>
    <t>Yanıcı; corr; Akut Toksisite; Kanserojen/Mutajen/Repro</t>
  </si>
  <si>
    <t>CHM-0097</t>
  </si>
  <si>
    <t>AMİNOKARB</t>
  </si>
  <si>
    <t>2032-59-9</t>
  </si>
  <si>
    <t>H300, H311, H373, H400, H410</t>
  </si>
  <si>
    <t>0097</t>
  </si>
  <si>
    <t>AMINOCARB</t>
  </si>
  <si>
    <t>CHM-0098</t>
  </si>
  <si>
    <t>AMİTRAZ</t>
  </si>
  <si>
    <t>33089-61-1</t>
  </si>
  <si>
    <t>H302, H400</t>
  </si>
  <si>
    <t>0098</t>
  </si>
  <si>
    <t>AMITRAZ</t>
  </si>
  <si>
    <t>CHM-0099</t>
  </si>
  <si>
    <t>ATRAZİN</t>
  </si>
  <si>
    <t>1912-24-9</t>
  </si>
  <si>
    <t>H319, H373, H400</t>
  </si>
  <si>
    <t>0099</t>
  </si>
  <si>
    <t>ATRAZINE</t>
  </si>
  <si>
    <t>CHM-0100</t>
  </si>
  <si>
    <t>ETİLENİMİN</t>
  </si>
  <si>
    <t>151-56-4</t>
  </si>
  <si>
    <t>0100</t>
  </si>
  <si>
    <t>ETHYLENEIMINE</t>
  </si>
  <si>
    <t>1185</t>
  </si>
  <si>
    <t>CHM-0101</t>
  </si>
  <si>
    <t>BENZAL KLORİD</t>
  </si>
  <si>
    <t>98-87-3</t>
  </si>
  <si>
    <t>0101</t>
  </si>
  <si>
    <t>BENZAL CHLORIDE</t>
  </si>
  <si>
    <t>1886</t>
  </si>
  <si>
    <t>CHM-0102</t>
  </si>
  <si>
    <t>BENZALDEHİT</t>
  </si>
  <si>
    <t>100-52-7</t>
  </si>
  <si>
    <t>H226, H302, H400</t>
  </si>
  <si>
    <t>0102</t>
  </si>
  <si>
    <t>BENZALDEHYDE</t>
  </si>
  <si>
    <t>1990</t>
  </si>
  <si>
    <t>CHM-0103</t>
  </si>
  <si>
    <t>BENZOİK ASİT</t>
  </si>
  <si>
    <t>65-85-0</t>
  </si>
  <si>
    <t>H318, H402</t>
  </si>
  <si>
    <t>0103</t>
  </si>
  <si>
    <t>BENZOIC ACID</t>
  </si>
  <si>
    <t>CHM-0104</t>
  </si>
  <si>
    <t>BENZO(A)PİREN</t>
  </si>
  <si>
    <t>50-32-8</t>
  </si>
  <si>
    <t>H317, H340, H341, H351, H360, H361, H400, H410, H411, H412</t>
  </si>
  <si>
    <t>0104</t>
  </si>
  <si>
    <t>BENZO(a)PYRENE</t>
  </si>
  <si>
    <t>CHM-0105</t>
  </si>
  <si>
    <t>BENZOTRİKLORİD</t>
  </si>
  <si>
    <t>98-07-7</t>
  </si>
  <si>
    <t>H300, H302, H315, H318, H330, H335, H340, H341, H351, H373</t>
  </si>
  <si>
    <t>0105</t>
  </si>
  <si>
    <t>BENZOTRICHLORIDE</t>
  </si>
  <si>
    <t>2226</t>
  </si>
  <si>
    <t>CHM-0106</t>
  </si>
  <si>
    <t>BİFENİL</t>
  </si>
  <si>
    <t>92-52-4</t>
  </si>
  <si>
    <t>H319, H373, H400, H410</t>
  </si>
  <si>
    <t>0106</t>
  </si>
  <si>
    <t>BIPHENYL</t>
  </si>
  <si>
    <t>CHM-0107</t>
  </si>
  <si>
    <t>BROM</t>
  </si>
  <si>
    <t>7726-95-6</t>
  </si>
  <si>
    <t>H290, H300, H302, H314, H330, H335, H373, H400, H410</t>
  </si>
  <si>
    <t>0107</t>
  </si>
  <si>
    <t>BROMINE</t>
  </si>
  <si>
    <t>1744</t>
  </si>
  <si>
    <t>CHM-0108</t>
  </si>
  <si>
    <t>BROMOFORM</t>
  </si>
  <si>
    <t>75-25-2</t>
  </si>
  <si>
    <t>H302, H319, H335, H373, H402, H412</t>
  </si>
  <si>
    <t>0108</t>
  </si>
  <si>
    <t>2515</t>
  </si>
  <si>
    <t>CHM-0109</t>
  </si>
  <si>
    <t>METİL BROMÜR</t>
  </si>
  <si>
    <t>74-83-9</t>
  </si>
  <si>
    <t>H280, H319, H331, H373</t>
  </si>
  <si>
    <t>0109</t>
  </si>
  <si>
    <t>METHYL BROMIDE</t>
  </si>
  <si>
    <t>1062</t>
  </si>
  <si>
    <t>CHM-0110</t>
  </si>
  <si>
    <t>1,4-BÜTANDİYOL DİGLİSİDİL ETER</t>
  </si>
  <si>
    <t>2425-79-8</t>
  </si>
  <si>
    <t>H302, H315, H317, H319, H335</t>
  </si>
  <si>
    <t>0110</t>
  </si>
  <si>
    <t>1,4-BUTANEDIOL DIGLYCIDYL ETHER</t>
  </si>
  <si>
    <t>excl mark</t>
  </si>
  <si>
    <t>Sağlık Tehlikesi (hafif)</t>
  </si>
  <si>
    <t>CHM-0111</t>
  </si>
  <si>
    <t>1-BÜTANOL</t>
  </si>
  <si>
    <t>71-36-3</t>
  </si>
  <si>
    <t>H226, H302, H315, H318, H335, H336</t>
  </si>
  <si>
    <t>0111</t>
  </si>
  <si>
    <t>1-BUTANOL</t>
  </si>
  <si>
    <t>1120</t>
  </si>
  <si>
    <t>flam; corr; excl mark; cancer</t>
  </si>
  <si>
    <t>Yanıcı; corr; Sağlık Tehlikesi (hafif); Kanserojen/Mutajen/Repro</t>
  </si>
  <si>
    <t>CHM-0112</t>
  </si>
  <si>
    <t>2-BÜTANOL</t>
  </si>
  <si>
    <t>78-92-2</t>
  </si>
  <si>
    <t>H226, H302, H319, H335, H336</t>
  </si>
  <si>
    <t>0112</t>
  </si>
  <si>
    <t>2-BUTANOL</t>
  </si>
  <si>
    <t>CHM-0113</t>
  </si>
  <si>
    <t>İZOBÜTANOL</t>
  </si>
  <si>
    <t>78-83-1</t>
  </si>
  <si>
    <t>0113</t>
  </si>
  <si>
    <t>ISOBUTANOL</t>
  </si>
  <si>
    <t>1212</t>
  </si>
  <si>
    <t>CHM-0114</t>
  </si>
  <si>
    <t>tert-BÜTANOL</t>
  </si>
  <si>
    <t>75-65-0</t>
  </si>
  <si>
    <t>H225, H226, H302, H319</t>
  </si>
  <si>
    <t>0114</t>
  </si>
  <si>
    <t>tert-BUTANOL</t>
  </si>
  <si>
    <t>CHM-0115</t>
  </si>
  <si>
    <t>n-BÜTİL GLİSİDİL ETER</t>
  </si>
  <si>
    <t>2426-08-6</t>
  </si>
  <si>
    <t>0115</t>
  </si>
  <si>
    <t>n-BUTYL GLYCIDYL ETHER</t>
  </si>
  <si>
    <t>1993</t>
  </si>
  <si>
    <t>CHM-0116</t>
  </si>
  <si>
    <t>KADMIYUM KLORİD</t>
  </si>
  <si>
    <t>10108-64-2</t>
  </si>
  <si>
    <t>0116</t>
  </si>
  <si>
    <t>CADMIUM CHLORIDE</t>
  </si>
  <si>
    <t>CHM-0117</t>
  </si>
  <si>
    <t>KADMIYUM OKSİT</t>
  </si>
  <si>
    <t>1306-19-0</t>
  </si>
  <si>
    <t>2838 °F at 760 mmHg (sublimes) (NTP, 1992)</t>
  </si>
  <si>
    <t>0117</t>
  </si>
  <si>
    <t>CADMIUM OXIDE</t>
  </si>
  <si>
    <t>CHM-0118</t>
  </si>
  <si>
    <t>KAPROLAKTAM</t>
  </si>
  <si>
    <t>105-60-2</t>
  </si>
  <si>
    <t>H302, H319, H336</t>
  </si>
  <si>
    <t>0118</t>
  </si>
  <si>
    <t>CAPROLACTAM</t>
  </si>
  <si>
    <t>CHM-0119</t>
  </si>
  <si>
    <t>KAPTAFOL</t>
  </si>
  <si>
    <t>2425-06-1</t>
  </si>
  <si>
    <t>H317, H319, H335, H351, H400, H410</t>
  </si>
  <si>
    <t>0119</t>
  </si>
  <si>
    <t>CAPTAFOL</t>
  </si>
  <si>
    <t>CHM-0120</t>
  </si>
  <si>
    <t>KAPTAN</t>
  </si>
  <si>
    <t>133-06-2</t>
  </si>
  <si>
    <t>H317, H319, H400, H410</t>
  </si>
  <si>
    <t>0120</t>
  </si>
  <si>
    <t>CAPTAN</t>
  </si>
  <si>
    <t>2588</t>
  </si>
  <si>
    <t>excl mark; enviro</t>
  </si>
  <si>
    <t>Sağlık Tehlikesi (hafif); Çevre için Tehlikeli</t>
  </si>
  <si>
    <t>CHM-0121</t>
  </si>
  <si>
    <t>KARBARİL</t>
  </si>
  <si>
    <t>63-25-2</t>
  </si>
  <si>
    <t>0121</t>
  </si>
  <si>
    <t>CARBARYL</t>
  </si>
  <si>
    <t>CHM-0122</t>
  </si>
  <si>
    <t>KARBOFURAN</t>
  </si>
  <si>
    <t>1563-66-2</t>
  </si>
  <si>
    <t>0122</t>
  </si>
  <si>
    <t>CARBOFURAN</t>
  </si>
  <si>
    <t>CHM-0123</t>
  </si>
  <si>
    <t>SERAMİK FİBERLER (ALÜMİNOSİLİKAT)</t>
  </si>
  <si>
    <t>142844-00-6</t>
  </si>
  <si>
    <t>0123</t>
  </si>
  <si>
    <t>CERAMIC FIBRES (ALUMINOSILICATE)</t>
  </si>
  <si>
    <t>CHM-0124</t>
  </si>
  <si>
    <t>KLORDİMEFORM</t>
  </si>
  <si>
    <t>6164-98-3</t>
  </si>
  <si>
    <t>H302, H311, H336, H373, H400</t>
  </si>
  <si>
    <t>0124</t>
  </si>
  <si>
    <t>CHLORDIMEFORM</t>
  </si>
  <si>
    <t>CHM-0125</t>
  </si>
  <si>
    <t>KLORDİMEFORM HİDROKLORÜR</t>
  </si>
  <si>
    <t>19750-95-9</t>
  </si>
  <si>
    <t>H302, H336, H373, H400</t>
  </si>
  <si>
    <t>0125</t>
  </si>
  <si>
    <t>CHLORDIMEFORM HYDROCHLORIDE</t>
  </si>
  <si>
    <t>CHM-0126</t>
  </si>
  <si>
    <t>KLOR</t>
  </si>
  <si>
    <t>7782-50-5</t>
  </si>
  <si>
    <t>H280, H300, H314, H330, H335, H373, H400, H410</t>
  </si>
  <si>
    <t>0126</t>
  </si>
  <si>
    <t>CHLORINE</t>
  </si>
  <si>
    <t>1017</t>
  </si>
  <si>
    <t>cylinder; flam circle; corr; skull; cancer; enviro</t>
  </si>
  <si>
    <t>Basınçlı Gaz; flam circle; corr; Akut Toksisite; Kanserojen/Mutajen/Repro; Çevre için Tehlikeli</t>
  </si>
  <si>
    <t>CHM-0127</t>
  </si>
  <si>
    <t>KLOR DİOKSİT</t>
  </si>
  <si>
    <t>10049-04-4</t>
  </si>
  <si>
    <t>0127</t>
  </si>
  <si>
    <t>CHLORINE DIOXIDE</t>
  </si>
  <si>
    <t>CHM-0128</t>
  </si>
  <si>
    <t>2-KLOROASETOFENON</t>
  </si>
  <si>
    <t>532-27-4</t>
  </si>
  <si>
    <t>0128</t>
  </si>
  <si>
    <t>2-CHLOROACETOPHENONE</t>
  </si>
  <si>
    <t>1697</t>
  </si>
  <si>
    <t>CHM-0129</t>
  </si>
  <si>
    <t>2-KLOROANİLİN</t>
  </si>
  <si>
    <t>95-51-2</t>
  </si>
  <si>
    <t>0129</t>
  </si>
  <si>
    <t>2-CHLOROANILINE</t>
  </si>
  <si>
    <t>2019</t>
  </si>
  <si>
    <t>CHM-0130</t>
  </si>
  <si>
    <t>3-KLOROANİLİN</t>
  </si>
  <si>
    <t>108-42-9</t>
  </si>
  <si>
    <t>446.9 °F at 760 mmHg (NTP, 1992)</t>
  </si>
  <si>
    <t>0130</t>
  </si>
  <si>
    <t>3-CHLOROANILINE</t>
  </si>
  <si>
    <t>CHM-0131</t>
  </si>
  <si>
    <t>4-KLORO-M-KRESOL</t>
  </si>
  <si>
    <t>59-50-7</t>
  </si>
  <si>
    <t>0131</t>
  </si>
  <si>
    <t>4-CHLORO-m-CRESOL</t>
  </si>
  <si>
    <t>2669</t>
  </si>
  <si>
    <t>CHM-0132</t>
  </si>
  <si>
    <t>1-KLOROETAN</t>
  </si>
  <si>
    <t>75-00-3</t>
  </si>
  <si>
    <t>0132</t>
  </si>
  <si>
    <t>1-CHLOROETHANE</t>
  </si>
  <si>
    <t>1037</t>
  </si>
  <si>
    <t>CHM-0133</t>
  </si>
  <si>
    <t>KLOROPREN</t>
  </si>
  <si>
    <t>126-99-8</t>
  </si>
  <si>
    <t>H225, H226, H301, H315, H319, H351, H370, H371, H373</t>
  </si>
  <si>
    <t>0133</t>
  </si>
  <si>
    <t>CHLOROPRENE</t>
  </si>
  <si>
    <t>1991</t>
  </si>
  <si>
    <t>CHM-0134</t>
  </si>
  <si>
    <t>KLOROTALONIL</t>
  </si>
  <si>
    <t>1897-45-6</t>
  </si>
  <si>
    <t>H300, H315, H317, H319, H330, H335, H400, H410</t>
  </si>
  <si>
    <t>0134</t>
  </si>
  <si>
    <t>CHLOROTHALONIL</t>
  </si>
  <si>
    <t>skull; enviro</t>
  </si>
  <si>
    <t>Akut Toksisite; Çevre için Tehlikeli</t>
  </si>
  <si>
    <t>CHM-0135</t>
  </si>
  <si>
    <t>o-KRESİL GLİSİDİL ETER</t>
  </si>
  <si>
    <t>2210-79-9</t>
  </si>
  <si>
    <t>0135</t>
  </si>
  <si>
    <t>o-CRESYL GLYCIDYL ETHER</t>
  </si>
  <si>
    <t>CHM-0136</t>
  </si>
  <si>
    <t>SİYANOJEN BROMÜR</t>
  </si>
  <si>
    <t>506-68-3</t>
  </si>
  <si>
    <t>0136</t>
  </si>
  <si>
    <t>CYANOGEN BROMIDE</t>
  </si>
  <si>
    <t>1889</t>
  </si>
  <si>
    <t>CHM-0137</t>
  </si>
  <si>
    <t>DİAZİNON</t>
  </si>
  <si>
    <t>333-41-5</t>
  </si>
  <si>
    <t>Decomposes &gt;248 °F (NTP, 1992)</t>
  </si>
  <si>
    <t>0137</t>
  </si>
  <si>
    <t>DIAZINON</t>
  </si>
  <si>
    <t>CHM-0138</t>
  </si>
  <si>
    <t>OKSİJEN</t>
  </si>
  <si>
    <t>7782-44-7</t>
  </si>
  <si>
    <t>0138</t>
  </si>
  <si>
    <t>OXYGEN</t>
  </si>
  <si>
    <t>1072</t>
  </si>
  <si>
    <t>CHM-0139</t>
  </si>
  <si>
    <t>DİKAMBA</t>
  </si>
  <si>
    <t>1918-00-9</t>
  </si>
  <si>
    <t>&gt; 200 °C</t>
  </si>
  <si>
    <t>0139</t>
  </si>
  <si>
    <t>DICAMBA</t>
  </si>
  <si>
    <t>CHM-0140</t>
  </si>
  <si>
    <t>2,3-DİKLOROANİLİN</t>
  </si>
  <si>
    <t>608-27-5</t>
  </si>
  <si>
    <t>0140</t>
  </si>
  <si>
    <t>2,3-DICHLOROANILINE</t>
  </si>
  <si>
    <t>1590</t>
  </si>
  <si>
    <t>CHM-0141</t>
  </si>
  <si>
    <t>2,4-DİKLOROANİLİN</t>
  </si>
  <si>
    <t>554-00-7</t>
  </si>
  <si>
    <t>0141</t>
  </si>
  <si>
    <t>2,4-DICHLOROANILINE</t>
  </si>
  <si>
    <t>CHM-0142</t>
  </si>
  <si>
    <t>2,5-DİKLOROANİLİN</t>
  </si>
  <si>
    <t>95-82-9</t>
  </si>
  <si>
    <t>0142</t>
  </si>
  <si>
    <t>2,5-DICHLOROANILINE</t>
  </si>
  <si>
    <t>CHM-0143</t>
  </si>
  <si>
    <t>2,6-DİKLOROANİLİN</t>
  </si>
  <si>
    <t>608-31-1</t>
  </si>
  <si>
    <t>0143</t>
  </si>
  <si>
    <t>2,6-DICHLOROANILINE</t>
  </si>
  <si>
    <t>CHM-0144</t>
  </si>
  <si>
    <t>3,4-DİKLOROANİLİN</t>
  </si>
  <si>
    <t>95-76-1</t>
  </si>
  <si>
    <t>0144</t>
  </si>
  <si>
    <t>3,4-DICHLOROANILINE</t>
  </si>
  <si>
    <t>CHM-0145</t>
  </si>
  <si>
    <t>Dİ(2,3-EPOKSİPROPİL)ETER</t>
  </si>
  <si>
    <t>2238-07-5</t>
  </si>
  <si>
    <t>0145</t>
  </si>
  <si>
    <t>DI(2,3-EPOXYPROPYL)ETHER</t>
  </si>
  <si>
    <t>CHM-0146</t>
  </si>
  <si>
    <t>DİETİLEN GLİKOL DİGLİSİDİL ETER</t>
  </si>
  <si>
    <t>4206-61-5</t>
  </si>
  <si>
    <t>0146</t>
  </si>
  <si>
    <t>DIETHYLENE GLYCOL DIGLYCIDYL ETHER</t>
  </si>
  <si>
    <t>CHM-0147</t>
  </si>
  <si>
    <t>1,1-DİMETİLHİDRAZİN</t>
  </si>
  <si>
    <t>57-14-7</t>
  </si>
  <si>
    <t>H225, H226, H300, H301, H315, H319, H330, H340, H341, H351, H370, H373, H400</t>
  </si>
  <si>
    <t>0147</t>
  </si>
  <si>
    <t>1,1-DIMETHYLHYDRAZINE</t>
  </si>
  <si>
    <t>1163</t>
  </si>
  <si>
    <t>CHM-0148</t>
  </si>
  <si>
    <t>DİMETİL SÜLFAT</t>
  </si>
  <si>
    <t>77-78-1</t>
  </si>
  <si>
    <t>H227, H300, H301, H314, H317, H330, H340, H341, H351, H373, H402</t>
  </si>
  <si>
    <t>About 370 °F (with decomposition) (EPA, 1998)</t>
  </si>
  <si>
    <t>0148</t>
  </si>
  <si>
    <t>DIMETHYL SULFATE</t>
  </si>
  <si>
    <t>1595</t>
  </si>
  <si>
    <t>CHM-0149</t>
  </si>
  <si>
    <t>DİNOSEB</t>
  </si>
  <si>
    <t>88-85-7</t>
  </si>
  <si>
    <t>H300, H319, H360, H361, H400, H410, H411, H412</t>
  </si>
  <si>
    <t>0149</t>
  </si>
  <si>
    <t>DINOSEB</t>
  </si>
  <si>
    <t>2779</t>
  </si>
  <si>
    <t>CHM-0150</t>
  </si>
  <si>
    <t>m-KLOROFENOL</t>
  </si>
  <si>
    <t>108-43-0</t>
  </si>
  <si>
    <t>0150</t>
  </si>
  <si>
    <t>m-CHLOROPHENOL</t>
  </si>
  <si>
    <t>2020</t>
  </si>
  <si>
    <t>CHM-0151</t>
  </si>
  <si>
    <t>DİFENİLOL PROPAN DİGLİSİDİL ETER</t>
  </si>
  <si>
    <t>1675-54-3</t>
  </si>
  <si>
    <t>0151</t>
  </si>
  <si>
    <t>DIPHENYLOL PROPANE DIGLYCIDYL ETHER</t>
  </si>
  <si>
    <t>CHM-0152</t>
  </si>
  <si>
    <t>ETANOLAMİN</t>
  </si>
  <si>
    <t>141-43-5</t>
  </si>
  <si>
    <t>H302, H314, H335, H402, H412</t>
  </si>
  <si>
    <t>0152</t>
  </si>
  <si>
    <t>ETHANOLAMINE</t>
  </si>
  <si>
    <t>2491</t>
  </si>
  <si>
    <t>corr; excl mark</t>
  </si>
  <si>
    <t>corr; Sağlık Tehlikesi (hafif)</t>
  </si>
  <si>
    <t>CHM-0153</t>
  </si>
  <si>
    <t>ETİLAMİN</t>
  </si>
  <si>
    <t>75-04-7</t>
  </si>
  <si>
    <t>0153</t>
  </si>
  <si>
    <t>ETHYLAMINE</t>
  </si>
  <si>
    <t>1036</t>
  </si>
  <si>
    <t>CHM-0154</t>
  </si>
  <si>
    <t>ARGON</t>
  </si>
  <si>
    <t>7440-37-1</t>
  </si>
  <si>
    <t>0154</t>
  </si>
  <si>
    <t>1951</t>
  </si>
  <si>
    <t>CHM-0155</t>
  </si>
  <si>
    <t>ETİLEN OKSİT</t>
  </si>
  <si>
    <t>75-21-8</t>
  </si>
  <si>
    <t>H220, H221, H280, H315, H319, H331, H335, H340, H341, H351</t>
  </si>
  <si>
    <t>0155</t>
  </si>
  <si>
    <t>ETHYLENE OXIDE</t>
  </si>
  <si>
    <t>1040</t>
  </si>
  <si>
    <t>CHM-0156</t>
  </si>
  <si>
    <t>FOLPET</t>
  </si>
  <si>
    <t>133-07-3</t>
  </si>
  <si>
    <t>H317, H319, H373, H400, H410</t>
  </si>
  <si>
    <t>0156</t>
  </si>
  <si>
    <t>CHM-0157</t>
  </si>
  <si>
    <t>CAM YÜNÜ</t>
  </si>
  <si>
    <t>0157</t>
  </si>
  <si>
    <t>GLASS WOOL</t>
  </si>
  <si>
    <t>CHM-0158</t>
  </si>
  <si>
    <t>GLUTARALDEHİT</t>
  </si>
  <si>
    <t>111-30-8</t>
  </si>
  <si>
    <t>H301, H317, H319, H334, H335, H400, H410</t>
  </si>
  <si>
    <t>369 to 372 °F at 760 mmHg (decomposes) (NTP, 1992)</t>
  </si>
  <si>
    <t>0158</t>
  </si>
  <si>
    <t>GLUTARALDEHYDE</t>
  </si>
  <si>
    <t>CHM-0159</t>
  </si>
  <si>
    <t>GLİSiDOL</t>
  </si>
  <si>
    <t>556-52-5</t>
  </si>
  <si>
    <t>333 °F at 760 mmHg (with decomposition) (NTP, 1992)</t>
  </si>
  <si>
    <t>0159</t>
  </si>
  <si>
    <t>GLYCIDOL</t>
  </si>
  <si>
    <t>CHM-0160</t>
  </si>
  <si>
    <t>GLİFOSAT</t>
  </si>
  <si>
    <t>1071-83-6</t>
  </si>
  <si>
    <t>0160</t>
  </si>
  <si>
    <t>GLYPHOSATE</t>
  </si>
  <si>
    <t>CHM-0161</t>
  </si>
  <si>
    <t>HEKSAKLOROFEN</t>
  </si>
  <si>
    <t>70-30-4</t>
  </si>
  <si>
    <t>H301, H312, H317, H361, H373, H400, H410, H411, H412</t>
  </si>
  <si>
    <t>0161</t>
  </si>
  <si>
    <t>HEXACHLOROPHENE</t>
  </si>
  <si>
    <t>2875</t>
  </si>
  <si>
    <t>CHM-0162</t>
  </si>
  <si>
    <t>HEKZAMETİLFOSFORİK TRİAMİT</t>
  </si>
  <si>
    <t>680-31-9</t>
  </si>
  <si>
    <t>H340, H341, H351</t>
  </si>
  <si>
    <t>0162</t>
  </si>
  <si>
    <t>HEXAMETHYLPHOSPHORIC TRIAMIDE</t>
  </si>
  <si>
    <t>CHM-0163</t>
  </si>
  <si>
    <t>HİDROJEN KLORÜR</t>
  </si>
  <si>
    <t>7647-01-0</t>
  </si>
  <si>
    <t>H280, H314, H331, H335</t>
  </si>
  <si>
    <t>0163</t>
  </si>
  <si>
    <t>HYDROGEN CHLORIDE</t>
  </si>
  <si>
    <t>1050</t>
  </si>
  <si>
    <t>cylinder; skull; corr</t>
  </si>
  <si>
    <t>Basınçlı Gaz; Akut Toksisite; corr</t>
  </si>
  <si>
    <t>CHM-0164</t>
  </si>
  <si>
    <t>HİDROJEN PEROKSİT (SUDA  &gt;60% SOLÜSYON )</t>
  </si>
  <si>
    <t>7722-84-1</t>
  </si>
  <si>
    <t>H302, H314, H331, H335, H373, H400</t>
  </si>
  <si>
    <t>0164</t>
  </si>
  <si>
    <t>HYDROGEN PEROXIDE (&gt;60% SOLUTION IN WATER)</t>
  </si>
  <si>
    <t>2015</t>
  </si>
  <si>
    <t>5.1</t>
  </si>
  <si>
    <t>Sınıf 5.1: Oksitleyici Maddeler</t>
  </si>
  <si>
    <t>flam circle; corr; skull; cancer</t>
  </si>
  <si>
    <t>flam circle; corr; Akut Toksisite; Kanserojen/Mutajen/Repro</t>
  </si>
  <si>
    <t>CHM-0165</t>
  </si>
  <si>
    <t>HİDROJEN SÜLFİT</t>
  </si>
  <si>
    <t>7783-06-4</t>
  </si>
  <si>
    <t>H220, H221, H280, H300, H319, H330, H335, H400, H410</t>
  </si>
  <si>
    <t>0165</t>
  </si>
  <si>
    <t>HYDROGEN SULFIDE</t>
  </si>
  <si>
    <t>1053</t>
  </si>
  <si>
    <t>flam; cylinder; skull; enviro</t>
  </si>
  <si>
    <t>Yanıcı; Basınçlı Gaz; Akut Toksisite; Çevre için Tehlikeli</t>
  </si>
  <si>
    <t>CHM-0166</t>
  </si>
  <si>
    <t>HİDROKİNON</t>
  </si>
  <si>
    <t>123-31-9</t>
  </si>
  <si>
    <t>0166</t>
  </si>
  <si>
    <t>HYDROQUINONE</t>
  </si>
  <si>
    <t>2662</t>
  </si>
  <si>
    <t>CHM-0167</t>
  </si>
  <si>
    <t>İYOT</t>
  </si>
  <si>
    <t>7553-56-2</t>
  </si>
  <si>
    <t>0167</t>
  </si>
  <si>
    <t>IODINE</t>
  </si>
  <si>
    <t>3495</t>
  </si>
  <si>
    <t>CHM-0168</t>
  </si>
  <si>
    <t>DEMİR PENTAKARBONİL</t>
  </si>
  <si>
    <t>13463-40-6</t>
  </si>
  <si>
    <t>H225, H226, H300</t>
  </si>
  <si>
    <t>0168</t>
  </si>
  <si>
    <t>IRON PENTACARBONYL</t>
  </si>
  <si>
    <t>1994</t>
  </si>
  <si>
    <t>CHM-0169</t>
  </si>
  <si>
    <t>İZOFORON</t>
  </si>
  <si>
    <t>78-59-1</t>
  </si>
  <si>
    <t>0169</t>
  </si>
  <si>
    <t>ISOPHORONE</t>
  </si>
  <si>
    <t>CHM-0170</t>
  </si>
  <si>
    <t>KÜMEN</t>
  </si>
  <si>
    <t>98-82-8</t>
  </si>
  <si>
    <t>H226, H300, H302, H351, H400, H410</t>
  </si>
  <si>
    <t>0170</t>
  </si>
  <si>
    <t>CUMENE</t>
  </si>
  <si>
    <t>1918</t>
  </si>
  <si>
    <t>flam; cancer; excl mark; enviro</t>
  </si>
  <si>
    <t>Yanıcı; Kanserojen/Mutajen/Repro; Sağlık Tehlikesi (hafif); Çevre için Tehlikeli</t>
  </si>
  <si>
    <t>CHM-0171</t>
  </si>
  <si>
    <t>İSOPROPİL GLİSİDİL ETER</t>
  </si>
  <si>
    <t>4016-14-2</t>
  </si>
  <si>
    <t>0171</t>
  </si>
  <si>
    <t>ISOPROPYL GLYCIDYL ETHER</t>
  </si>
  <si>
    <t>CHM-0172</t>
  </si>
  <si>
    <t>MALATYON</t>
  </si>
  <si>
    <t>121-75-5</t>
  </si>
  <si>
    <t>H302, H351, H400, H410, H411, H412</t>
  </si>
  <si>
    <t>313 to 315 °F at 0.7 mmHg (decomposes) (NTP, 1992)</t>
  </si>
  <si>
    <t>0172</t>
  </si>
  <si>
    <t>MALATHION</t>
  </si>
  <si>
    <t>CHM-0173</t>
  </si>
  <si>
    <t>MANEB</t>
  </si>
  <si>
    <t>12427-38-2</t>
  </si>
  <si>
    <t>Katı (toz)</t>
  </si>
  <si>
    <t>0173</t>
  </si>
  <si>
    <t>2210</t>
  </si>
  <si>
    <t>4.2</t>
  </si>
  <si>
    <t>Sınıf 4.2: Kendiliğinden Yanıcı</t>
  </si>
  <si>
    <t>CHM-0174</t>
  </si>
  <si>
    <t>MANGAN</t>
  </si>
  <si>
    <t>7439-96-5</t>
  </si>
  <si>
    <t>0174</t>
  </si>
  <si>
    <t>MANGANESE</t>
  </si>
  <si>
    <t>CHM-0175</t>
  </si>
  <si>
    <t>MANGAN  DİOKSİT</t>
  </si>
  <si>
    <t>1313-13-9</t>
  </si>
  <si>
    <t>0175</t>
  </si>
  <si>
    <t>MANGANESE DIOXIDE</t>
  </si>
  <si>
    <t>CHM-0176</t>
  </si>
  <si>
    <t>METHAMİDOFOS</t>
  </si>
  <si>
    <t>10265-92-6</t>
  </si>
  <si>
    <t>H300, H319, H373, H400, H410</t>
  </si>
  <si>
    <t>Decomposes (EPA, 1998)</t>
  </si>
  <si>
    <t>0176</t>
  </si>
  <si>
    <t>METHAMIDOPHOS</t>
  </si>
  <si>
    <t>2783</t>
  </si>
  <si>
    <t>CHM-0177</t>
  </si>
  <si>
    <t>METOMİL</t>
  </si>
  <si>
    <t>16752-77-5</t>
  </si>
  <si>
    <t>0177</t>
  </si>
  <si>
    <t>METHOMYL</t>
  </si>
  <si>
    <t>CHM-0178</t>
  </si>
  <si>
    <t>METİLAMİN</t>
  </si>
  <si>
    <t>74-89-5</t>
  </si>
  <si>
    <t>0178</t>
  </si>
  <si>
    <t>METHYLAMINE</t>
  </si>
  <si>
    <t>1061</t>
  </si>
  <si>
    <t>CHM-0179</t>
  </si>
  <si>
    <t>METİL  ETİL  KETON</t>
  </si>
  <si>
    <t>78-93-3</t>
  </si>
  <si>
    <t>H225, H226, H302, H319, H335, H336, H361</t>
  </si>
  <si>
    <t>0179</t>
  </si>
  <si>
    <t>METHYL ETHYL KETONE</t>
  </si>
  <si>
    <t>1193</t>
  </si>
  <si>
    <t>CHM-0180</t>
  </si>
  <si>
    <t>METİL  HİDRAZİN</t>
  </si>
  <si>
    <t>60-34-4</t>
  </si>
  <si>
    <t>0180</t>
  </si>
  <si>
    <t>METHYL HYDRAZINE</t>
  </si>
  <si>
    <t>1244</t>
  </si>
  <si>
    <t>CHM-0181</t>
  </si>
  <si>
    <t>MONOKROTOFOS</t>
  </si>
  <si>
    <t>6923-22-4</t>
  </si>
  <si>
    <t>H300, H340, H341, H373, H400, H410, H411, H412</t>
  </si>
  <si>
    <t>0181</t>
  </si>
  <si>
    <t>MONOCROTOPHOS</t>
  </si>
  <si>
    <t>CHM-0182</t>
  </si>
  <si>
    <t>NEOPENTİL  GLİKOL DİGLİSİDİL  ETER</t>
  </si>
  <si>
    <t>17557-23-2</t>
  </si>
  <si>
    <t>0182</t>
  </si>
  <si>
    <t>NEOPENTYL GLYCOL DIGLYCIDYL ETHER</t>
  </si>
  <si>
    <t>CHM-0183</t>
  </si>
  <si>
    <t>NİTRİK ASİT (suda  &gt; %70)</t>
  </si>
  <si>
    <t>7697-37-2</t>
  </si>
  <si>
    <t>H290, H314, H335</t>
  </si>
  <si>
    <t>0183</t>
  </si>
  <si>
    <t>NITRIC ACID (&gt; 70% in water)</t>
  </si>
  <si>
    <t>2031</t>
  </si>
  <si>
    <t>flam circle; corr</t>
  </si>
  <si>
    <t>CHM-0184</t>
  </si>
  <si>
    <t>POTASYUM  NİTRAT</t>
  </si>
  <si>
    <t>7757-79-1</t>
  </si>
  <si>
    <t>752 °F at 760 mmHg (decomposes) (USCG, 1999)</t>
  </si>
  <si>
    <t>0184</t>
  </si>
  <si>
    <t>POTASSIUM NITRATE</t>
  </si>
  <si>
    <t>1486</t>
  </si>
  <si>
    <t>CHM-0185</t>
  </si>
  <si>
    <t>SODYUM NİTRAT</t>
  </si>
  <si>
    <t>7631-99-4</t>
  </si>
  <si>
    <t>Decomposes 716 °F (USCG, 1999)</t>
  </si>
  <si>
    <t>0185</t>
  </si>
  <si>
    <t>SODIUM NITRATE</t>
  </si>
  <si>
    <t>1498</t>
  </si>
  <si>
    <t>CHM-0186</t>
  </si>
  <si>
    <t>NİTROGLİSERİN</t>
  </si>
  <si>
    <t>55-63-0</t>
  </si>
  <si>
    <t>H201, H300, H373, H400</t>
  </si>
  <si>
    <t>0186</t>
  </si>
  <si>
    <t>NITROGLYCERIN</t>
  </si>
  <si>
    <t>1.1</t>
  </si>
  <si>
    <t>Sınıf 1.1: Patlayıcılar</t>
  </si>
  <si>
    <t>expl; skull; cancer</t>
  </si>
  <si>
    <t>expl; Akut Toksisite; Kanserojen/Mutajen/Repro</t>
  </si>
  <si>
    <t>CHM-0187</t>
  </si>
  <si>
    <t>2-NİTROPROPAN</t>
  </si>
  <si>
    <t>79-46-9</t>
  </si>
  <si>
    <t>H302, H340, H341, H351</t>
  </si>
  <si>
    <t>0187</t>
  </si>
  <si>
    <t>2-NITROPROPANE</t>
  </si>
  <si>
    <t>2608</t>
  </si>
  <si>
    <t>CHM-0188</t>
  </si>
  <si>
    <t>FENİL  GLİSİDİL  ETER</t>
  </si>
  <si>
    <t>122-60-1</t>
  </si>
  <si>
    <t>0188</t>
  </si>
  <si>
    <t>PHENYL GLYCIDYL ETHER</t>
  </si>
  <si>
    <t>CHM-0189</t>
  </si>
  <si>
    <t>FOSFAMİDON</t>
  </si>
  <si>
    <t>13171-21-6</t>
  </si>
  <si>
    <t>0189</t>
  </si>
  <si>
    <t>PHOSPHAMIDON</t>
  </si>
  <si>
    <t>CHM-0190</t>
  </si>
  <si>
    <t>FOSFOR OKSİKLORÜR</t>
  </si>
  <si>
    <t>10025-87-3</t>
  </si>
  <si>
    <t>0190</t>
  </si>
  <si>
    <t>PHOSPHORUS OXYCHLORIDE</t>
  </si>
  <si>
    <t>1810</t>
  </si>
  <si>
    <t>CHM-0191</t>
  </si>
  <si>
    <t>PROPOKSÜR</t>
  </si>
  <si>
    <t>114-26-1</t>
  </si>
  <si>
    <t>H300, H331, H351, H373, H400, H410, H411, H412</t>
  </si>
  <si>
    <t>0191</t>
  </si>
  <si>
    <t>PROPOXUR</t>
  </si>
  <si>
    <t>CHM-0192</t>
  </si>
  <si>
    <t>PROPİLEN OKSİT</t>
  </si>
  <si>
    <t>75-56-9</t>
  </si>
  <si>
    <t>H224, H226, H302, H319, H335, H340, H341, H351</t>
  </si>
  <si>
    <t>0192</t>
  </si>
  <si>
    <t>PROPYLENE OXIDE</t>
  </si>
  <si>
    <t>1280</t>
  </si>
  <si>
    <t>CHM-0193</t>
  </si>
  <si>
    <t>RESORSİNOL DİGLİSİDİL ETER</t>
  </si>
  <si>
    <t>101-90-6</t>
  </si>
  <si>
    <t>0193</t>
  </si>
  <si>
    <t>RESORCINOL DIGLYCIDYL ETHER</t>
  </si>
  <si>
    <t>CHM-0194</t>
  </si>
  <si>
    <t>TAŞ YÜNÜ</t>
  </si>
  <si>
    <t>0194</t>
  </si>
  <si>
    <t>ROCK WOOL</t>
  </si>
  <si>
    <t>CHM-0195</t>
  </si>
  <si>
    <t>CURUF YÜNÜ</t>
  </si>
  <si>
    <t>0195</t>
  </si>
  <si>
    <t>SLAG WOOL</t>
  </si>
  <si>
    <t>CHM-0196</t>
  </si>
  <si>
    <t>SODYUM BROMAT</t>
  </si>
  <si>
    <t>7789-38-0</t>
  </si>
  <si>
    <t>0196</t>
  </si>
  <si>
    <t>SODIUM BROMATE</t>
  </si>
  <si>
    <t>1494</t>
  </si>
  <si>
    <t>flam circle; cancer</t>
  </si>
  <si>
    <t>flam circle; Kanserojen/Mutajen/Repro</t>
  </si>
  <si>
    <t>CHM-0197</t>
  </si>
  <si>
    <t>STRİKNİN</t>
  </si>
  <si>
    <t>57-24-9</t>
  </si>
  <si>
    <t>518 °F at 5 mmHg (EPA, 1998)</t>
  </si>
  <si>
    <t>0197</t>
  </si>
  <si>
    <t>STRYCHNINE</t>
  </si>
  <si>
    <t>1692</t>
  </si>
  <si>
    <t>CHM-0198</t>
  </si>
  <si>
    <t>SÜLFÜRİL  KLORÜR</t>
  </si>
  <si>
    <t>7791-25-5</t>
  </si>
  <si>
    <t>0198</t>
  </si>
  <si>
    <t>SULPHURYL CHLORIDE</t>
  </si>
  <si>
    <t>1834</t>
  </si>
  <si>
    <t>CHM-0199</t>
  </si>
  <si>
    <t>TEMEFOS</t>
  </si>
  <si>
    <t>3383-96-8</t>
  </si>
  <si>
    <t>H302, H311, H400, H410, H411, H412</t>
  </si>
  <si>
    <t>248 to 257 °F at 760 mmHg (Decomposes) (NIOSH, 2024)</t>
  </si>
  <si>
    <t>0199</t>
  </si>
  <si>
    <t>TEMEPHOS</t>
  </si>
  <si>
    <t>CHM-0200</t>
  </si>
  <si>
    <t>TETRAMETİL  KURŞUN</t>
  </si>
  <si>
    <t>75-74-1</t>
  </si>
  <si>
    <t>H226, H300, H360, H361, H373, H400, H410, H411, H412</t>
  </si>
  <si>
    <t>0200</t>
  </si>
  <si>
    <t>TETRAMETHYL LEAD</t>
  </si>
  <si>
    <t>CHM-0201</t>
  </si>
  <si>
    <t>TRİ-ALLAT</t>
  </si>
  <si>
    <t>2303-17-5</t>
  </si>
  <si>
    <t>0201</t>
  </si>
  <si>
    <t>TRI-ALLATE</t>
  </si>
  <si>
    <t>CHM-0202</t>
  </si>
  <si>
    <t>TRİETAZİN</t>
  </si>
  <si>
    <t>1912-26-1</t>
  </si>
  <si>
    <t>H302, H400, H410</t>
  </si>
  <si>
    <t>0202</t>
  </si>
  <si>
    <t>TRIETAZINE</t>
  </si>
  <si>
    <t>enviro</t>
  </si>
  <si>
    <t>Çevre için Tehlikeli</t>
  </si>
  <si>
    <t>CHM-0203</t>
  </si>
  <si>
    <t>TRİETİLAMİN</t>
  </si>
  <si>
    <t>121-44-8</t>
  </si>
  <si>
    <t>0203</t>
  </si>
  <si>
    <t>TRIETHYLAMINE</t>
  </si>
  <si>
    <t>1296</t>
  </si>
  <si>
    <t>CHM-0204</t>
  </si>
  <si>
    <t>TRİETİLEN GLİKOL  DİGLİSİDİL  ETER</t>
  </si>
  <si>
    <t>1954-28-5</t>
  </si>
  <si>
    <t>0204</t>
  </si>
  <si>
    <t>TRIETHYLENE GLYCOL DIGLYCIDYL ETHER</t>
  </si>
  <si>
    <t>CHM-0205</t>
  </si>
  <si>
    <t>TRİFLURALİN</t>
  </si>
  <si>
    <t>1582-09-8</t>
  </si>
  <si>
    <t>H317, H370, H371, H373, H400, H410, H411, H412</t>
  </si>
  <si>
    <t>0205</t>
  </si>
  <si>
    <t>TRIFLURALIN</t>
  </si>
  <si>
    <t>CHM-0206</t>
  </si>
  <si>
    <t>TRİMETİLAMİN</t>
  </si>
  <si>
    <t>75-50-3</t>
  </si>
  <si>
    <t>0206</t>
  </si>
  <si>
    <t>TRIMETHYLAMINE</t>
  </si>
  <si>
    <t>1083</t>
  </si>
  <si>
    <t>CHM-0207</t>
  </si>
  <si>
    <t>ÇİNKO  OKSİT</t>
  </si>
  <si>
    <t>1314-13-2</t>
  </si>
  <si>
    <t>H400, H410, H411, H412</t>
  </si>
  <si>
    <t>0208</t>
  </si>
  <si>
    <t>ZINC OXIDE</t>
  </si>
  <si>
    <t>CHM-0208</t>
  </si>
  <si>
    <t>ASETIK  ANHİDRİT</t>
  </si>
  <si>
    <t>108-24-7</t>
  </si>
  <si>
    <t>H226, H302, H314, H331</t>
  </si>
  <si>
    <t>0209</t>
  </si>
  <si>
    <t>ACETIC ANHYDRIDE</t>
  </si>
  <si>
    <t>1715</t>
  </si>
  <si>
    <t>flam; skull; cancer; corr</t>
  </si>
  <si>
    <t>Yanıcı; Akut Toksisite; Kanserojen/Mutajen/Repro; corr</t>
  </si>
  <si>
    <t>CHM-0209</t>
  </si>
  <si>
    <t>ASETİL  KLORÜR</t>
  </si>
  <si>
    <t>75-36-5</t>
  </si>
  <si>
    <t>H225, H226, H314, H373, H402</t>
  </si>
  <si>
    <t>0210</t>
  </si>
  <si>
    <t>ACETYL CHLORIDE</t>
  </si>
  <si>
    <t>1717</t>
  </si>
  <si>
    <t>flam; corr; cancer</t>
  </si>
  <si>
    <t>Yanıcı; corr; Kanserojen/Mutajen/Repro</t>
  </si>
  <si>
    <t>CHM-0210</t>
  </si>
  <si>
    <t>ADİPONİTRİL</t>
  </si>
  <si>
    <t>111-69-3</t>
  </si>
  <si>
    <t>H301, H319, H332, H370, H371, H373</t>
  </si>
  <si>
    <t>0211</t>
  </si>
  <si>
    <t>ADIPONITRILE</t>
  </si>
  <si>
    <t>2205</t>
  </si>
  <si>
    <t>CHM-0211</t>
  </si>
  <si>
    <t>ALLETRİN</t>
  </si>
  <si>
    <t>584-79-2</t>
  </si>
  <si>
    <t>0212</t>
  </si>
  <si>
    <t>ALLETHRIN</t>
  </si>
  <si>
    <t>3352</t>
  </si>
  <si>
    <t>CHM-0212</t>
  </si>
  <si>
    <t>d-ALLETRİN</t>
  </si>
  <si>
    <t>BP: 140 °C at 0.1 mm Hg. Vaporizes without decomposition when heated at 150 °C.</t>
  </si>
  <si>
    <t>0213</t>
  </si>
  <si>
    <t>d-ALLETHRIN</t>
  </si>
  <si>
    <t>CHM-0213</t>
  </si>
  <si>
    <t>2-AMİNOPİRİDİN</t>
  </si>
  <si>
    <t>504-29-0</t>
  </si>
  <si>
    <t>0214</t>
  </si>
  <si>
    <t>2-AMINOPYRIDINE</t>
  </si>
  <si>
    <t>2671</t>
  </si>
  <si>
    <t>CHM-0214</t>
  </si>
  <si>
    <t>AMONYUM HİDROKSİT (%10-%35 çözelti )</t>
  </si>
  <si>
    <t>1336-21-6</t>
  </si>
  <si>
    <t>H290, H302, H314, H335, H400, H410</t>
  </si>
  <si>
    <t>0215</t>
  </si>
  <si>
    <t>AMMONIUM HYDROXIDE (10%-35% solution)</t>
  </si>
  <si>
    <t>2672</t>
  </si>
  <si>
    <t>CHM-0215</t>
  </si>
  <si>
    <t>AMONYUM NİTRAT</t>
  </si>
  <si>
    <t>6484-52-2</t>
  </si>
  <si>
    <t>H302, H315, H319</t>
  </si>
  <si>
    <t>Decomposes at 200-260 °C</t>
  </si>
  <si>
    <t>0216</t>
  </si>
  <si>
    <t>AMMONIUM NITRATE</t>
  </si>
  <si>
    <t>flam circle; excl mark; cancer</t>
  </si>
  <si>
    <t>flam circle; Sağlık Tehlikesi (hafif); Kanserojen/Mutajen/Repro</t>
  </si>
  <si>
    <t>CHM-0216</t>
  </si>
  <si>
    <t>AMONYUM FOSFAT  DİBAZİK</t>
  </si>
  <si>
    <t>7783-28-0</t>
  </si>
  <si>
    <t>0217</t>
  </si>
  <si>
    <t>AMMONIUM PHOSPHATE DIBASIC</t>
  </si>
  <si>
    <t>CHM-0217</t>
  </si>
  <si>
    <t>n-AMİL  ASETAT</t>
  </si>
  <si>
    <t>628-63-7</t>
  </si>
  <si>
    <t>0218</t>
  </si>
  <si>
    <t>n-AMYL ACETATE</t>
  </si>
  <si>
    <t>1104</t>
  </si>
  <si>
    <t>CHM-0218</t>
  </si>
  <si>
    <t>sec-AMİL  ASETAT</t>
  </si>
  <si>
    <t>626-38-0</t>
  </si>
  <si>
    <t>0219</t>
  </si>
  <si>
    <t>sec-AMYL ACETATE</t>
  </si>
  <si>
    <t>CHM-0219</t>
  </si>
  <si>
    <t>ANTİMON PENTAFLORÜR</t>
  </si>
  <si>
    <t>7783-70-2</t>
  </si>
  <si>
    <t>H290, H314, H373, H400</t>
  </si>
  <si>
    <t>0220</t>
  </si>
  <si>
    <t>ANTIMONY PENTAFLUORIDE</t>
  </si>
  <si>
    <t>1732</t>
  </si>
  <si>
    <t>corr; cancer</t>
  </si>
  <si>
    <t>corr; Kanserojen/Mutajen/Repro</t>
  </si>
  <si>
    <t>CHM-0220</t>
  </si>
  <si>
    <t>ARSENİK  TRİKLORÜR (OBSOLETE)</t>
  </si>
  <si>
    <t>7784-34-1</t>
  </si>
  <si>
    <t>H319, H340, H341, H351, H361, H370, H372, H373</t>
  </si>
  <si>
    <t>0221</t>
  </si>
  <si>
    <t>ARSENIC TRICHLORIDE (OBSOLETE)</t>
  </si>
  <si>
    <t>1560</t>
  </si>
  <si>
    <t>CHM-0221</t>
  </si>
  <si>
    <t>ARSİN</t>
  </si>
  <si>
    <t>7784-42-1</t>
  </si>
  <si>
    <t>H220, H221, H280, H300, H330, H351</t>
  </si>
  <si>
    <t>0222</t>
  </si>
  <si>
    <t>ARSINE</t>
  </si>
  <si>
    <t>2188</t>
  </si>
  <si>
    <t>cylinder; flam; skull; cancer</t>
  </si>
  <si>
    <t>Basınçlı Gaz; Yanıcı; Akut Toksisite; Kanserojen/Mutajen/Repro</t>
  </si>
  <si>
    <t>CHM-0222</t>
  </si>
  <si>
    <t>BENZEN  ARSONİK  ASİT (OBSOLETE)</t>
  </si>
  <si>
    <t>98-05-5</t>
  </si>
  <si>
    <t>0223</t>
  </si>
  <si>
    <t>BENZENE ARSONIC ACID (OBSOLETE)</t>
  </si>
  <si>
    <t>3465</t>
  </si>
  <si>
    <t>CHM-0223</t>
  </si>
  <si>
    <t>BENZİDİN</t>
  </si>
  <si>
    <t>92-87-5</t>
  </si>
  <si>
    <t>H302, H340, H341, H351, H400, H410, H411, H412</t>
  </si>
  <si>
    <t>0224</t>
  </si>
  <si>
    <t>BENZIDINE</t>
  </si>
  <si>
    <t>1885</t>
  </si>
  <si>
    <t>CHM-0224</t>
  </si>
  <si>
    <t>BENZOİL  PEROKSİT</t>
  </si>
  <si>
    <t>94-36-0</t>
  </si>
  <si>
    <t>Decomposes explosively (NTP, 1992)</t>
  </si>
  <si>
    <t>0225</t>
  </si>
  <si>
    <t>BENZOYL PEROXIDE</t>
  </si>
  <si>
    <t>3104</t>
  </si>
  <si>
    <t>5.2</t>
  </si>
  <si>
    <t>Sınıf 5.2: Organik Peroksitler</t>
  </si>
  <si>
    <t>CHM-0225</t>
  </si>
  <si>
    <t>BERİLYUM</t>
  </si>
  <si>
    <t>7440-41-7</t>
  </si>
  <si>
    <t>H228, H300, H317, H330, H334, H351, H373</t>
  </si>
  <si>
    <t>4532 °F at 760 mmHg (NIOSH, 2024)</t>
  </si>
  <si>
    <t>0226</t>
  </si>
  <si>
    <t>BERYLLIUM</t>
  </si>
  <si>
    <t>1567</t>
  </si>
  <si>
    <t>CHM-0226</t>
  </si>
  <si>
    <t>BİYOALLETRİN</t>
  </si>
  <si>
    <t>0227</t>
  </si>
  <si>
    <t>BIOALLETHRIN</t>
  </si>
  <si>
    <t>CHM-0227</t>
  </si>
  <si>
    <t>S-BİYOALLETRİN</t>
  </si>
  <si>
    <t>28434-00-6</t>
  </si>
  <si>
    <t>0228</t>
  </si>
  <si>
    <t>S-BIOALLETHRIN</t>
  </si>
  <si>
    <t>CHM-0228</t>
  </si>
  <si>
    <t>BİYORESMETRİN</t>
  </si>
  <si>
    <t>28434-01-7</t>
  </si>
  <si>
    <t>0229</t>
  </si>
  <si>
    <t>BIORESMETHRIN</t>
  </si>
  <si>
    <t>CHM-0229</t>
  </si>
  <si>
    <t>BOR BROMÜR</t>
  </si>
  <si>
    <t>10294-33-4</t>
  </si>
  <si>
    <t>0230</t>
  </si>
  <si>
    <t>BORON BROMIDE</t>
  </si>
  <si>
    <t>2692</t>
  </si>
  <si>
    <t>CHM-0230</t>
  </si>
  <si>
    <t>BOR TRİFLORÜR</t>
  </si>
  <si>
    <t>7637-07-2</t>
  </si>
  <si>
    <t>H280, H300, H314, H330, H373</t>
  </si>
  <si>
    <t>0231</t>
  </si>
  <si>
    <t>BORON TRIFLUORIDE</t>
  </si>
  <si>
    <t>1008</t>
  </si>
  <si>
    <t>cylinder; skull; corr; cancer</t>
  </si>
  <si>
    <t>Basınçlı Gaz; Akut Toksisite; corr; Kanserojen/Mutajen/Repro</t>
  </si>
  <si>
    <t>CHM-0231</t>
  </si>
  <si>
    <t>BÜTAN</t>
  </si>
  <si>
    <t>106-97-8</t>
  </si>
  <si>
    <t>0232</t>
  </si>
  <si>
    <t>BUTANE</t>
  </si>
  <si>
    <t>1011</t>
  </si>
  <si>
    <t>CHM-0232</t>
  </si>
  <si>
    <t>ASETAMİD</t>
  </si>
  <si>
    <t>60-35-5</t>
  </si>
  <si>
    <t>0233</t>
  </si>
  <si>
    <t>ACETAMIDE</t>
  </si>
  <si>
    <t>CHM-0233</t>
  </si>
  <si>
    <t>KLORAL HİDRAT</t>
  </si>
  <si>
    <t>302-17-0</t>
  </si>
  <si>
    <t>H301, H315, H319, H336, H340, H341, H351</t>
  </si>
  <si>
    <t>207.5 °F at 760 mmHg (NTP, 1992)</t>
  </si>
  <si>
    <t>0234</t>
  </si>
  <si>
    <t>CHLORAL HYDRATE</t>
  </si>
  <si>
    <t>2811</t>
  </si>
  <si>
    <t>CHM-0234</t>
  </si>
  <si>
    <t>KLOROASETİK ASİT</t>
  </si>
  <si>
    <t>79-11-8</t>
  </si>
  <si>
    <t>H290, H301, H314, H335, H370, H400, H410</t>
  </si>
  <si>
    <t>0235</t>
  </si>
  <si>
    <t>CHLOROACETIC ACID</t>
  </si>
  <si>
    <t>1751</t>
  </si>
  <si>
    <t>skull; corr; cancer; enviro</t>
  </si>
  <si>
    <t>Akut Toksisite; corr; Kanserojen/Mutajen/Repro; Çevre için Tehlikeli</t>
  </si>
  <si>
    <t>CHM-0235</t>
  </si>
  <si>
    <t>2-KLOROETANOL</t>
  </si>
  <si>
    <t>107-07-3</t>
  </si>
  <si>
    <t>0236</t>
  </si>
  <si>
    <t>2-CHLOROETHANOL</t>
  </si>
  <si>
    <t>1135</t>
  </si>
  <si>
    <t>CHM-0236</t>
  </si>
  <si>
    <t>bis(KLOROMETİL) ETER</t>
  </si>
  <si>
    <t>542-88-1</t>
  </si>
  <si>
    <t>H225, H226, H300, H302, H311, H314, H330, H335, H351</t>
  </si>
  <si>
    <t>0237</t>
  </si>
  <si>
    <t>bis(CHLOROMETHYL) ETHER</t>
  </si>
  <si>
    <t>2249</t>
  </si>
  <si>
    <t>CHM-0237</t>
  </si>
  <si>
    <t>KLOROMETİL  METİL  ETER</t>
  </si>
  <si>
    <t>107-30-2</t>
  </si>
  <si>
    <t>H225, H226, H314, H351</t>
  </si>
  <si>
    <t>0238</t>
  </si>
  <si>
    <t>CHLOROMETHYL METHYL ETHER</t>
  </si>
  <si>
    <t>1239</t>
  </si>
  <si>
    <t>CHM-0238</t>
  </si>
  <si>
    <t>SİSMETRİN</t>
  </si>
  <si>
    <t>35764-59-1</t>
  </si>
  <si>
    <t>0239</t>
  </si>
  <si>
    <t>CISMETHRIN</t>
  </si>
  <si>
    <t>3349</t>
  </si>
  <si>
    <t>CHM-0239</t>
  </si>
  <si>
    <t>BAKIR</t>
  </si>
  <si>
    <t>7440-50-8</t>
  </si>
  <si>
    <t>H228, H302, H400, H410, H411, H412</t>
  </si>
  <si>
    <t>0240</t>
  </si>
  <si>
    <t>COPPER</t>
  </si>
  <si>
    <t>3089</t>
  </si>
  <si>
    <t>4.1</t>
  </si>
  <si>
    <t>Sınıf 4.1: Yanıcı Katılar</t>
  </si>
  <si>
    <t>flam; excl mark; enviro</t>
  </si>
  <si>
    <t>Yanıcı; Sağlık Tehlikesi (hafif); Çevre için Tehlikeli</t>
  </si>
  <si>
    <t>CHM-0240</t>
  </si>
  <si>
    <t>KROTONALDEHİT</t>
  </si>
  <si>
    <t>4170-30-3</t>
  </si>
  <si>
    <t>H225, H226, H300, H301, H310, H319, H335, H351, H373, H400, H410</t>
  </si>
  <si>
    <t>0241</t>
  </si>
  <si>
    <t>CROTONALDEHYDE</t>
  </si>
  <si>
    <t>1143</t>
  </si>
  <si>
    <t>CHM-0241</t>
  </si>
  <si>
    <t>SİKLOHEKZAN</t>
  </si>
  <si>
    <t>110-82-7</t>
  </si>
  <si>
    <t>H225, H226, H300, H315, H319, H400, H410, H411, H412</t>
  </si>
  <si>
    <t>0242</t>
  </si>
  <si>
    <t>CYCLOHEXANE</t>
  </si>
  <si>
    <t>1145</t>
  </si>
  <si>
    <t>CHM-0242</t>
  </si>
  <si>
    <t>SİKLOHEKZANOL</t>
  </si>
  <si>
    <t>108-93-0</t>
  </si>
  <si>
    <t>0243</t>
  </si>
  <si>
    <t>CYCLOHEXANOL</t>
  </si>
  <si>
    <t>CHM-0243</t>
  </si>
  <si>
    <t>SİKLOHEKSİMİT</t>
  </si>
  <si>
    <t>66-81-9</t>
  </si>
  <si>
    <t>0244</t>
  </si>
  <si>
    <t>CYCLOHEXIMIDE</t>
  </si>
  <si>
    <t>CHM-0244</t>
  </si>
  <si>
    <t>SİKLOHEKSİLAMİN</t>
  </si>
  <si>
    <t>108-91-8</t>
  </si>
  <si>
    <t>0245</t>
  </si>
  <si>
    <t>CYCLOHEXYLAMINE</t>
  </si>
  <si>
    <t>2357</t>
  </si>
  <si>
    <t>CHM-0245</t>
  </si>
  <si>
    <t>SİPERMETRİN</t>
  </si>
  <si>
    <t>52315-07-8</t>
  </si>
  <si>
    <t>0246</t>
  </si>
  <si>
    <t>CYPERMETHRIN</t>
  </si>
  <si>
    <t>CHM-0246</t>
  </si>
  <si>
    <t>DELTAMETRİN</t>
  </si>
  <si>
    <t>52918-63-5</t>
  </si>
  <si>
    <t>H301, H315, H319, H335, H400, H410, H411, H412</t>
  </si>
  <si>
    <t>0247</t>
  </si>
  <si>
    <t>DELTAMETHRIN</t>
  </si>
  <si>
    <t>CHM-0247</t>
  </si>
  <si>
    <t>DİATOMLU TOPRAK (KALSİNE OLMAMIŞ)</t>
  </si>
  <si>
    <t>61790-53-2</t>
  </si>
  <si>
    <t>0248</t>
  </si>
  <si>
    <t>DIATOMACEOUS EARTH (UNCALCINED)</t>
  </si>
  <si>
    <t>CHM-0248</t>
  </si>
  <si>
    <t>1,1-DİKLOROETAN</t>
  </si>
  <si>
    <t>75-34-3</t>
  </si>
  <si>
    <t>H225, H226, H373, H402, H412</t>
  </si>
  <si>
    <t>0249</t>
  </si>
  <si>
    <t>1,1-DICHLOROETHANE</t>
  </si>
  <si>
    <t>2362</t>
  </si>
  <si>
    <t>CHM-0249</t>
  </si>
  <si>
    <t>1,2-DİKLOROETAN</t>
  </si>
  <si>
    <t>107-06-2</t>
  </si>
  <si>
    <t>H225, H226, H302, H312, H319, H331, H336, H351, H373, H402</t>
  </si>
  <si>
    <t>0250</t>
  </si>
  <si>
    <t>1,2-DICHLOROETHANE</t>
  </si>
  <si>
    <t>1184</t>
  </si>
  <si>
    <t>CHM-0250</t>
  </si>
  <si>
    <t>2,3-DİKLORO-1-NİTROBENZEN</t>
  </si>
  <si>
    <t>3209-22-1</t>
  </si>
  <si>
    <t>0251</t>
  </si>
  <si>
    <t>2,3-DICHLORO-1-NITROBENZENE</t>
  </si>
  <si>
    <t>CHM-0251</t>
  </si>
  <si>
    <t>1,3-DIKLORO-1-NİTROBENZEN</t>
  </si>
  <si>
    <t>611-06-3</t>
  </si>
  <si>
    <t>H302, H311, H351, H373, H400, H411, H412</t>
  </si>
  <si>
    <t>0252</t>
  </si>
  <si>
    <t>1,3-DICHLORO-4-NITROBENZENE</t>
  </si>
  <si>
    <t>CHM-0252</t>
  </si>
  <si>
    <t>1,3-DIKLORO-2-NİTROBENZEN</t>
  </si>
  <si>
    <t>601-88-7</t>
  </si>
  <si>
    <t>0253</t>
  </si>
  <si>
    <t>1,3-DICHLORO-2-NITROBENZENE</t>
  </si>
  <si>
    <t>CHM-0253</t>
  </si>
  <si>
    <t>1,2-DIKLORO-4-NİTROBENZEN</t>
  </si>
  <si>
    <t>99-54-7</t>
  </si>
  <si>
    <t>0254</t>
  </si>
  <si>
    <t>1,2-DICHLORO-4-NITROBENZENE</t>
  </si>
  <si>
    <t>CHM-0254</t>
  </si>
  <si>
    <t>1,3-DIKLORO-5-NİTROBENZEN</t>
  </si>
  <si>
    <t>618-62-2</t>
  </si>
  <si>
    <t>H302</t>
  </si>
  <si>
    <t>0255</t>
  </si>
  <si>
    <t>1,3-DICHLORO-5-NITROBENZENE</t>
  </si>
  <si>
    <t>CHM-0255</t>
  </si>
  <si>
    <t>Dİ-n-BÜTİLTİN OKSİT</t>
  </si>
  <si>
    <t>818-08-6</t>
  </si>
  <si>
    <t>H300, H319, H400, H410, H411, H412</t>
  </si>
  <si>
    <t>0256</t>
  </si>
  <si>
    <t>DI-n-BUTYLTIN OXIDE</t>
  </si>
  <si>
    <t>3146</t>
  </si>
  <si>
    <t>CHM-0256</t>
  </si>
  <si>
    <t>2-DİETİLAMİNOETANOL</t>
  </si>
  <si>
    <t>100-37-8</t>
  </si>
  <si>
    <t>0257</t>
  </si>
  <si>
    <t>2-DIETHYLAMINOETHANOL</t>
  </si>
  <si>
    <t>2686</t>
  </si>
  <si>
    <t>CHM-0257</t>
  </si>
  <si>
    <t>DİETİL FTALAT</t>
  </si>
  <si>
    <t>84-66-2</t>
  </si>
  <si>
    <t>0258</t>
  </si>
  <si>
    <t>DIETHYL PHTHALATE</t>
  </si>
  <si>
    <t>CHM-0258</t>
  </si>
  <si>
    <t>N,N-DİMETİLASETAMİD</t>
  </si>
  <si>
    <t>127-19-5</t>
  </si>
  <si>
    <t>H373</t>
  </si>
  <si>
    <t>0259</t>
  </si>
  <si>
    <t>N,N-DIMETHYLACETAMIDE</t>
  </si>
  <si>
    <t>CHM-0259</t>
  </si>
  <si>
    <t>DİMETİLAMİN</t>
  </si>
  <si>
    <t>124-40-3</t>
  </si>
  <si>
    <t>H220, H221, H280, H315, H317, H318, H332, H335, H402</t>
  </si>
  <si>
    <t>0260</t>
  </si>
  <si>
    <t>DIMETHYLAMINE</t>
  </si>
  <si>
    <t>1032</t>
  </si>
  <si>
    <t>flam; cylinder; corr; excl mark</t>
  </si>
  <si>
    <t>Yanıcı; Basınçlı Gaz; corr; Sağlık Tehlikesi (hafif)</t>
  </si>
  <si>
    <t>CHM-0260</t>
  </si>
  <si>
    <t>DİMETİL FTALAT</t>
  </si>
  <si>
    <t>131-11-3</t>
  </si>
  <si>
    <t>0261</t>
  </si>
  <si>
    <t>DIMETHYL PHTHALATE</t>
  </si>
  <si>
    <t>CHM-0261</t>
  </si>
  <si>
    <t>DİMETİL TERİFTALAT</t>
  </si>
  <si>
    <t>120-61-6</t>
  </si>
  <si>
    <t>0262</t>
  </si>
  <si>
    <t>DIMETHYL TEREPHTHALATE</t>
  </si>
  <si>
    <t>CHM-0262</t>
  </si>
  <si>
    <t>1,2-DİFENİLHİDRAZİN</t>
  </si>
  <si>
    <t>122-66-7</t>
  </si>
  <si>
    <t>0263</t>
  </si>
  <si>
    <t>1,2-DIPHENYLHYDRAZINE</t>
  </si>
  <si>
    <t>CHM-0263</t>
  </si>
  <si>
    <t>DODEKANOİL PEROKSİT</t>
  </si>
  <si>
    <t>105-74-8</t>
  </si>
  <si>
    <t>BOILING POINT: DECOMPOSES</t>
  </si>
  <si>
    <t>0264</t>
  </si>
  <si>
    <t>DODECANOYL PEROXIDE</t>
  </si>
  <si>
    <t>3106</t>
  </si>
  <si>
    <t>CHM-0264</t>
  </si>
  <si>
    <t>DODESİLBENZEN</t>
  </si>
  <si>
    <t>123-01-3</t>
  </si>
  <si>
    <t>0265</t>
  </si>
  <si>
    <t>DODECYLBENZENE</t>
  </si>
  <si>
    <t>CHM-0265</t>
  </si>
  <si>
    <t>ETAN</t>
  </si>
  <si>
    <t>74-84-0</t>
  </si>
  <si>
    <t>0266</t>
  </si>
  <si>
    <t>ETHANE</t>
  </si>
  <si>
    <t>1035</t>
  </si>
  <si>
    <t>CHM-0266</t>
  </si>
  <si>
    <t>ETİL AKRİLAT</t>
  </si>
  <si>
    <t>140-88-5</t>
  </si>
  <si>
    <t>0267</t>
  </si>
  <si>
    <t>ETHYL ACRYLATE</t>
  </si>
  <si>
    <t>1917</t>
  </si>
  <si>
    <t>CHM-0267</t>
  </si>
  <si>
    <t>ETİLBENZEN</t>
  </si>
  <si>
    <t>100-41-4</t>
  </si>
  <si>
    <t>H225, H226, H302, H315, H319, H332, H335, H351, H400</t>
  </si>
  <si>
    <t>0268</t>
  </si>
  <si>
    <t>ETHYLBENZENE</t>
  </si>
  <si>
    <t>1175</t>
  </si>
  <si>
    <t>CHM-0268</t>
  </si>
  <si>
    <t>ETİLENDİAMİN</t>
  </si>
  <si>
    <t>107-15-3</t>
  </si>
  <si>
    <t>H226, H302, H314, H317, H334</t>
  </si>
  <si>
    <t>0269</t>
  </si>
  <si>
    <t>ETHYLENEDIAMINE</t>
  </si>
  <si>
    <t>1604</t>
  </si>
  <si>
    <t>flam; excl mark; corr; cancer</t>
  </si>
  <si>
    <t>Yanıcı; Sağlık Tehlikesi (hafif); corr; Kanserojen/Mutajen/Repro</t>
  </si>
  <si>
    <t>CHM-0269</t>
  </si>
  <si>
    <t>ETİLEN GLİKOL</t>
  </si>
  <si>
    <t>107-21-1</t>
  </si>
  <si>
    <t>0270</t>
  </si>
  <si>
    <t>ETHYLENE GLYCOL</t>
  </si>
  <si>
    <t>CHM-0270</t>
  </si>
  <si>
    <t>Dİ(2-ETİLHEKSİL) FTALAT</t>
  </si>
  <si>
    <t>117-81-7</t>
  </si>
  <si>
    <t>0271</t>
  </si>
  <si>
    <t>DI(2-ETHYLHEXYL) PHTHALATE</t>
  </si>
  <si>
    <t>CHM-0271</t>
  </si>
  <si>
    <t>ETİL METAKRİLAT</t>
  </si>
  <si>
    <t>97-63-2</t>
  </si>
  <si>
    <t>0272</t>
  </si>
  <si>
    <t>ETHYL METHACRYLATE</t>
  </si>
  <si>
    <t>2277</t>
  </si>
  <si>
    <t>CHM-0272</t>
  </si>
  <si>
    <t>FENVALERAT (TEKNIK ÜRÜN)</t>
  </si>
  <si>
    <t>51630-58-1</t>
  </si>
  <si>
    <t>0273</t>
  </si>
  <si>
    <t>FENVALERATE (Technical product)</t>
  </si>
  <si>
    <t>CHM-0273</t>
  </si>
  <si>
    <t>FLOROASETIK ASİT</t>
  </si>
  <si>
    <t>144-49-0</t>
  </si>
  <si>
    <t>H300, H314, H402</t>
  </si>
  <si>
    <t>0274</t>
  </si>
  <si>
    <t>FLUOROACETIC ACID</t>
  </si>
  <si>
    <t>2642</t>
  </si>
  <si>
    <t>skull; corr</t>
  </si>
  <si>
    <t>Akut Toksisite; corr</t>
  </si>
  <si>
    <t>CHM-0274</t>
  </si>
  <si>
    <t>FORMALDEHIT</t>
  </si>
  <si>
    <t>50-00-0</t>
  </si>
  <si>
    <t>H220, H221, H300, H317, H319, H330, H335, H351</t>
  </si>
  <si>
    <t>0275</t>
  </si>
  <si>
    <t>FORMALDEHYDE</t>
  </si>
  <si>
    <t>CHM-0275</t>
  </si>
  <si>
    <t>FURFURAL</t>
  </si>
  <si>
    <t>98-01-1</t>
  </si>
  <si>
    <t>H226, H300, H301, H302, H315, H319, H330, H335, H351, H373, H402</t>
  </si>
  <si>
    <t>0276</t>
  </si>
  <si>
    <t>1199</t>
  </si>
  <si>
    <t>CHM-0276</t>
  </si>
  <si>
    <t>HALOTAN</t>
  </si>
  <si>
    <t>151-67-7</t>
  </si>
  <si>
    <t>0277</t>
  </si>
  <si>
    <t>HALOTHANE</t>
  </si>
  <si>
    <t>CHM-0277</t>
  </si>
  <si>
    <t>HEKSAMETİLEN DİİZOSİYANAT</t>
  </si>
  <si>
    <t>822-06-0</t>
  </si>
  <si>
    <t>H300, H311, H315, H317, H319, H330, H334, H335</t>
  </si>
  <si>
    <t>0278</t>
  </si>
  <si>
    <t>HEXAMETHYLENE DIISOCYANATE</t>
  </si>
  <si>
    <t>2281</t>
  </si>
  <si>
    <t>CHM-0278</t>
  </si>
  <si>
    <t>n-HEKSAN</t>
  </si>
  <si>
    <t>110-54-3</t>
  </si>
  <si>
    <t>H226, H300, H315, H336, H360, H361, H373, H400, H411, H412</t>
  </si>
  <si>
    <t>0279</t>
  </si>
  <si>
    <t>n-HEXANE</t>
  </si>
  <si>
    <t>1208</t>
  </si>
  <si>
    <t>CHM-0279</t>
  </si>
  <si>
    <t>2,5-HEKSANDİYOL</t>
  </si>
  <si>
    <t>2935-44-6</t>
  </si>
  <si>
    <t>H302, H319, H335, H373</t>
  </si>
  <si>
    <t>0280</t>
  </si>
  <si>
    <t>2,5-HEXANEDIOL</t>
  </si>
  <si>
    <t>CHM-0280</t>
  </si>
  <si>
    <t>HİDRAZİN</t>
  </si>
  <si>
    <t>302-01-2</t>
  </si>
  <si>
    <t>H226, H300, H301, H310, H314, H317, H340, H341, H351, H373, H400, H410, H411, H412</t>
  </si>
  <si>
    <t>0281</t>
  </si>
  <si>
    <t>HYDRAZINE</t>
  </si>
  <si>
    <t>2029</t>
  </si>
  <si>
    <t>flam; corr; skull; cancer; enviro</t>
  </si>
  <si>
    <t>Yanıcı; corr; Akut Toksisite; Kanserojen/Mutajen/Repro; Çevre için Tehlikeli</t>
  </si>
  <si>
    <t>CHM-0281</t>
  </si>
  <si>
    <t>HİDROJEN BROMÜR</t>
  </si>
  <si>
    <t>10035-10-6</t>
  </si>
  <si>
    <t>0282</t>
  </si>
  <si>
    <t>HYDROGEN BROMIDE</t>
  </si>
  <si>
    <t>1048</t>
  </si>
  <si>
    <t>CHM-0282</t>
  </si>
  <si>
    <t>HİDROJEN FLORÜR</t>
  </si>
  <si>
    <t>7664-39-3</t>
  </si>
  <si>
    <t>H300, H314, H335, H373, H402</t>
  </si>
  <si>
    <t>0283</t>
  </si>
  <si>
    <t>HYDROGEN FLUORIDE</t>
  </si>
  <si>
    <t>1052</t>
  </si>
  <si>
    <t>CHM-0283</t>
  </si>
  <si>
    <t>HİDROJEN SELENİD</t>
  </si>
  <si>
    <t>7783-07-5</t>
  </si>
  <si>
    <t>H220, H221, H280, H300, H319, H330, H335</t>
  </si>
  <si>
    <t>0284</t>
  </si>
  <si>
    <t>HYDROGEN SELENIDE</t>
  </si>
  <si>
    <t>2202</t>
  </si>
  <si>
    <t>flam; cylinder; skull</t>
  </si>
  <si>
    <t>Yanıcı; Basınçlı Gaz; Akut Toksisite</t>
  </si>
  <si>
    <t>CHM-0284</t>
  </si>
  <si>
    <t>İZOBÜTANOLAMİN</t>
  </si>
  <si>
    <t>124-68-5</t>
  </si>
  <si>
    <t>0285</t>
  </si>
  <si>
    <t>ISOBUTANOLAMINE</t>
  </si>
  <si>
    <t>CHM-0285</t>
  </si>
  <si>
    <t>İZOBÜTİL KLORİD</t>
  </si>
  <si>
    <t>513-36-0</t>
  </si>
  <si>
    <t>0286</t>
  </si>
  <si>
    <t>ISOBUTYL CHLORIDE</t>
  </si>
  <si>
    <t>1127</t>
  </si>
  <si>
    <t>CHM-0286</t>
  </si>
  <si>
    <t>İZOPROPİL KLOROFORMAT</t>
  </si>
  <si>
    <t>108-23-6</t>
  </si>
  <si>
    <t>0287</t>
  </si>
  <si>
    <t>ISOPROPYL CHLOROFORMATE</t>
  </si>
  <si>
    <t>2407</t>
  </si>
  <si>
    <t>CHM-0287</t>
  </si>
  <si>
    <t>KURŞUN(II) OKSİT</t>
  </si>
  <si>
    <t>1317-36-8</t>
  </si>
  <si>
    <t>0288</t>
  </si>
  <si>
    <t>LEAD(II) OXIDE</t>
  </si>
  <si>
    <t>3288</t>
  </si>
  <si>
    <t>CHM-0288</t>
  </si>
  <si>
    <t>MAGNEZYUM TOZU (PIROFORIK)</t>
  </si>
  <si>
    <t>7439-95-4</t>
  </si>
  <si>
    <t>H221, H260, H261</t>
  </si>
  <si>
    <t>0289</t>
  </si>
  <si>
    <t>MAGNESIUM POWDER (pyrophoric)</t>
  </si>
  <si>
    <t>1418</t>
  </si>
  <si>
    <t>4.3</t>
  </si>
  <si>
    <t>Sınıf 4.3: Suyla Tepkimeye Giren</t>
  </si>
  <si>
    <t>flam</t>
  </si>
  <si>
    <t>Yanıcı</t>
  </si>
  <si>
    <t>CHM-0289</t>
  </si>
  <si>
    <t>MANGAN SÜLFAT MONOHİDRAT</t>
  </si>
  <si>
    <t>10034-96-5</t>
  </si>
  <si>
    <t>H319, H370, H371, H373, H400, H411, H412</t>
  </si>
  <si>
    <t>0290</t>
  </si>
  <si>
    <t>MANGANESE SULPHATE MONOHYDRATE</t>
  </si>
  <si>
    <t>CHM-0290</t>
  </si>
  <si>
    <t>METAN</t>
  </si>
  <si>
    <t>74-82-8</t>
  </si>
  <si>
    <t>0291</t>
  </si>
  <si>
    <t>METHANE</t>
  </si>
  <si>
    <t>1971</t>
  </si>
  <si>
    <t>CHM-0291</t>
  </si>
  <si>
    <t>METİLSİKLOHEKSANOL (KARIŞIK İZOMERLER)</t>
  </si>
  <si>
    <t>25639-42-3</t>
  </si>
  <si>
    <t>0292</t>
  </si>
  <si>
    <t>METHYLCYCLOHEXANOL (MIXED ISOMERS)</t>
  </si>
  <si>
    <t>2617</t>
  </si>
  <si>
    <t>CHM-0292</t>
  </si>
  <si>
    <t>1-METİLSİKLOHEKSANOL</t>
  </si>
  <si>
    <t>590-67-0</t>
  </si>
  <si>
    <t>0293</t>
  </si>
  <si>
    <t>1-METHYLCYCLOHEXANOL</t>
  </si>
  <si>
    <t>CHM-0293</t>
  </si>
  <si>
    <t>2-METİLSİKLOHEKSANOL</t>
  </si>
  <si>
    <t>583-59-5</t>
  </si>
  <si>
    <t>0294</t>
  </si>
  <si>
    <t>2-METHYLCYCLOHEXANOL</t>
  </si>
  <si>
    <t>CHM-0294</t>
  </si>
  <si>
    <t>3-METİLSİKLOHEKSANOL</t>
  </si>
  <si>
    <t>591-23-1</t>
  </si>
  <si>
    <t>0295</t>
  </si>
  <si>
    <t>3-METHYLCYCLOHEXANOL</t>
  </si>
  <si>
    <t>CHM-0295</t>
  </si>
  <si>
    <t>4-METİLSİKLOHEKSANOL</t>
  </si>
  <si>
    <t>589-91-3</t>
  </si>
  <si>
    <t>0296</t>
  </si>
  <si>
    <t>4-METHYLCYCLOHEXANOL</t>
  </si>
  <si>
    <t>CHM-0296</t>
  </si>
  <si>
    <t>METİLDİKLOROSİLAN</t>
  </si>
  <si>
    <t>75-54-7</t>
  </si>
  <si>
    <t>0297</t>
  </si>
  <si>
    <t>METHYLDICHLOROSILANE</t>
  </si>
  <si>
    <t>1242</t>
  </si>
  <si>
    <t>CHM-0297</t>
  </si>
  <si>
    <t>METİLEN BİSFENİL İZOSİYANAT</t>
  </si>
  <si>
    <t>101-68-8</t>
  </si>
  <si>
    <t>0298</t>
  </si>
  <si>
    <t>METHYLENE BISPHENYL ISOCYANATE</t>
  </si>
  <si>
    <t>CHM-0298</t>
  </si>
  <si>
    <t>METİL MERKAPTAN</t>
  </si>
  <si>
    <t>74-93-1</t>
  </si>
  <si>
    <t>0299</t>
  </si>
  <si>
    <t>METHYL MERCAPTAN</t>
  </si>
  <si>
    <t>1064</t>
  </si>
  <si>
    <t>CHM-0299</t>
  </si>
  <si>
    <t>METİL METAKRİLAT</t>
  </si>
  <si>
    <t>80-62-6</t>
  </si>
  <si>
    <t>0300</t>
  </si>
  <si>
    <t>METHYL METHACRYLATE</t>
  </si>
  <si>
    <t>1247</t>
  </si>
  <si>
    <t>CHM-0300</t>
  </si>
  <si>
    <t>METİLTRİKLOROSİLAN</t>
  </si>
  <si>
    <t>75-79-6</t>
  </si>
  <si>
    <t>0301</t>
  </si>
  <si>
    <t>METHYLTRICHLOROSILANE</t>
  </si>
  <si>
    <t>1250</t>
  </si>
  <si>
    <t>CHM-0301</t>
  </si>
  <si>
    <t>MORFOLİN</t>
  </si>
  <si>
    <t>110-91-8</t>
  </si>
  <si>
    <t>0302</t>
  </si>
  <si>
    <t>MORPHOLINE</t>
  </si>
  <si>
    <t>2054</t>
  </si>
  <si>
    <t>CHM-0302</t>
  </si>
  <si>
    <t>BAKIR NAFTENAT</t>
  </si>
  <si>
    <t>1338-02-9</t>
  </si>
  <si>
    <t>H226, H302</t>
  </si>
  <si>
    <t>0303</t>
  </si>
  <si>
    <t>COPPER NAPHTHENATE</t>
  </si>
  <si>
    <t>CHM-0303</t>
  </si>
  <si>
    <t>KURŞUN NAFTENAT</t>
  </si>
  <si>
    <t>61790-14-5</t>
  </si>
  <si>
    <t>0304</t>
  </si>
  <si>
    <t>LEAD NAPHTHENATE</t>
  </si>
  <si>
    <t>CHM-0304</t>
  </si>
  <si>
    <t>NEOPENTİL GLİKOL</t>
  </si>
  <si>
    <t>126-30-7</t>
  </si>
  <si>
    <t>0305</t>
  </si>
  <si>
    <t>NEOPENTYL GLYCOL</t>
  </si>
  <si>
    <t>CHM-0305</t>
  </si>
  <si>
    <t>2-NİTROANİLİN</t>
  </si>
  <si>
    <t>88-74-4</t>
  </si>
  <si>
    <t>0306</t>
  </si>
  <si>
    <t>2-NITROANILINE</t>
  </si>
  <si>
    <t>1661</t>
  </si>
  <si>
    <t>CHM-0306</t>
  </si>
  <si>
    <t>3-NİTROANİLİN</t>
  </si>
  <si>
    <t>99-09-2</t>
  </si>
  <si>
    <t>581 to 585 °F at 760 mmHg (decomposes) (NTP, 1992)</t>
  </si>
  <si>
    <t>0307</t>
  </si>
  <si>
    <t>3-NITROANILINE</t>
  </si>
  <si>
    <t>CHM-0307</t>
  </si>
  <si>
    <t>4-NİTROANİLİN</t>
  </si>
  <si>
    <t>100-01-6</t>
  </si>
  <si>
    <t>0308</t>
  </si>
  <si>
    <t>4-NITROANILINE</t>
  </si>
  <si>
    <t>CHM-0308</t>
  </si>
  <si>
    <t>4-NONİLFENOL (DALLANMIŞ)</t>
  </si>
  <si>
    <t>84852-15-3</t>
  </si>
  <si>
    <t>H302, H312, H314, H361, H400, H410, H411, H412</t>
  </si>
  <si>
    <t>0309</t>
  </si>
  <si>
    <t>4-NONYLPHENOL (BRANCHED)</t>
  </si>
  <si>
    <t>3145</t>
  </si>
  <si>
    <t>CHM-0309</t>
  </si>
  <si>
    <t>OKTAMETİLSİKLOTETRASİLOKSAN</t>
  </si>
  <si>
    <t>556-67-2</t>
  </si>
  <si>
    <t>0310</t>
  </si>
  <si>
    <t>OCTAMETHYLCYCLOTETRASILOXANE</t>
  </si>
  <si>
    <t>CHM-0310</t>
  </si>
  <si>
    <t>TRİKLOROMETANSÜLFENİL KLORİD</t>
  </si>
  <si>
    <t>594-42-3</t>
  </si>
  <si>
    <t>0311</t>
  </si>
  <si>
    <t>TRICHLOROMETHANESULFENYL CHLORIDE</t>
  </si>
  <si>
    <t>1670</t>
  </si>
  <si>
    <t>CHM-0311</t>
  </si>
  <si>
    <t>PERMETRİN</t>
  </si>
  <si>
    <t>52645-53-1</t>
  </si>
  <si>
    <t>0312</t>
  </si>
  <si>
    <t>PERMETHRIN</t>
  </si>
  <si>
    <t>CHM-0312</t>
  </si>
  <si>
    <t>d-FENOTRİN</t>
  </si>
  <si>
    <t>26002-80-2</t>
  </si>
  <si>
    <t>&gt;290 °C</t>
  </si>
  <si>
    <t>0313</t>
  </si>
  <si>
    <t>d-PHENOTHRIN</t>
  </si>
  <si>
    <t>CHM-0313</t>
  </si>
  <si>
    <t>ETİL KARBAMAT</t>
  </si>
  <si>
    <t>51-79-6</t>
  </si>
  <si>
    <t>H302, H351</t>
  </si>
  <si>
    <t>0314</t>
  </si>
  <si>
    <t>ETHYL CARBAMATE</t>
  </si>
  <si>
    <t>CHM-0314</t>
  </si>
  <si>
    <t>FTALİK ANHİDRİT</t>
  </si>
  <si>
    <t>85-44-9</t>
  </si>
  <si>
    <t>H302, H315, H317, H318, H334, H335</t>
  </si>
  <si>
    <t>0315</t>
  </si>
  <si>
    <t>PHTHALIC ANHYDRIDE</t>
  </si>
  <si>
    <t>corr; excl mark; cancer</t>
  </si>
  <si>
    <t>corr; Sağlık Tehlikesi (hafif); Kanserojen/Mutajen/Repro</t>
  </si>
  <si>
    <t>CHM-0315</t>
  </si>
  <si>
    <t>PİKRİK ASİT</t>
  </si>
  <si>
    <t>88-89-1</t>
  </si>
  <si>
    <t>H201, H301, H319, H402</t>
  </si>
  <si>
    <t>Explodes above 572 °F (NIOSH, 2024)</t>
  </si>
  <si>
    <t>0316</t>
  </si>
  <si>
    <t>PICRIC ACID</t>
  </si>
  <si>
    <t>expl; skull</t>
  </si>
  <si>
    <t>expl; Akut Toksisite</t>
  </si>
  <si>
    <t>CHM-0316</t>
  </si>
  <si>
    <t>PİPERİDİN</t>
  </si>
  <si>
    <t>110-89-4</t>
  </si>
  <si>
    <t>0317</t>
  </si>
  <si>
    <t>PIPERIDINE</t>
  </si>
  <si>
    <t>2401</t>
  </si>
  <si>
    <t>CHM-0317</t>
  </si>
  <si>
    <t>POLİDİMETİLSİLOKSAN</t>
  </si>
  <si>
    <t>9016-00-6</t>
  </si>
  <si>
    <t>0318</t>
  </si>
  <si>
    <t>POLYDIMETHYLSILOXANE</t>
  </si>
  <si>
    <t>CHM-0318</t>
  </si>
  <si>
    <t>PROPAN</t>
  </si>
  <si>
    <t>74-98-6</t>
  </si>
  <si>
    <t>0319</t>
  </si>
  <si>
    <t>PROPANE</t>
  </si>
  <si>
    <t>1978</t>
  </si>
  <si>
    <t>CHM-0319</t>
  </si>
  <si>
    <t>PROPİYONİTRİL</t>
  </si>
  <si>
    <t>107-12-0</t>
  </si>
  <si>
    <t>H225, H226, H300, H302, H319, H335, H336</t>
  </si>
  <si>
    <t>0320</t>
  </si>
  <si>
    <t>PROPIONITRILE</t>
  </si>
  <si>
    <t>2404</t>
  </si>
  <si>
    <t>CHM-0320</t>
  </si>
  <si>
    <t>PROPİLEN GLİKOL</t>
  </si>
  <si>
    <t>57-55-6</t>
  </si>
  <si>
    <t>0321</t>
  </si>
  <si>
    <t>PROPYLENE GLYCOL</t>
  </si>
  <si>
    <t>CHM-0321</t>
  </si>
  <si>
    <t>PROPİLENİMİN</t>
  </si>
  <si>
    <t>75-55-8</t>
  </si>
  <si>
    <t>H225, H226, H300, H315, H319, H351</t>
  </si>
  <si>
    <t>0322</t>
  </si>
  <si>
    <t>PROPYLENEIMINE</t>
  </si>
  <si>
    <t>1921</t>
  </si>
  <si>
    <t>CHM-0322</t>
  </si>
  <si>
    <t>PİRİDİN</t>
  </si>
  <si>
    <t>110-86-1</t>
  </si>
  <si>
    <t>H225, H226, H302, H319, H351</t>
  </si>
  <si>
    <t>0323</t>
  </si>
  <si>
    <t>PYRIDINE</t>
  </si>
  <si>
    <t>1282</t>
  </si>
  <si>
    <t>CHM-0323</t>
  </si>
  <si>
    <t>RESMETRİN</t>
  </si>
  <si>
    <t>10453-86-8</t>
  </si>
  <si>
    <t>Decomposes at &gt;180 °C</t>
  </si>
  <si>
    <t>0324</t>
  </si>
  <si>
    <t>RESMETHRIN</t>
  </si>
  <si>
    <t>CHM-0324</t>
  </si>
  <si>
    <t>RODAMİN WT</t>
  </si>
  <si>
    <t>37299-86-8</t>
  </si>
  <si>
    <t>0325</t>
  </si>
  <si>
    <t>RHODAMINE WT</t>
  </si>
  <si>
    <t>CHM-0325</t>
  </si>
  <si>
    <t>DİSODYUM ARSENAT HEPTAHİDRAT</t>
  </si>
  <si>
    <t>10048-95-0</t>
  </si>
  <si>
    <t>H301, H319, H351, H361, H370, H372, H373</t>
  </si>
  <si>
    <t>356 °F at 760 mmHg (decomposes) (NTP, 1992)</t>
  </si>
  <si>
    <t>0326</t>
  </si>
  <si>
    <t>DISODIUM ARSENATE HEPTAHYDRATE</t>
  </si>
  <si>
    <t>1685</t>
  </si>
  <si>
    <t>CHM-0326</t>
  </si>
  <si>
    <t>STRİKNİN SÜLFAT (ANHİDROZ)</t>
  </si>
  <si>
    <t>60-41-3</t>
  </si>
  <si>
    <t>0327</t>
  </si>
  <si>
    <t>STRYCHNINE SULFATE (ANHYDROUS)</t>
  </si>
  <si>
    <t>CHM-0327</t>
  </si>
  <si>
    <t>SULFAMİK ASİT</t>
  </si>
  <si>
    <t>5329-14-6</t>
  </si>
  <si>
    <t>Decomposes</t>
  </si>
  <si>
    <t>0328</t>
  </si>
  <si>
    <t>SULFAMIC ACID</t>
  </si>
  <si>
    <t>2967</t>
  </si>
  <si>
    <t>CHM-0328</t>
  </si>
  <si>
    <t>TALK (SİLİKA VE FİBER İÇERMEZ)</t>
  </si>
  <si>
    <t>14807-96-6</t>
  </si>
  <si>
    <t>0329</t>
  </si>
  <si>
    <t>TALC (SILICA AND FIBRE FREE)</t>
  </si>
  <si>
    <t>CHM-0329</t>
  </si>
  <si>
    <t>TERİFTALİK ASİT</t>
  </si>
  <si>
    <t>100-21-0</t>
  </si>
  <si>
    <t>greater than 572 °F at 760 mmHg (sublimes without melting) (NTP, 1992)</t>
  </si>
  <si>
    <t>0330</t>
  </si>
  <si>
    <t>TEREPHTHALIC ACID</t>
  </si>
  <si>
    <t>CHM-0330</t>
  </si>
  <si>
    <t>TERİFTALOİL DİKLORÜR</t>
  </si>
  <si>
    <t>100-20-9</t>
  </si>
  <si>
    <t>H302, H314</t>
  </si>
  <si>
    <t>0331</t>
  </si>
  <si>
    <t>TEREPHTHALOYL DICHLORIDE</t>
  </si>
  <si>
    <t>corr</t>
  </si>
  <si>
    <t>CHM-0331</t>
  </si>
  <si>
    <t>1,1,2,2-TETRAKLOROETAN</t>
  </si>
  <si>
    <t>79-34-5</t>
  </si>
  <si>
    <t>H301, H319, H335, H336, H340, H341, H351, H373, H400</t>
  </si>
  <si>
    <t>0332</t>
  </si>
  <si>
    <t>1,1,2,2-TETRACHLOROETHANE</t>
  </si>
  <si>
    <t>1702</t>
  </si>
  <si>
    <t>CHM-0332</t>
  </si>
  <si>
    <t>TETRAETİL SİLİKAT</t>
  </si>
  <si>
    <t>78-10-4</t>
  </si>
  <si>
    <t>0333</t>
  </si>
  <si>
    <t>TETRAETHYL SILICATE</t>
  </si>
  <si>
    <t>1292</t>
  </si>
  <si>
    <t>CHM-0333</t>
  </si>
  <si>
    <t>TETRAMETRİN</t>
  </si>
  <si>
    <t>7696-12-0</t>
  </si>
  <si>
    <t>180-190 °C at 0.1 mm Hg</t>
  </si>
  <si>
    <t>0334</t>
  </si>
  <si>
    <t>TETRAMETHRIN</t>
  </si>
  <si>
    <t>CHM-0334</t>
  </si>
  <si>
    <t>d-TETRAMETRİN</t>
  </si>
  <si>
    <t>0335</t>
  </si>
  <si>
    <t>d-TETRAMETHRIN</t>
  </si>
  <si>
    <t>CHM-0335</t>
  </si>
  <si>
    <t>TALYUM SÜLFAT</t>
  </si>
  <si>
    <t>7446-18-6</t>
  </si>
  <si>
    <t>H300, H311, H319, H370, H373, H400, H410, H411, H412</t>
  </si>
  <si>
    <t>0336</t>
  </si>
  <si>
    <t>THALLIUM SULFATE</t>
  </si>
  <si>
    <t>CHM-0336</t>
  </si>
  <si>
    <t>TORYUM</t>
  </si>
  <si>
    <t>7440-29-1</t>
  </si>
  <si>
    <t>0337</t>
  </si>
  <si>
    <t>THORIUM</t>
  </si>
  <si>
    <t>2912</t>
  </si>
  <si>
    <t>7</t>
  </si>
  <si>
    <t>Sınıf 7: Radyoaktif Maddeler</t>
  </si>
  <si>
    <t>CHM-0337</t>
  </si>
  <si>
    <t>TİTANYUM DİOKSİT</t>
  </si>
  <si>
    <t>13463-67-7</t>
  </si>
  <si>
    <t>0338</t>
  </si>
  <si>
    <t>TITANIUM DIOXIDE</t>
  </si>
  <si>
    <t>CHM-0338</t>
  </si>
  <si>
    <t>2,4-TOLUEN DİİZOSİYANAT</t>
  </si>
  <si>
    <t>584-84-9</t>
  </si>
  <si>
    <t>H300, H315, H317, H319, H330, H334, H335, H351, H402, H412</t>
  </si>
  <si>
    <t>0339</t>
  </si>
  <si>
    <t>2,4-TOLUENE DIISOCYANATE</t>
  </si>
  <si>
    <t>2078</t>
  </si>
  <si>
    <t>CHM-0339</t>
  </si>
  <si>
    <t>2,6-DİAMİNOTOLUEN</t>
  </si>
  <si>
    <t>823-40-5</t>
  </si>
  <si>
    <t>0340</t>
  </si>
  <si>
    <t>2,6-DIAMINOTOLUENE</t>
  </si>
  <si>
    <t>CHM-0340</t>
  </si>
  <si>
    <t>ORTHO-TOLUİDİN</t>
  </si>
  <si>
    <t>95-53-4</t>
  </si>
  <si>
    <t>H227, H302, H312, H319, H340, H341, H351, H400, H410</t>
  </si>
  <si>
    <t>0341</t>
  </si>
  <si>
    <t>ortho-TOLUIDINE</t>
  </si>
  <si>
    <t>1708</t>
  </si>
  <si>
    <t>CHM-0341</t>
  </si>
  <si>
    <t>META-TOLUİDİN</t>
  </si>
  <si>
    <t>108-44-1</t>
  </si>
  <si>
    <t>H227, H302, H312, H319, H400, H410</t>
  </si>
  <si>
    <t>0342</t>
  </si>
  <si>
    <t>meta-TOLUIDINE</t>
  </si>
  <si>
    <t>CHM-0342</t>
  </si>
  <si>
    <t>PARA-TOLUİDİN</t>
  </si>
  <si>
    <t>106-49-0</t>
  </si>
  <si>
    <t>H227, H301, H317, H319, H400, H410</t>
  </si>
  <si>
    <t>0343</t>
  </si>
  <si>
    <t>para-TOLUIDINE</t>
  </si>
  <si>
    <t>3451</t>
  </si>
  <si>
    <t>CHM-0343</t>
  </si>
  <si>
    <t>1,3,5-TRİKLOROBENZEN</t>
  </si>
  <si>
    <t>108-70-3</t>
  </si>
  <si>
    <t>0344</t>
  </si>
  <si>
    <t>1,3,5-TRICHLOROBENZENE</t>
  </si>
  <si>
    <t>CHM-0344</t>
  </si>
  <si>
    <t>TRİMELLİTİK ANHİDRİT</t>
  </si>
  <si>
    <t>552-30-7</t>
  </si>
  <si>
    <t>0345</t>
  </si>
  <si>
    <t>TRIMELLITIC ANHYDRIDE</t>
  </si>
  <si>
    <t>CHM-0345</t>
  </si>
  <si>
    <t>VALERİK ASİT</t>
  </si>
  <si>
    <t>109-52-4</t>
  </si>
  <si>
    <t>0346</t>
  </si>
  <si>
    <t>VALERIC ACID</t>
  </si>
  <si>
    <t>3265</t>
  </si>
  <si>
    <t>CHM-0346</t>
  </si>
  <si>
    <t>VİNİL ASETAT (MONOMER)</t>
  </si>
  <si>
    <t>108-05-4</t>
  </si>
  <si>
    <t>H225, H226, H302, H331, H335, H351, H402</t>
  </si>
  <si>
    <t>0347</t>
  </si>
  <si>
    <t>VINYL ACETATE (MONOMER)</t>
  </si>
  <si>
    <t>1301</t>
  </si>
  <si>
    <t>CHM-0347</t>
  </si>
  <si>
    <t>ZİRAM</t>
  </si>
  <si>
    <t>137-30-4</t>
  </si>
  <si>
    <t>0348</t>
  </si>
  <si>
    <t>ZIRAM</t>
  </si>
  <si>
    <t>2771</t>
  </si>
  <si>
    <t>CHM-0348</t>
  </si>
  <si>
    <t>ÇİNKO SÜLFAT HEPTAHİDRAT</t>
  </si>
  <si>
    <t>7446-20-0</t>
  </si>
  <si>
    <t>0349</t>
  </si>
  <si>
    <t>ZINC SULFATE HEPTAHYDRATE</t>
  </si>
  <si>
    <t>CHM-0349</t>
  </si>
  <si>
    <t>ZİNEB</t>
  </si>
  <si>
    <t>12122-67-7</t>
  </si>
  <si>
    <t>H302, H317, H370, H371, H373, H400, H410, H411, H412</t>
  </si>
  <si>
    <t>0350</t>
  </si>
  <si>
    <t>ZINEB</t>
  </si>
  <si>
    <t>CHM-0350</t>
  </si>
  <si>
    <t>ALÜMİNYUM OKSİT</t>
  </si>
  <si>
    <t>1344-28-1</t>
  </si>
  <si>
    <t>0351</t>
  </si>
  <si>
    <t>ALUMINIUM OXIDE</t>
  </si>
  <si>
    <t>CHM-0351</t>
  </si>
  <si>
    <t>GLUTARALDEHİT (%50 ÇÖZELTI)</t>
  </si>
  <si>
    <t>H300, H301, H315, H317, H319, H330, H334, H335, H400, H410</t>
  </si>
  <si>
    <t>0352</t>
  </si>
  <si>
    <t>GLUTARALDEHYDE (50% SOLUTION)</t>
  </si>
  <si>
    <t>CHM-0352</t>
  </si>
  <si>
    <t>SİKLOPENTAN</t>
  </si>
  <si>
    <t>287-92-3</t>
  </si>
  <si>
    <t>H225, H226, H302, H319, H335, H336, H400</t>
  </si>
  <si>
    <t>0353</t>
  </si>
  <si>
    <t>CYCLOPENTANE</t>
  </si>
  <si>
    <t>1146</t>
  </si>
  <si>
    <t>CHM-0353</t>
  </si>
  <si>
    <t>DİBROMOMETAN</t>
  </si>
  <si>
    <t>74-95-3</t>
  </si>
  <si>
    <t>H302, H319, H336, H373</t>
  </si>
  <si>
    <t>0354</t>
  </si>
  <si>
    <t>DIBROMOMETHANE</t>
  </si>
  <si>
    <t>2664</t>
  </si>
  <si>
    <t>CHM-0354</t>
  </si>
  <si>
    <t>DİETİL ETER</t>
  </si>
  <si>
    <t>60-29-7</t>
  </si>
  <si>
    <t>H224, H226, H302, H336</t>
  </si>
  <si>
    <t>0355</t>
  </si>
  <si>
    <t>DIETHYL ETHER</t>
  </si>
  <si>
    <t>1155</t>
  </si>
  <si>
    <t>CHM-0355</t>
  </si>
  <si>
    <t>İZOAMİL ASETAT</t>
  </si>
  <si>
    <t>123-92-2</t>
  </si>
  <si>
    <t>0356</t>
  </si>
  <si>
    <t>ISOAMYL ACETATE</t>
  </si>
  <si>
    <t>CHM-0356</t>
  </si>
  <si>
    <t>POTASYUM HİDROKSİT</t>
  </si>
  <si>
    <t>1310-58-3</t>
  </si>
  <si>
    <t>H302, H314, H335</t>
  </si>
  <si>
    <t>0357</t>
  </si>
  <si>
    <t>POTASSIUM HYDROXIDE</t>
  </si>
  <si>
    <t>1813</t>
  </si>
  <si>
    <t>CHM-0357</t>
  </si>
  <si>
    <t>KOLOFAN</t>
  </si>
  <si>
    <t>8050-09-7</t>
  </si>
  <si>
    <t>0358</t>
  </si>
  <si>
    <t>ROSIN</t>
  </si>
  <si>
    <t>CHM-0358</t>
  </si>
  <si>
    <t>SODYUM METASİLİKAT (ANHİDROZ)</t>
  </si>
  <si>
    <t>6834-92-0</t>
  </si>
  <si>
    <t>100 °C -6H20 /NONAHYDRATE/</t>
  </si>
  <si>
    <t>0359</t>
  </si>
  <si>
    <t>SODIUM METASILICATE (ANHYDROUS)</t>
  </si>
  <si>
    <t>3253</t>
  </si>
  <si>
    <t>CHM-0359</t>
  </si>
  <si>
    <t>SODYUM HİDROKSİT</t>
  </si>
  <si>
    <t>1310-73-2</t>
  </si>
  <si>
    <t>0360</t>
  </si>
  <si>
    <t>SODIUM HYDROXIDE</t>
  </si>
  <si>
    <t>1823</t>
  </si>
  <si>
    <t>CHM-0360</t>
  </si>
  <si>
    <t>STODDARD ÇÖZÜCÜ</t>
  </si>
  <si>
    <t>8052-41-3</t>
  </si>
  <si>
    <t>0361</t>
  </si>
  <si>
    <t>STODDARD SOLVENT</t>
  </si>
  <si>
    <t>1268</t>
  </si>
  <si>
    <t>CHM-0361</t>
  </si>
  <si>
    <t>SÜLFÜRİK ASİT, KONSANTRE (&gt; %51 VE &lt; %100)</t>
  </si>
  <si>
    <t>7664-93-9</t>
  </si>
  <si>
    <t>H290, H300, H314, H330, H335</t>
  </si>
  <si>
    <t>554 °F at 760 mmHg (EPA, 1998)</t>
  </si>
  <si>
    <t>0362</t>
  </si>
  <si>
    <t>SULFURIC ACID, concentrated (&gt; 51% and &lt; 100%)</t>
  </si>
  <si>
    <t>1830</t>
  </si>
  <si>
    <t>CHM-0362</t>
  </si>
  <si>
    <t>ASETİK ASİT</t>
  </si>
  <si>
    <t>64-19-7</t>
  </si>
  <si>
    <t>H226, H302, H312, H314, H335, H373, H402</t>
  </si>
  <si>
    <t>0363</t>
  </si>
  <si>
    <t>ACETIC ACID</t>
  </si>
  <si>
    <t>2789</t>
  </si>
  <si>
    <t>CHM-0363</t>
  </si>
  <si>
    <t>2-ETOKSİETİL ASETAT</t>
  </si>
  <si>
    <t>111-15-9</t>
  </si>
  <si>
    <t>0364</t>
  </si>
  <si>
    <t>2-ETHOXYETHYL ACETATE</t>
  </si>
  <si>
    <t>1172</t>
  </si>
  <si>
    <t>CHM-0364</t>
  </si>
  <si>
    <t>ASETİL BROMÜR</t>
  </si>
  <si>
    <t>506-96-7</t>
  </si>
  <si>
    <t>0365</t>
  </si>
  <si>
    <t>ACETYL BROMIDE</t>
  </si>
  <si>
    <t>1716</t>
  </si>
  <si>
    <t>CHM-0365</t>
  </si>
  <si>
    <t>1,1,1-TRİMETİLOLPROPAN</t>
  </si>
  <si>
    <t>77-99-6</t>
  </si>
  <si>
    <t>0366</t>
  </si>
  <si>
    <t>1,1,1-TRIMETHYLOLPROPANE</t>
  </si>
  <si>
    <t>CHM-0366</t>
  </si>
  <si>
    <t>ETİL ASETAT</t>
  </si>
  <si>
    <t>141-78-6</t>
  </si>
  <si>
    <t>H225, H226, H336</t>
  </si>
  <si>
    <t>0367</t>
  </si>
  <si>
    <t>ETHYL ACETATE</t>
  </si>
  <si>
    <t>1173</t>
  </si>
  <si>
    <t>CHM-0367</t>
  </si>
  <si>
    <t>n-DESİL AKRİLAT</t>
  </si>
  <si>
    <t>2156-96-9</t>
  </si>
  <si>
    <t>473 °F at 760 mmHg (est.) (USCG, 1999)</t>
  </si>
  <si>
    <t>0368</t>
  </si>
  <si>
    <t>n-DECYL ACRYLATE</t>
  </si>
  <si>
    <t>CHM-0368</t>
  </si>
  <si>
    <t>ADİPİK ASİT</t>
  </si>
  <si>
    <t>124-04-9</t>
  </si>
  <si>
    <t>0369</t>
  </si>
  <si>
    <t>ADIPIC ACID</t>
  </si>
  <si>
    <t>CHM-0369</t>
  </si>
  <si>
    <t>ALAKLOR</t>
  </si>
  <si>
    <t>15972-60-8</t>
  </si>
  <si>
    <t>H302, H317, H351, H400, H411, H412</t>
  </si>
  <si>
    <t>100 °C at 0.02 mm Hg; 135 °C at 0.3 mm Hg</t>
  </si>
  <si>
    <t>0371</t>
  </si>
  <si>
    <t>ALACHLOR</t>
  </si>
  <si>
    <t>CHM-0370</t>
  </si>
  <si>
    <t>ALİL İZOTİYOSİYANAT</t>
  </si>
  <si>
    <t>57-06-7</t>
  </si>
  <si>
    <t>0372</t>
  </si>
  <si>
    <t>ALLYL ISOTHIOCYANATE</t>
  </si>
  <si>
    <t>1545</t>
  </si>
  <si>
    <t>CHM-0371</t>
  </si>
  <si>
    <t>ALÜMİNYUM HİDROKSİT</t>
  </si>
  <si>
    <t>21645-51-2</t>
  </si>
  <si>
    <t>0373</t>
  </si>
  <si>
    <t>ALUMINUM HYDROXIDE</t>
  </si>
  <si>
    <t>CHM-0372</t>
  </si>
  <si>
    <t>n-BÜTİLAMİN</t>
  </si>
  <si>
    <t>109-73-9</t>
  </si>
  <si>
    <t>0374</t>
  </si>
  <si>
    <t>n-BUTYLAMINE</t>
  </si>
  <si>
    <t>1125</t>
  </si>
  <si>
    <t>CHM-0373</t>
  </si>
  <si>
    <t>m-ANİZİDİN</t>
  </si>
  <si>
    <t>536-90-3</t>
  </si>
  <si>
    <t>0375</t>
  </si>
  <si>
    <t>m-ANISIDINE</t>
  </si>
  <si>
    <t>2431</t>
  </si>
  <si>
    <t>CHM-0374</t>
  </si>
  <si>
    <t>ANTİPİRİN</t>
  </si>
  <si>
    <t>60-80-0</t>
  </si>
  <si>
    <t>0376</t>
  </si>
  <si>
    <t>ANTIPYRINE</t>
  </si>
  <si>
    <t>CHM-0375</t>
  </si>
  <si>
    <t>ARSENİK PENTOKSİT</t>
  </si>
  <si>
    <t>1303-28-2</t>
  </si>
  <si>
    <t>H300, H319, H340, H341, H351, H360, H361, H373, H400</t>
  </si>
  <si>
    <t>Boiling point (-H2O): 160 °C /Hemihydrate/</t>
  </si>
  <si>
    <t>0377</t>
  </si>
  <si>
    <t>ARSENIC PENTOXIDE</t>
  </si>
  <si>
    <t>1559</t>
  </si>
  <si>
    <t>CHM-0376</t>
  </si>
  <si>
    <t>ARSENİK TRİOKSİT</t>
  </si>
  <si>
    <t>1327-53-3</t>
  </si>
  <si>
    <t>H301, H314, H335, H340, H341, H351, H360, H361, H373, H400, H410</t>
  </si>
  <si>
    <t>0378</t>
  </si>
  <si>
    <t>ARSENIC TRIOXIDE</t>
  </si>
  <si>
    <t>1561</t>
  </si>
  <si>
    <t>CHM-0377</t>
  </si>
  <si>
    <t>ASKORBİK ASİT</t>
  </si>
  <si>
    <t>50-81-7</t>
  </si>
  <si>
    <t>0379</t>
  </si>
  <si>
    <t>ASCORBIC ACID</t>
  </si>
  <si>
    <t>CHM-0378</t>
  </si>
  <si>
    <t>AZODİKARBONAMİD</t>
  </si>
  <si>
    <t>123-77-3</t>
  </si>
  <si>
    <t>0380</t>
  </si>
  <si>
    <t>AZODICARBONAMIDE</t>
  </si>
  <si>
    <t>3242</t>
  </si>
  <si>
    <t>CHM-0379</t>
  </si>
  <si>
    <t>BARYUM PEROKSİT</t>
  </si>
  <si>
    <t>1304-29-6</t>
  </si>
  <si>
    <t>800 °C (decomposes)</t>
  </si>
  <si>
    <t>0381</t>
  </si>
  <si>
    <t>BARIUM PEROXIDE</t>
  </si>
  <si>
    <t>1449</t>
  </si>
  <si>
    <t>CHM-0380</t>
  </si>
  <si>
    <t>BENOMİL</t>
  </si>
  <si>
    <t>17804-35-2</t>
  </si>
  <si>
    <t>H315, H317, H340, H341, H360, H361, H400, H410, H411, H412</t>
  </si>
  <si>
    <t>0382</t>
  </si>
  <si>
    <t>BENOMYL</t>
  </si>
  <si>
    <t>CHM-0381</t>
  </si>
  <si>
    <t>BENSÜLİD</t>
  </si>
  <si>
    <t>741-58-2</t>
  </si>
  <si>
    <t>H301, H400, H410, H411, H412</t>
  </si>
  <si>
    <t>0383</t>
  </si>
  <si>
    <t>BENSULIDE</t>
  </si>
  <si>
    <t>CHM-0382</t>
  </si>
  <si>
    <t>BENTONİT</t>
  </si>
  <si>
    <t>1302-78-9</t>
  </si>
  <si>
    <t>0384</t>
  </si>
  <si>
    <t>BENTONITE</t>
  </si>
  <si>
    <t>CHM-0383</t>
  </si>
  <si>
    <t>BENZ(A)ANTRASEN</t>
  </si>
  <si>
    <t>56-55-3</t>
  </si>
  <si>
    <t>H351, H400, H410, H411, H412</t>
  </si>
  <si>
    <t>815 °F at 760 mmHg (sublimes) (NTP, 1992)</t>
  </si>
  <si>
    <t>0385</t>
  </si>
  <si>
    <t>BENZ(a)ANTHRACENE</t>
  </si>
  <si>
    <t>CHM-0384</t>
  </si>
  <si>
    <t>1,4-BENZENDİAMİN DİHİDROKLORÜR</t>
  </si>
  <si>
    <t>624-18-0</t>
  </si>
  <si>
    <t>0386</t>
  </si>
  <si>
    <t>1,4-BENZENEDIAMINE DIHYDROCHLORIDE</t>
  </si>
  <si>
    <t>1673</t>
  </si>
  <si>
    <t>CHM-0385</t>
  </si>
  <si>
    <t>BENZETONİYUM KLORİD</t>
  </si>
  <si>
    <t>121-54-0</t>
  </si>
  <si>
    <t>H302, H315, H318, H400</t>
  </si>
  <si>
    <t>0387</t>
  </si>
  <si>
    <t>BENZETHONIUM CHLORIDE</t>
  </si>
  <si>
    <t>excl mark; corr</t>
  </si>
  <si>
    <t>Sağlık Tehlikesi (hafif); corr</t>
  </si>
  <si>
    <t>CHM-0386</t>
  </si>
  <si>
    <t>BENZOFURAN</t>
  </si>
  <si>
    <t>271-89-6</t>
  </si>
  <si>
    <t>0388</t>
  </si>
  <si>
    <t>CHM-0387</t>
  </si>
  <si>
    <t>BENZOFENON</t>
  </si>
  <si>
    <t>119-61-9</t>
  </si>
  <si>
    <t>H315, H373, H402</t>
  </si>
  <si>
    <t>0389</t>
  </si>
  <si>
    <t>BENZOPHENONE</t>
  </si>
  <si>
    <t>CHM-0388</t>
  </si>
  <si>
    <t>BENZİL BENZOAT</t>
  </si>
  <si>
    <t>120-51-4</t>
  </si>
  <si>
    <t>0390</t>
  </si>
  <si>
    <t>BENZYL BENZOATE</t>
  </si>
  <si>
    <t>CHM-0389</t>
  </si>
  <si>
    <t>SİYANAZİN</t>
  </si>
  <si>
    <t>21725-46-2</t>
  </si>
  <si>
    <t>0391</t>
  </si>
  <si>
    <t>CYANAZINE</t>
  </si>
  <si>
    <t>2763</t>
  </si>
  <si>
    <t>CHM-0390</t>
  </si>
  <si>
    <t>BROMOKLOROMETAN</t>
  </si>
  <si>
    <t>74-97-5</t>
  </si>
  <si>
    <t>H302, H319, H332, H335, H336</t>
  </si>
  <si>
    <t>0392</t>
  </si>
  <si>
    <t>BROMOCHLOROMETHANE</t>
  </si>
  <si>
    <t>1887</t>
  </si>
  <si>
    <t>CHM-0391</t>
  </si>
  <si>
    <t>BROMODİKLOROMETAN</t>
  </si>
  <si>
    <t>75-27-4</t>
  </si>
  <si>
    <t>H302, H351, H373</t>
  </si>
  <si>
    <t>0393</t>
  </si>
  <si>
    <t>BROMODICHLOROMETHANE</t>
  </si>
  <si>
    <t>CHM-0392</t>
  </si>
  <si>
    <t>1,2-BÜTANDİYOL</t>
  </si>
  <si>
    <t>584-03-2</t>
  </si>
  <si>
    <t>H227, H302</t>
  </si>
  <si>
    <t>0395</t>
  </si>
  <si>
    <t>1,2-BUTANEDIOL</t>
  </si>
  <si>
    <t>CHM-0393</t>
  </si>
  <si>
    <t>n-BÜTEN</t>
  </si>
  <si>
    <t>106-98-9</t>
  </si>
  <si>
    <t>0396</t>
  </si>
  <si>
    <t>n-BUTENE</t>
  </si>
  <si>
    <t>1012</t>
  </si>
  <si>
    <t>CHM-0394</t>
  </si>
  <si>
    <t>cis-2-BÜTEN</t>
  </si>
  <si>
    <t>590-18-1</t>
  </si>
  <si>
    <t>0397</t>
  </si>
  <si>
    <t>cis-2-BUTENE</t>
  </si>
  <si>
    <t>CHM-0395</t>
  </si>
  <si>
    <t>trans-2-BÜTEN</t>
  </si>
  <si>
    <t>624-64-6</t>
  </si>
  <si>
    <t>0398</t>
  </si>
  <si>
    <t>trans-2-BUTENE</t>
  </si>
  <si>
    <t>CHM-0396</t>
  </si>
  <si>
    <t>n-BÜTİL ASETAT</t>
  </si>
  <si>
    <t>123-86-4</t>
  </si>
  <si>
    <t>0399</t>
  </si>
  <si>
    <t>n-BUTYL ACETATE</t>
  </si>
  <si>
    <t>1123</t>
  </si>
  <si>
    <t>CHM-0397</t>
  </si>
  <si>
    <t>BÜTİL AKRİLAT</t>
  </si>
  <si>
    <t>141-32-2</t>
  </si>
  <si>
    <t>0400</t>
  </si>
  <si>
    <t>BUTYL ACRYLATE</t>
  </si>
  <si>
    <t>2348</t>
  </si>
  <si>
    <t>CHM-0398</t>
  </si>
  <si>
    <t>sec-BÜTİLAMİN</t>
  </si>
  <si>
    <t>13952-84-6</t>
  </si>
  <si>
    <t>0401</t>
  </si>
  <si>
    <t>sec-BUTYLAMINE</t>
  </si>
  <si>
    <t>1992</t>
  </si>
  <si>
    <t>CHM-0399</t>
  </si>
  <si>
    <t>BÜTİL FORMAT</t>
  </si>
  <si>
    <t>592-84-7</t>
  </si>
  <si>
    <t>H225, H226, H302, H319, H335</t>
  </si>
  <si>
    <t>0402</t>
  </si>
  <si>
    <t>BUTYL FORMATE</t>
  </si>
  <si>
    <t>1128</t>
  </si>
  <si>
    <t>CHM-0400</t>
  </si>
  <si>
    <t>BÜTİRALDEHİT</t>
  </si>
  <si>
    <t>123-72-8</t>
  </si>
  <si>
    <t>H225, H226, H302, H319, H402</t>
  </si>
  <si>
    <t>0403</t>
  </si>
  <si>
    <t>BUTYRALDEHYDE</t>
  </si>
  <si>
    <t>1129</t>
  </si>
  <si>
    <t>CHM-0401</t>
  </si>
  <si>
    <t>KADMIYUM SÜLFİD</t>
  </si>
  <si>
    <t>1306-23-6</t>
  </si>
  <si>
    <t>0404</t>
  </si>
  <si>
    <t>CADMIUM SULFIDE</t>
  </si>
  <si>
    <t>CHM-0402</t>
  </si>
  <si>
    <t>KAFEİN</t>
  </si>
  <si>
    <t>58-08-2</t>
  </si>
  <si>
    <t>0405</t>
  </si>
  <si>
    <t>CAFFEINE</t>
  </si>
  <si>
    <t>1544</t>
  </si>
  <si>
    <t>CHM-0403</t>
  </si>
  <si>
    <t>KALSİYUM KARBİD</t>
  </si>
  <si>
    <t>75-20-7</t>
  </si>
  <si>
    <t>H221, H260, H261, H314, H335</t>
  </si>
  <si>
    <t>0406</t>
  </si>
  <si>
    <t>CALCIUM CARBIDE</t>
  </si>
  <si>
    <t>1402</t>
  </si>
  <si>
    <t>flam; corr; excl mark</t>
  </si>
  <si>
    <t>Yanıcı; corr; Sağlık Tehlikesi (hafif)</t>
  </si>
  <si>
    <t>CHM-0404</t>
  </si>
  <si>
    <t>KALSİYUM SİYANÜR</t>
  </si>
  <si>
    <t>592-01-8</t>
  </si>
  <si>
    <t>H300, H400, H410, H411, H412</t>
  </si>
  <si>
    <t>0407</t>
  </si>
  <si>
    <t>CALCIUM CYANIDE</t>
  </si>
  <si>
    <t>1575</t>
  </si>
  <si>
    <t>CHM-0405</t>
  </si>
  <si>
    <t>KALSİYUM HİDROKSİT</t>
  </si>
  <si>
    <t>1305-62-0</t>
  </si>
  <si>
    <t>0408</t>
  </si>
  <si>
    <t>CALCIUM HYDROXIDE</t>
  </si>
  <si>
    <t>CHM-0406</t>
  </si>
  <si>
    <t>KALSİYUM OKSİT</t>
  </si>
  <si>
    <t>1305-78-8</t>
  </si>
  <si>
    <t>0409</t>
  </si>
  <si>
    <t>CALCIUM OXIDE</t>
  </si>
  <si>
    <t>1910</t>
  </si>
  <si>
    <t>CHM-0407</t>
  </si>
  <si>
    <t>KARBOFENOTIYON</t>
  </si>
  <si>
    <t>786-19-6</t>
  </si>
  <si>
    <t>0410</t>
  </si>
  <si>
    <t>CARBOPHENOTHION</t>
  </si>
  <si>
    <t>CHM-0408</t>
  </si>
  <si>
    <t>KATEŞOL</t>
  </si>
  <si>
    <t>120-80-9</t>
  </si>
  <si>
    <t>H301, H315, H317, H318, H335, H340, H341, H351</t>
  </si>
  <si>
    <t>0411</t>
  </si>
  <si>
    <t>CATECHOL</t>
  </si>
  <si>
    <t>CHM-0409</t>
  </si>
  <si>
    <t>KLORAMİN-T</t>
  </si>
  <si>
    <t>127-65-1</t>
  </si>
  <si>
    <t>0413</t>
  </si>
  <si>
    <t>CHLORAMINE-T</t>
  </si>
  <si>
    <t>1759</t>
  </si>
  <si>
    <t>CHM-0410</t>
  </si>
  <si>
    <t>AMONYAK (ANHİDROZ)</t>
  </si>
  <si>
    <t>7664-41-7</t>
  </si>
  <si>
    <t>H221, H280, H314, H331, H400, H410</t>
  </si>
  <si>
    <t>0414</t>
  </si>
  <si>
    <t>AMMONIA (ANHYDROUS)</t>
  </si>
  <si>
    <t>1005</t>
  </si>
  <si>
    <t>cylinder; skull; corr; enviro</t>
  </si>
  <si>
    <t>Basınçlı Gaz; Akut Toksisite; corr; Çevre için Tehlikeli</t>
  </si>
  <si>
    <t>CHM-0411</t>
  </si>
  <si>
    <t>2-BROMO-2-NİTRO-1,3-PROPANDİYOL</t>
  </si>
  <si>
    <t>52-51-7</t>
  </si>
  <si>
    <t>H228, H302, H315, H318, H335, H400, H410, H411, H412</t>
  </si>
  <si>
    <t>305.1 °F at 760 mmHg (NTP, 1992)</t>
  </si>
  <si>
    <t>0415</t>
  </si>
  <si>
    <t>2-BROMO-2-NITRO-1,3-PROPANEDIOL</t>
  </si>
  <si>
    <t>3241</t>
  </si>
  <si>
    <t>flam; corr; excl mark; enviro</t>
  </si>
  <si>
    <t>Yanıcı; corr; Sağlık Tehlikesi (hafif); Çevre için Tehlikeli</t>
  </si>
  <si>
    <t>CHM-0412</t>
  </si>
  <si>
    <t>1-KLORO-2,4-DİNİTROBENZEN</t>
  </si>
  <si>
    <t>97-00-7</t>
  </si>
  <si>
    <t>H300, H302, H310, H317, H319, H400, H410, H411, H412</t>
  </si>
  <si>
    <t>0416</t>
  </si>
  <si>
    <t>1-CHLORO-2,4-DINITROBENZENE</t>
  </si>
  <si>
    <t>3441</t>
  </si>
  <si>
    <t>CHM-0413</t>
  </si>
  <si>
    <t>BİS(2-KLOROETİL) ETER</t>
  </si>
  <si>
    <t>111-44-4</t>
  </si>
  <si>
    <t>0417</t>
  </si>
  <si>
    <t>BIS(2-CHLOROETHYL) ETHER</t>
  </si>
  <si>
    <t>1916</t>
  </si>
  <si>
    <t>CHM-0414</t>
  </si>
  <si>
    <t>KÜKÜRT HARDALI</t>
  </si>
  <si>
    <t>505-60-2</t>
  </si>
  <si>
    <t>0418</t>
  </si>
  <si>
    <t>SULFUR MUSTARD</t>
  </si>
  <si>
    <t>CHM-0415</t>
  </si>
  <si>
    <t>METİL KLORİD</t>
  </si>
  <si>
    <t>74-87-3</t>
  </si>
  <si>
    <t>H220, H221, H280, H361, H373</t>
  </si>
  <si>
    <t>0419</t>
  </si>
  <si>
    <t>METHYL CHLORIDE</t>
  </si>
  <si>
    <t>1063</t>
  </si>
  <si>
    <t>flam; cylinder; cancer</t>
  </si>
  <si>
    <t>Yanıcı; Basınçlı Gaz; Kanserojen/Mutajen/Repro</t>
  </si>
  <si>
    <t>CHM-0416</t>
  </si>
  <si>
    <t>KLOROTRİFLÜOROMETAN</t>
  </si>
  <si>
    <t>75-72-9</t>
  </si>
  <si>
    <t>0420</t>
  </si>
  <si>
    <t>CHLOROTRIFLUOROMETHANE</t>
  </si>
  <si>
    <t>1022</t>
  </si>
  <si>
    <t>cylinder; excl mark</t>
  </si>
  <si>
    <t>Basınçlı Gaz; Sağlık Tehlikesi (hafif)</t>
  </si>
  <si>
    <t>CHM-0417</t>
  </si>
  <si>
    <t>BAKIR (I) OKSİT</t>
  </si>
  <si>
    <t>1317-39-1</t>
  </si>
  <si>
    <t>H302, H318, H400, H410, H411, H412</t>
  </si>
  <si>
    <t>Decomposes at 1800 °C</t>
  </si>
  <si>
    <t>0421</t>
  </si>
  <si>
    <t>COPPER (I) OXIDE</t>
  </si>
  <si>
    <t>excl mark; corr; enviro</t>
  </si>
  <si>
    <t>Sağlık Tehlikesi (hafif); corr; Çevre için Tehlikeli</t>
  </si>
  <si>
    <t>CHM-0418</t>
  </si>
  <si>
    <t>KUMAHOS</t>
  </si>
  <si>
    <t>56-72-4</t>
  </si>
  <si>
    <t>H300, H312, H400, H410, H411, H412</t>
  </si>
  <si>
    <t>68 °F at 1e-07 mmHg (NTP, 1992)</t>
  </si>
  <si>
    <t>0422</t>
  </si>
  <si>
    <t>COUMAPHOS</t>
  </si>
  <si>
    <t>3027</t>
  </si>
  <si>
    <t>skull; excl mark; enviro</t>
  </si>
  <si>
    <t>Akut Toksisite; Sağlık Tehlikesi (hafif); Çevre için Tehlikeli</t>
  </si>
  <si>
    <t>CHM-0419</t>
  </si>
  <si>
    <t>KROTONİK ASİT</t>
  </si>
  <si>
    <t>107-93-7</t>
  </si>
  <si>
    <t>H290, H302, H318, H335, H402</t>
  </si>
  <si>
    <t>0423</t>
  </si>
  <si>
    <t>CROTONIC ACID</t>
  </si>
  <si>
    <t>2823</t>
  </si>
  <si>
    <t>CHM-0420</t>
  </si>
  <si>
    <t>SİYANAMİD</t>
  </si>
  <si>
    <t>420-04-2</t>
  </si>
  <si>
    <t>H300, H301, H310, H315, H317, H319, H361, H400</t>
  </si>
  <si>
    <t>0424</t>
  </si>
  <si>
    <t>CYANAMIDE</t>
  </si>
  <si>
    <t>CHM-0421</t>
  </si>
  <si>
    <t>SİKLOHEKSANON</t>
  </si>
  <si>
    <t>108-94-1</t>
  </si>
  <si>
    <t>0425</t>
  </si>
  <si>
    <t>CYCLOHEXANONE</t>
  </si>
  <si>
    <t>1915</t>
  </si>
  <si>
    <t>CHM-0422</t>
  </si>
  <si>
    <t>SİKLOHEKSİL ASETAT</t>
  </si>
  <si>
    <t>622-45-7</t>
  </si>
  <si>
    <t>H226, H315, H319</t>
  </si>
  <si>
    <t>0426</t>
  </si>
  <si>
    <t>CYCLOHEXYL ACETATE</t>
  </si>
  <si>
    <t>2243</t>
  </si>
  <si>
    <t>CHM-0423</t>
  </si>
  <si>
    <t>SİKLOPENTANON</t>
  </si>
  <si>
    <t>120-92-3</t>
  </si>
  <si>
    <t>0427</t>
  </si>
  <si>
    <t>CYCLOPENTANONE</t>
  </si>
  <si>
    <t>2245</t>
  </si>
  <si>
    <t>CHM-0424</t>
  </si>
  <si>
    <t>DEKAN</t>
  </si>
  <si>
    <t>124-18-5</t>
  </si>
  <si>
    <t>0428</t>
  </si>
  <si>
    <t>DECANE</t>
  </si>
  <si>
    <t>2247</t>
  </si>
  <si>
    <t>CHM-0425</t>
  </si>
  <si>
    <t>DEMETON-O-METİL</t>
  </si>
  <si>
    <t>867-27-6</t>
  </si>
  <si>
    <t>0429</t>
  </si>
  <si>
    <t>DEMETON-O-METHYL</t>
  </si>
  <si>
    <t>CHM-0426</t>
  </si>
  <si>
    <t>DİALİL FTALAT</t>
  </si>
  <si>
    <t>131-17-9</t>
  </si>
  <si>
    <t>H302, H317, H400, H410</t>
  </si>
  <si>
    <t>0430</t>
  </si>
  <si>
    <t>DIALLYL PHTHALATE</t>
  </si>
  <si>
    <t>CHM-0427</t>
  </si>
  <si>
    <t>DİBENZO(A,H)ANTRASEN</t>
  </si>
  <si>
    <t>53-70-3</t>
  </si>
  <si>
    <t>0431</t>
  </si>
  <si>
    <t>DIBENZO(a,h)ANTHRACENE</t>
  </si>
  <si>
    <t>CHM-0428</t>
  </si>
  <si>
    <t>DİBORAN</t>
  </si>
  <si>
    <t>19287-45-7</t>
  </si>
  <si>
    <t>H220, H221, H280, H300, H314, H330</t>
  </si>
  <si>
    <t>0432</t>
  </si>
  <si>
    <t>DIBORANE</t>
  </si>
  <si>
    <t>1911</t>
  </si>
  <si>
    <t>flam; cylinder; skull; corr; cancer</t>
  </si>
  <si>
    <t>Yanıcı; Basınçlı Gaz; Akut Toksisite; corr; Kanserojen/Mutajen/Repro</t>
  </si>
  <si>
    <t>CHM-0429</t>
  </si>
  <si>
    <t>TRİS(2,3-DİBROMOPROPİL) FOSFAT</t>
  </si>
  <si>
    <t>126-72-7</t>
  </si>
  <si>
    <t>0433</t>
  </si>
  <si>
    <t>TRIS(2,3-DIBROMOPROPYL) PHOSPHATE</t>
  </si>
  <si>
    <t>CHM-0430</t>
  </si>
  <si>
    <t>1,1-DİKLORO-1-NİTROETAN</t>
  </si>
  <si>
    <t>594-72-9</t>
  </si>
  <si>
    <t>H226, H300, H301, H330, H335</t>
  </si>
  <si>
    <t>0434</t>
  </si>
  <si>
    <t>1,1-DICHLORO-1-NITROETHANE</t>
  </si>
  <si>
    <t>2650</t>
  </si>
  <si>
    <t>CHM-0431</t>
  </si>
  <si>
    <t>DİKLOROİZOPROPİL ETER</t>
  </si>
  <si>
    <t>108-60-1</t>
  </si>
  <si>
    <t>0435</t>
  </si>
  <si>
    <t>DICHLOROISOPROPYL ETHER</t>
  </si>
  <si>
    <t>2490</t>
  </si>
  <si>
    <t>CHM-0432</t>
  </si>
  <si>
    <t>1,2-DİKLOROETİLEN</t>
  </si>
  <si>
    <t>540-59-0</t>
  </si>
  <si>
    <t>0436</t>
  </si>
  <si>
    <t>1,2-DICHLOROETHYLENE</t>
  </si>
  <si>
    <t>1150</t>
  </si>
  <si>
    <t>CHM-0433</t>
  </si>
  <si>
    <t>SODYUM DİKLOROİZOSİYANURAT</t>
  </si>
  <si>
    <t>2893-78-9</t>
  </si>
  <si>
    <t>H302, H315, H318, H335, H400, H411, H412</t>
  </si>
  <si>
    <t>0437</t>
  </si>
  <si>
    <t>SODIUM DICHLOROISOCYANURATE</t>
  </si>
  <si>
    <t>2465</t>
  </si>
  <si>
    <t>flam circle; corr; excl mark; enviro</t>
  </si>
  <si>
    <t>flam circle; corr; Sağlık Tehlikesi (hafif); Çevre için Tehlikeli</t>
  </si>
  <si>
    <t>CHM-0434</t>
  </si>
  <si>
    <t>2,4-DİKLOROFENOL</t>
  </si>
  <si>
    <t>120-83-2</t>
  </si>
  <si>
    <t>H302, H311, H314, H400, H411, H412</t>
  </si>
  <si>
    <t>0438</t>
  </si>
  <si>
    <t>2,4-DICHLOROPHENOL</t>
  </si>
  <si>
    <t>CHM-0435</t>
  </si>
  <si>
    <t>2,5-DİKLOROFENOL</t>
  </si>
  <si>
    <t>583-78-8</t>
  </si>
  <si>
    <t>H302, H315, H319, H400</t>
  </si>
  <si>
    <t>0439</t>
  </si>
  <si>
    <t>2,5-DICHLOROPHENOL</t>
  </si>
  <si>
    <t>CHM-0436</t>
  </si>
  <si>
    <t>3,5-DİKLOROFENOL</t>
  </si>
  <si>
    <t>591-35-5</t>
  </si>
  <si>
    <t>H302, H315, H319, H400, H410</t>
  </si>
  <si>
    <t>0440</t>
  </si>
  <si>
    <t>3,5-DICHLOROPHENOL</t>
  </si>
  <si>
    <t>CHM-0437</t>
  </si>
  <si>
    <t>1,2-DİKLOROPROPAN</t>
  </si>
  <si>
    <t>78-87-5</t>
  </si>
  <si>
    <t>H225, H226, H302, H317, H351, H373, H402</t>
  </si>
  <si>
    <t>0441</t>
  </si>
  <si>
    <t>1,2-DICHLOROPROPANE</t>
  </si>
  <si>
    <t>1279</t>
  </si>
  <si>
    <t>CHM-0438</t>
  </si>
  <si>
    <t>DİKLOROSİLAN</t>
  </si>
  <si>
    <t>4109-96-0</t>
  </si>
  <si>
    <t>0442</t>
  </si>
  <si>
    <t>DICHLOROSILANE</t>
  </si>
  <si>
    <t>2189</t>
  </si>
  <si>
    <t>CHM-0439</t>
  </si>
  <si>
    <t>KLOPIRALİD</t>
  </si>
  <si>
    <t>1702-17-6</t>
  </si>
  <si>
    <t>0443</t>
  </si>
  <si>
    <t>CLOPYRALID</t>
  </si>
  <si>
    <t>CHM-0440</t>
  </si>
  <si>
    <t>DİETİLAMİN</t>
  </si>
  <si>
    <t>109-89-7</t>
  </si>
  <si>
    <t>H225, H226, H302, H311, H314, H335, H402</t>
  </si>
  <si>
    <t>0444</t>
  </si>
  <si>
    <t>DIETHYLAMINE</t>
  </si>
  <si>
    <t>1154</t>
  </si>
  <si>
    <t>flam; corr; skull</t>
  </si>
  <si>
    <t>Yanıcı; corr; Akut Toksisite</t>
  </si>
  <si>
    <t>CHM-0441</t>
  </si>
  <si>
    <t>DİETİLBENZEN (KARIŞIK IZOMERLER)</t>
  </si>
  <si>
    <t>25340-17-4</t>
  </si>
  <si>
    <t>H226, H302, H332, H400, H410</t>
  </si>
  <si>
    <t>0445</t>
  </si>
  <si>
    <t>DIETHYLBENZENE (Mixed isomers)</t>
  </si>
  <si>
    <t>2049</t>
  </si>
  <si>
    <t>CHM-0442</t>
  </si>
  <si>
    <t>SODYUM N,N-DİETİLDİTİYOKARBAMAT</t>
  </si>
  <si>
    <t>148-18-5</t>
  </si>
  <si>
    <t>H302, H319, H400, H410</t>
  </si>
  <si>
    <t>0446</t>
  </si>
  <si>
    <t>SODIUM N,N-DIETHYLDITHIOCARBAMATE</t>
  </si>
  <si>
    <t>CHM-0443</t>
  </si>
  <si>
    <t>DİETİLEN BENZİL BENZOAT</t>
  </si>
  <si>
    <t>120-55-8</t>
  </si>
  <si>
    <t>0447</t>
  </si>
  <si>
    <t>DIETHYLENE BENZYL BENZOATE</t>
  </si>
  <si>
    <t>CHM-0444</t>
  </si>
  <si>
    <t>DİETİLTİYOFOSFORİL KLORİD (OBSOLETE)</t>
  </si>
  <si>
    <t>2524-04-1</t>
  </si>
  <si>
    <t>H301, H314</t>
  </si>
  <si>
    <t>49 °C BELOW 1 MM HG; FP: BELOW -75 °C</t>
  </si>
  <si>
    <t>0448</t>
  </si>
  <si>
    <t>DIETHYLTHIOPHOSPHORYL CHLORIDE (OBSOLETE)</t>
  </si>
  <si>
    <t>2751</t>
  </si>
  <si>
    <t>corr; skull</t>
  </si>
  <si>
    <t>corr; Akut Toksisite</t>
  </si>
  <si>
    <t>CHM-0445</t>
  </si>
  <si>
    <t>DİİZOPROPİLAMİN</t>
  </si>
  <si>
    <t>108-18-9</t>
  </si>
  <si>
    <t>H225, H226, H302, H314, H335, H402</t>
  </si>
  <si>
    <t>0449</t>
  </si>
  <si>
    <t>DIISOPROPYLAMINE</t>
  </si>
  <si>
    <t>1158</t>
  </si>
  <si>
    <t>CHM-0446</t>
  </si>
  <si>
    <t>2-DİMETİLAMİNOETİL METAKRİLAT</t>
  </si>
  <si>
    <t>2867-47-2</t>
  </si>
  <si>
    <t>H227, H314, H402</t>
  </si>
  <si>
    <t>0450</t>
  </si>
  <si>
    <t>2-DIMETHYLAMINOETHYL METHACRYLATE</t>
  </si>
  <si>
    <t>2522</t>
  </si>
  <si>
    <t>CHM-0447</t>
  </si>
  <si>
    <t>2,3-KSİLİDİN</t>
  </si>
  <si>
    <t>87-59-2</t>
  </si>
  <si>
    <t>H302, H373, H400, H410</t>
  </si>
  <si>
    <t>0451</t>
  </si>
  <si>
    <t>2,3-XYLIDINE</t>
  </si>
  <si>
    <t>1711</t>
  </si>
  <si>
    <t>CHM-0448</t>
  </si>
  <si>
    <t>3,4-KSİLİDİN</t>
  </si>
  <si>
    <t>95-64-7</t>
  </si>
  <si>
    <t>H302, H373, H400</t>
  </si>
  <si>
    <t>0453</t>
  </si>
  <si>
    <t>3,4-XYLIDINE</t>
  </si>
  <si>
    <t>3452</t>
  </si>
  <si>
    <t>CHM-0449</t>
  </si>
  <si>
    <t>DİMETİL ETER</t>
  </si>
  <si>
    <t>115-10-6</t>
  </si>
  <si>
    <t>0454</t>
  </si>
  <si>
    <t>DIMETHYL ETHER</t>
  </si>
  <si>
    <t>1033</t>
  </si>
  <si>
    <t>CHM-0450</t>
  </si>
  <si>
    <t>VANADYUM TRİOKSİT</t>
  </si>
  <si>
    <t>1314-34-7</t>
  </si>
  <si>
    <t>H332, H351</t>
  </si>
  <si>
    <t>Yaklaşık 3000 °C</t>
  </si>
  <si>
    <t>0455</t>
  </si>
  <si>
    <t>VANADIUM TRIOXIDE</t>
  </si>
  <si>
    <t>3285</t>
  </si>
  <si>
    <t>CHM-0451</t>
  </si>
  <si>
    <t>N,N-DİMETİL-P-TOLUİDİN</t>
  </si>
  <si>
    <t>99-97-8</t>
  </si>
  <si>
    <t>H300, H302, H330, H351, H373, H402, H412</t>
  </si>
  <si>
    <t>0456</t>
  </si>
  <si>
    <t>N,N-DIMETHYL-p-TOLUIDINE</t>
  </si>
  <si>
    <t>CHM-0452</t>
  </si>
  <si>
    <t>N,N-DİMETİLFORMAMİD</t>
  </si>
  <si>
    <t>68-12-2</t>
  </si>
  <si>
    <t>H226, H302, H319, H332, H360, H361</t>
  </si>
  <si>
    <t>0457</t>
  </si>
  <si>
    <t>N,N-DIMETHYLFORMAMIDE</t>
  </si>
  <si>
    <t>2265</t>
  </si>
  <si>
    <t>CHM-0453</t>
  </si>
  <si>
    <t>2,4-KSİLENOL</t>
  </si>
  <si>
    <t>105-67-9</t>
  </si>
  <si>
    <t>0458</t>
  </si>
  <si>
    <t>2,4-XYLENOL</t>
  </si>
  <si>
    <t>2261</t>
  </si>
  <si>
    <t>CHM-0454</t>
  </si>
  <si>
    <t>DİMETİL SÜLFOKSIT</t>
  </si>
  <si>
    <t>67-68-5</t>
  </si>
  <si>
    <t>H227</t>
  </si>
  <si>
    <t>0459</t>
  </si>
  <si>
    <t>DIMETHYL SULPHOXIDE</t>
  </si>
  <si>
    <t>CHM-0455</t>
  </si>
  <si>
    <t>1,2-DİNİTROBENZEN</t>
  </si>
  <si>
    <t>528-29-0</t>
  </si>
  <si>
    <t>0460</t>
  </si>
  <si>
    <t>1,2-DINITROBENZENE</t>
  </si>
  <si>
    <t>3443</t>
  </si>
  <si>
    <t>CHM-0456</t>
  </si>
  <si>
    <t>DİNİTRO-O-KRESOL</t>
  </si>
  <si>
    <t>534-52-1</t>
  </si>
  <si>
    <t>0462</t>
  </si>
  <si>
    <t>DINITRO-o-CRESOL</t>
  </si>
  <si>
    <t>1598</t>
  </si>
  <si>
    <t>CHM-0457</t>
  </si>
  <si>
    <t>BENZENTİYOL</t>
  </si>
  <si>
    <t>108-98-5</t>
  </si>
  <si>
    <t>0463</t>
  </si>
  <si>
    <t>BENZENETHIOL</t>
  </si>
  <si>
    <t>2337</t>
  </si>
  <si>
    <t>CHM-0458</t>
  </si>
  <si>
    <t>2,4-DİNİTROFENOL</t>
  </si>
  <si>
    <t>51-28-5</t>
  </si>
  <si>
    <t>H300, H311, H370, H371, H373, H400, H410</t>
  </si>
  <si>
    <t>Sublimes (when carefully heated) (NTP, 1992)</t>
  </si>
  <si>
    <t>0464</t>
  </si>
  <si>
    <t>2,4-DINITROPHENOL</t>
  </si>
  <si>
    <t>1320</t>
  </si>
  <si>
    <t>CHM-0459</t>
  </si>
  <si>
    <t>DİNİTROTOLUEN (KARIŞIK İZOMERLER)</t>
  </si>
  <si>
    <t>25321-14-6</t>
  </si>
  <si>
    <t>482 °F at 760 mmHg (NTP, 1992)</t>
  </si>
  <si>
    <t>0465</t>
  </si>
  <si>
    <t>DINITROTOLUENE (MIXED ISOMERS)</t>
  </si>
  <si>
    <t>3454</t>
  </si>
  <si>
    <t>CHM-0460</t>
  </si>
  <si>
    <t>DİFENİLAMİN</t>
  </si>
  <si>
    <t>122-39-4</t>
  </si>
  <si>
    <t>0466</t>
  </si>
  <si>
    <t>DIPHENYLAMINE</t>
  </si>
  <si>
    <t>CHM-0461</t>
  </si>
  <si>
    <t>1,3-DİFENİLGUANİDİN</t>
  </si>
  <si>
    <t>102-06-7</t>
  </si>
  <si>
    <t>Decomposes &gt;338 °F (NTP, 1992)</t>
  </si>
  <si>
    <t>0467</t>
  </si>
  <si>
    <t>1,3-DIPHENYLGUANIDINE</t>
  </si>
  <si>
    <t>CHM-0462</t>
  </si>
  <si>
    <t>DİPROPİL ETER</t>
  </si>
  <si>
    <t>111-43-3</t>
  </si>
  <si>
    <t>0468</t>
  </si>
  <si>
    <t>DIPROPYL ETHER</t>
  </si>
  <si>
    <t>2384</t>
  </si>
  <si>
    <t>CHM-0463</t>
  </si>
  <si>
    <t>EPTC</t>
  </si>
  <si>
    <t>759-94-4</t>
  </si>
  <si>
    <t>H302, H400, H411, H412</t>
  </si>
  <si>
    <t>0469</t>
  </si>
  <si>
    <t>2992</t>
  </si>
  <si>
    <t>CHM-0464</t>
  </si>
  <si>
    <t>ETANTİYOL</t>
  </si>
  <si>
    <t>75-08-1</t>
  </si>
  <si>
    <t>0470</t>
  </si>
  <si>
    <t>ETHANETHIOL</t>
  </si>
  <si>
    <t>2363</t>
  </si>
  <si>
    <t>CHM-0465</t>
  </si>
  <si>
    <t>KARBON SİYAHI</t>
  </si>
  <si>
    <t>1333-86-4</t>
  </si>
  <si>
    <t>Sublimes at 3642 °C; triple point (graphite-liquid-gas), 4492 °C at a pressure of 101.325 kPa</t>
  </si>
  <si>
    <t>0471</t>
  </si>
  <si>
    <t>CARBON BLACK</t>
  </si>
  <si>
    <t>CHM-0466</t>
  </si>
  <si>
    <t>ALÜMİNYUM FOSFİD</t>
  </si>
  <si>
    <t>20859-73-8</t>
  </si>
  <si>
    <t>H221, H260, H261, H300, H311, H400, H410</t>
  </si>
  <si>
    <t>0472</t>
  </si>
  <si>
    <t>ALUMINIUM PHOSPHIDE</t>
  </si>
  <si>
    <t>1397</t>
  </si>
  <si>
    <t>CHM-0467</t>
  </si>
  <si>
    <t>5-ETİLİDEN-2-NORBORNEN (STABILIZE)</t>
  </si>
  <si>
    <t>16219-75-3</t>
  </si>
  <si>
    <t>0473</t>
  </si>
  <si>
    <t>5-ETHYLIDENE-2-NORBORNENE (stabilized)</t>
  </si>
  <si>
    <t>CHM-0468</t>
  </si>
  <si>
    <t>KARBON TETRABROMİD</t>
  </si>
  <si>
    <t>558-13-4</t>
  </si>
  <si>
    <t>0474</t>
  </si>
  <si>
    <t>CARBON TETRABROMIDE</t>
  </si>
  <si>
    <t>2516</t>
  </si>
  <si>
    <t>CHM-0469</t>
  </si>
  <si>
    <t>ETİLEN</t>
  </si>
  <si>
    <t>74-85-1</t>
  </si>
  <si>
    <t>H220, H221, H280, H336</t>
  </si>
  <si>
    <t>0475</t>
  </si>
  <si>
    <t>ETHYLENE</t>
  </si>
  <si>
    <t>1962</t>
  </si>
  <si>
    <t>flam; cylinder; excl mark</t>
  </si>
  <si>
    <t>Yanıcı; Basınçlı Gaz; Sağlık Tehlikesi (hafif)</t>
  </si>
  <si>
    <t>CHM-0470</t>
  </si>
  <si>
    <t>2-METOKSİETİL ASETAT</t>
  </si>
  <si>
    <t>110-49-6</t>
  </si>
  <si>
    <t>0476</t>
  </si>
  <si>
    <t>2-METHOXYETHYL ACETATE</t>
  </si>
  <si>
    <t>1189</t>
  </si>
  <si>
    <t>CHM-0471</t>
  </si>
  <si>
    <t>2-ETİLHEKSANOİK ASİT</t>
  </si>
  <si>
    <t>149-57-5</t>
  </si>
  <si>
    <t>0477</t>
  </si>
  <si>
    <t>2-ETHYLHEXANOIC ACID</t>
  </si>
  <si>
    <t>CHM-0472</t>
  </si>
  <si>
    <t>2-ETİLHEKSİL AKRİLAT</t>
  </si>
  <si>
    <t>103-11-7</t>
  </si>
  <si>
    <t>0478</t>
  </si>
  <si>
    <t>2-ETHYLHEXYL ACRYLATE</t>
  </si>
  <si>
    <t>CHM-0473</t>
  </si>
  <si>
    <t>ETİL İYODÜR</t>
  </si>
  <si>
    <t>75-03-6</t>
  </si>
  <si>
    <t>0479</t>
  </si>
  <si>
    <t>ETHYL IODIDE</t>
  </si>
  <si>
    <t>CHM-0474</t>
  </si>
  <si>
    <t>N-ETİLMORFOLİN</t>
  </si>
  <si>
    <t>100-74-3</t>
  </si>
  <si>
    <t>0480</t>
  </si>
  <si>
    <t>N-ETHYLMORPHOLINE</t>
  </si>
  <si>
    <t>CHM-0475</t>
  </si>
  <si>
    <t>3,3'-DİKLOROBENZİDİN</t>
  </si>
  <si>
    <t>91-94-1</t>
  </si>
  <si>
    <t>H335, H340, H341, H351, H373, H400, H411, H412</t>
  </si>
  <si>
    <t>0481</t>
  </si>
  <si>
    <t>3,3'-DICHLOROBENZIDINE</t>
  </si>
  <si>
    <t>CHM-0476</t>
  </si>
  <si>
    <t>SODYUM HİPOKLORİT (ÇÖZELTI, AKTİF KLOR &lt;%10)</t>
  </si>
  <si>
    <t>7681-52-9</t>
  </si>
  <si>
    <t>H290, H319, H400, H410</t>
  </si>
  <si>
    <t>Boiling point: 111 °C in solution</t>
  </si>
  <si>
    <t>0482</t>
  </si>
  <si>
    <t>SODIUM HYPOCHLORITE (SOLUTION, ACTIVE CHLORINE &lt;10%)</t>
  </si>
  <si>
    <t>1791</t>
  </si>
  <si>
    <t>corr; enviro</t>
  </si>
  <si>
    <t>corr; Çevre için Tehlikeli</t>
  </si>
  <si>
    <t>CHM-0477</t>
  </si>
  <si>
    <t>FENAMİFOS</t>
  </si>
  <si>
    <t>22224-92-6</t>
  </si>
  <si>
    <t>0483</t>
  </si>
  <si>
    <t>FENAMIPHOS</t>
  </si>
  <si>
    <t>CHM-0478</t>
  </si>
  <si>
    <t>SODYUM FLOROASETAT</t>
  </si>
  <si>
    <t>62-74-8</t>
  </si>
  <si>
    <t>0484</t>
  </si>
  <si>
    <t>SODIUM FLUOROACETATE</t>
  </si>
  <si>
    <t>2629</t>
  </si>
  <si>
    <t>CHM-0479</t>
  </si>
  <si>
    <t>FORMİK ASİT</t>
  </si>
  <si>
    <t>64-18-6</t>
  </si>
  <si>
    <t>H226, H302, H314, H331, H402</t>
  </si>
  <si>
    <t>213.3 °F at 760 mmHg (NTP, 1992)</t>
  </si>
  <si>
    <t>0485</t>
  </si>
  <si>
    <t>FORMIC ACID</t>
  </si>
  <si>
    <t>1779</t>
  </si>
  <si>
    <t>CHM-0480</t>
  </si>
  <si>
    <t>PİVALİK ASİT</t>
  </si>
  <si>
    <t>75-98-9</t>
  </si>
  <si>
    <t>0486</t>
  </si>
  <si>
    <t>PIVALIC ACID</t>
  </si>
  <si>
    <t>3261</t>
  </si>
  <si>
    <t>CHM-0481</t>
  </si>
  <si>
    <t>HEKSAKLOROSİKLOHEKSAN (KARIŞIK İZOMERLER)</t>
  </si>
  <si>
    <t>608-73-1</t>
  </si>
  <si>
    <t>H301, H312, H351, H373, H400, H410, H411, H412</t>
  </si>
  <si>
    <t>0487</t>
  </si>
  <si>
    <t>HEXACHLOROCYCLOHEXANE (MIXED ISOMERS)</t>
  </si>
  <si>
    <t>CHM-0482</t>
  </si>
  <si>
    <t>2-HEKSANOL</t>
  </si>
  <si>
    <t>626-93-7</t>
  </si>
  <si>
    <t>0488</t>
  </si>
  <si>
    <t>2-HEXANOL</t>
  </si>
  <si>
    <t>2282</t>
  </si>
  <si>
    <t>CHM-0483</t>
  </si>
  <si>
    <t>2-HEKSANON</t>
  </si>
  <si>
    <t>591-78-6</t>
  </si>
  <si>
    <t>0489</t>
  </si>
  <si>
    <t>2-HEXANONE</t>
  </si>
  <si>
    <t>1224</t>
  </si>
  <si>
    <t>CHM-0484</t>
  </si>
  <si>
    <t>1-HEKSEN</t>
  </si>
  <si>
    <t>592-41-6</t>
  </si>
  <si>
    <t>0490</t>
  </si>
  <si>
    <t>1-HEXENE</t>
  </si>
  <si>
    <t>2370</t>
  </si>
  <si>
    <t>CHM-0485</t>
  </si>
  <si>
    <t>1,6-HEKSANDİYOL</t>
  </si>
  <si>
    <t>629-11-8</t>
  </si>
  <si>
    <t>0491</t>
  </si>
  <si>
    <t>1,6-HEXANEDIOL</t>
  </si>
  <si>
    <t>CHM-0486</t>
  </si>
  <si>
    <t>HİDROJEN SİYANÜR, SIVILAŞTIRILMIŞ</t>
  </si>
  <si>
    <t>74-90-8</t>
  </si>
  <si>
    <t>H224, H226, H300, H319, H400, H410, H411, H412</t>
  </si>
  <si>
    <t>0492</t>
  </si>
  <si>
    <t>HYDROGEN CYANIDE, LIQUEFIED</t>
  </si>
  <si>
    <t>1051</t>
  </si>
  <si>
    <t>CHM-0487</t>
  </si>
  <si>
    <t>DİİZOPROPANOLAMİN</t>
  </si>
  <si>
    <t>110-97-4</t>
  </si>
  <si>
    <t>0493</t>
  </si>
  <si>
    <t>DIISOPROPANOLAMINE</t>
  </si>
  <si>
    <t>CHM-0488</t>
  </si>
  <si>
    <t>İZOBÜTİL ASETAT</t>
  </si>
  <si>
    <t>110-19-0</t>
  </si>
  <si>
    <t>0494</t>
  </si>
  <si>
    <t>ISOBUTYL ACETATE</t>
  </si>
  <si>
    <t>1213</t>
  </si>
  <si>
    <t>CHM-0489</t>
  </si>
  <si>
    <t>İZODESİL ALKOL (KARIŞIK İZOMERLER)</t>
  </si>
  <si>
    <t>25339-17-7</t>
  </si>
  <si>
    <t>0495</t>
  </si>
  <si>
    <t>ISODECYL ALCOHOL (MIXED ISOMERS)</t>
  </si>
  <si>
    <t>CHM-0490</t>
  </si>
  <si>
    <t>2,2,4-TRİMETİLPENTAN</t>
  </si>
  <si>
    <t>540-84-1</t>
  </si>
  <si>
    <t>0496</t>
  </si>
  <si>
    <t>2,2,4-TRIMETHYLPENTANE</t>
  </si>
  <si>
    <t>1262</t>
  </si>
  <si>
    <t>CHM-0491</t>
  </si>
  <si>
    <t>İZOOKTİL ALKOL (KARIŞIK İZOMERLER)</t>
  </si>
  <si>
    <t>26952-21-6</t>
  </si>
  <si>
    <t>0497</t>
  </si>
  <si>
    <t>ISOOCTYL ALCOHOL (MIXED ISOMERS)</t>
  </si>
  <si>
    <t>CHM-0492</t>
  </si>
  <si>
    <t>İZOFORON DİAMİN</t>
  </si>
  <si>
    <t>2855-13-2</t>
  </si>
  <si>
    <t>H302, H314, H317, H402</t>
  </si>
  <si>
    <t>0498</t>
  </si>
  <si>
    <t>ISOPHORONE DIAMINE</t>
  </si>
  <si>
    <t>2289</t>
  </si>
  <si>
    <t>CHM-0493</t>
  </si>
  <si>
    <t>İZOFORON DİİZOSİYANAT</t>
  </si>
  <si>
    <t>4098-71-9</t>
  </si>
  <si>
    <t>H300, H312, H314, H317, H330</t>
  </si>
  <si>
    <t>0499</t>
  </si>
  <si>
    <t>ISOPHORONE DIISOCYANATE</t>
  </si>
  <si>
    <t>2290</t>
  </si>
  <si>
    <t>CHM-0494</t>
  </si>
  <si>
    <t>İZOFTALİK ASİT</t>
  </si>
  <si>
    <t>121-91-5</t>
  </si>
  <si>
    <t>Sublimes</t>
  </si>
  <si>
    <t>0500</t>
  </si>
  <si>
    <t>ISOPHTHALIC ACID</t>
  </si>
  <si>
    <t>CHM-0495</t>
  </si>
  <si>
    <t>LAKTİK ASİT</t>
  </si>
  <si>
    <t>50-21-5</t>
  </si>
  <si>
    <t>0501</t>
  </si>
  <si>
    <t>LACTIC ACID</t>
  </si>
  <si>
    <t>CHM-0496</t>
  </si>
  <si>
    <t>SODYUM LAURİL SÜLFAT</t>
  </si>
  <si>
    <t>151-21-3</t>
  </si>
  <si>
    <t>H302, H319, H335, H400</t>
  </si>
  <si>
    <t>0502</t>
  </si>
  <si>
    <t>SODIUM LAURYL SULFATE</t>
  </si>
  <si>
    <t>CHM-0497</t>
  </si>
  <si>
    <t>p-KLOROBENZOİK ASİT</t>
  </si>
  <si>
    <t>74-11-3</t>
  </si>
  <si>
    <t>Sublimes (NTP, 1992)</t>
  </si>
  <si>
    <t>0503</t>
  </si>
  <si>
    <t>p-CHLOROBENZOIC ACID</t>
  </si>
  <si>
    <t>CHM-0498</t>
  </si>
  <si>
    <t>MAGNEZYUM OKSİT</t>
  </si>
  <si>
    <t>1309-48-4</t>
  </si>
  <si>
    <t>0504</t>
  </si>
  <si>
    <t>MAGNESIUM OXIDE</t>
  </si>
  <si>
    <t>CHM-0499</t>
  </si>
  <si>
    <t>2-MERKAPTOBENZOTİYAZOL DİSÜLFİD</t>
  </si>
  <si>
    <t>120-78-5</t>
  </si>
  <si>
    <t>H317, H400, H410, H411, H412</t>
  </si>
  <si>
    <t>0505</t>
  </si>
  <si>
    <t>2-MERCAPTOBENZOTHIAZOLE DISULFIDE</t>
  </si>
  <si>
    <t>CHM-0500</t>
  </si>
  <si>
    <t>2-METİL-1-BÜTANOL</t>
  </si>
  <si>
    <t>137-32-6</t>
  </si>
  <si>
    <t>0506</t>
  </si>
  <si>
    <t>2-METHYL-1-BUTANOL</t>
  </si>
  <si>
    <t>1105</t>
  </si>
  <si>
    <t>CHM-0501</t>
  </si>
  <si>
    <t>METİL ASETAT</t>
  </si>
  <si>
    <t>79-20-9</t>
  </si>
  <si>
    <t>H225, H226, H319, H336</t>
  </si>
  <si>
    <t>0507</t>
  </si>
  <si>
    <t>METHYL ACETATE</t>
  </si>
  <si>
    <t>1231</t>
  </si>
  <si>
    <t>CHM-0502</t>
  </si>
  <si>
    <t>4,4'-METİLEN BİS(2-KLOROANİLİN)</t>
  </si>
  <si>
    <t>101-14-4</t>
  </si>
  <si>
    <t>0508</t>
  </si>
  <si>
    <t>4,4'-METHYLENE BIS(2-CHLOROANILINE)</t>
  </si>
  <si>
    <t>CHM-0503</t>
  </si>
  <si>
    <t>METİL İYODÜR</t>
  </si>
  <si>
    <t>74-88-4</t>
  </si>
  <si>
    <t>H301, H315, H319, H400, H410, H411, H412</t>
  </si>
  <si>
    <t>0509</t>
  </si>
  <si>
    <t>METHYL IODIDE</t>
  </si>
  <si>
    <t>2644</t>
  </si>
  <si>
    <t>CHM-0504</t>
  </si>
  <si>
    <t>METİL İZOBÜTİL KETON</t>
  </si>
  <si>
    <t>108-10-1</t>
  </si>
  <si>
    <t>0511</t>
  </si>
  <si>
    <t>METHYL ISOBUTYL KETONE</t>
  </si>
  <si>
    <t>1245</t>
  </si>
  <si>
    <t>CHM-0505</t>
  </si>
  <si>
    <t>N-METİL-2-PİROLİDON</t>
  </si>
  <si>
    <t>872-50-4</t>
  </si>
  <si>
    <t>H227, H302, H319, H335, H361</t>
  </si>
  <si>
    <t>0513</t>
  </si>
  <si>
    <t>N-METHYL-2-PYRROLIDONE</t>
  </si>
  <si>
    <t>CHM-0506</t>
  </si>
  <si>
    <t>VİNİL TOLUEN (KARIŞIK İZOMERLER)</t>
  </si>
  <si>
    <t>25013-15-4</t>
  </si>
  <si>
    <t>H226, H300, H315, H319, H332, H335, H400, H411, H412</t>
  </si>
  <si>
    <t>0514</t>
  </si>
  <si>
    <t>VINYL TOLUENE (MIXED ISOMERS)</t>
  </si>
  <si>
    <t>2618</t>
  </si>
  <si>
    <t>CHM-0507</t>
  </si>
  <si>
    <t>4-TİYAPENTANAL</t>
  </si>
  <si>
    <t>3268-49-3</t>
  </si>
  <si>
    <t>0515</t>
  </si>
  <si>
    <t>4-THIAPENTANAL</t>
  </si>
  <si>
    <t>2785</t>
  </si>
  <si>
    <t>CHM-0508</t>
  </si>
  <si>
    <t>METRİBÜZİN</t>
  </si>
  <si>
    <t>21087-64-9</t>
  </si>
  <si>
    <t>132 °C @ 2 Pa</t>
  </si>
  <si>
    <t>0516</t>
  </si>
  <si>
    <t>METRIBUZIN</t>
  </si>
  <si>
    <t>CHM-0509</t>
  </si>
  <si>
    <t>1-NAFTİLAMİN</t>
  </si>
  <si>
    <t>134-32-7</t>
  </si>
  <si>
    <t>0518</t>
  </si>
  <si>
    <t>1-NAPHTHYLAMINE</t>
  </si>
  <si>
    <t>2077</t>
  </si>
  <si>
    <t>CHM-0510</t>
  </si>
  <si>
    <t>NİKOTİN</t>
  </si>
  <si>
    <t>54-11-5</t>
  </si>
  <si>
    <t>H300, H400, H411, H412</t>
  </si>
  <si>
    <t>0519</t>
  </si>
  <si>
    <t>NICOTINE</t>
  </si>
  <si>
    <t>1654</t>
  </si>
  <si>
    <t>CHM-0511</t>
  </si>
  <si>
    <t>NİKOTİN SÜLFAT</t>
  </si>
  <si>
    <t>65-30-5</t>
  </si>
  <si>
    <t>0520</t>
  </si>
  <si>
    <t>NICOTINE SULFATE</t>
  </si>
  <si>
    <t>1658</t>
  </si>
  <si>
    <t>CHM-0512</t>
  </si>
  <si>
    <t>NİKOTİN TARTARAT</t>
  </si>
  <si>
    <t>65-31-6</t>
  </si>
  <si>
    <t>H301, H319, H332, H400</t>
  </si>
  <si>
    <t>0521</t>
  </si>
  <si>
    <t>NICOTINE TARTRATE</t>
  </si>
  <si>
    <t>1659</t>
  </si>
  <si>
    <t>CHM-0513</t>
  </si>
  <si>
    <t>NİTROMETAN</t>
  </si>
  <si>
    <t>75-52-5</t>
  </si>
  <si>
    <t>0522</t>
  </si>
  <si>
    <t>NITROMETHANE</t>
  </si>
  <si>
    <t>1261</t>
  </si>
  <si>
    <t>CHM-0514</t>
  </si>
  <si>
    <t>2-NİTROFENOL</t>
  </si>
  <si>
    <t>88-75-5</t>
  </si>
  <si>
    <t>0523</t>
  </si>
  <si>
    <t>2-NITROPHENOL</t>
  </si>
  <si>
    <t>CHM-0515</t>
  </si>
  <si>
    <t>N-NİTROSODİMETİLAMİN</t>
  </si>
  <si>
    <t>62-75-9</t>
  </si>
  <si>
    <t>0525</t>
  </si>
  <si>
    <t>N-NITROSODIMETHYLAMINE</t>
  </si>
  <si>
    <t>CHM-0516</t>
  </si>
  <si>
    <t>N-NİTROSODİFENİLAMİN</t>
  </si>
  <si>
    <t>86-30-6</t>
  </si>
  <si>
    <t>0526</t>
  </si>
  <si>
    <t>N-NITROSODIPHENYLAMINE</t>
  </si>
  <si>
    <t>CHM-0517</t>
  </si>
  <si>
    <t>BENZO(G,H,I)FLUORANTEN</t>
  </si>
  <si>
    <t>203-12-3</t>
  </si>
  <si>
    <t>0527</t>
  </si>
  <si>
    <t>BENZO(g,h,i)FLUORANTHENE</t>
  </si>
  <si>
    <t>CHM-0518</t>
  </si>
  <si>
    <t>OSMIYUM TETROKSİT</t>
  </si>
  <si>
    <t>20816-12-0</t>
  </si>
  <si>
    <t>0528</t>
  </si>
  <si>
    <t>OSMIUM TETROXIDE</t>
  </si>
  <si>
    <t>2471</t>
  </si>
  <si>
    <t>CHM-0519</t>
  </si>
  <si>
    <t>OKSALİK ASİT</t>
  </si>
  <si>
    <t>144-62-7</t>
  </si>
  <si>
    <t>0529</t>
  </si>
  <si>
    <t>OXALIC ACID</t>
  </si>
  <si>
    <t>CHM-0520</t>
  </si>
  <si>
    <t>PALMİTİK ASİT</t>
  </si>
  <si>
    <t>57-10-3</t>
  </si>
  <si>
    <t>0530</t>
  </si>
  <si>
    <t>PALMITIC ACID</t>
  </si>
  <si>
    <t>CHM-0521</t>
  </si>
  <si>
    <t>PENTAKLOROBENZEN</t>
  </si>
  <si>
    <t>608-93-5</t>
  </si>
  <si>
    <t>0531</t>
  </si>
  <si>
    <t>PENTACHLOROBENZENE</t>
  </si>
  <si>
    <t>CHM-0522</t>
  </si>
  <si>
    <t>PENTAKLOROFENOL, SODYUM TUZU (TEKNIK DERECE)</t>
  </si>
  <si>
    <t>131-52-2</t>
  </si>
  <si>
    <t>Decomposes. (USCG, 1999)</t>
  </si>
  <si>
    <t>0532</t>
  </si>
  <si>
    <t>PENTACHLOROPHENOL, SODIUM SALT (Technical Grade)</t>
  </si>
  <si>
    <t>2567</t>
  </si>
  <si>
    <t>CHM-0523</t>
  </si>
  <si>
    <t>2,4-PENTADİYON</t>
  </si>
  <si>
    <t>123-54-6</t>
  </si>
  <si>
    <t>0533</t>
  </si>
  <si>
    <t>2,4-PENTADIONE</t>
  </si>
  <si>
    <t>2310</t>
  </si>
  <si>
    <t>CHM-0524</t>
  </si>
  <si>
    <t>n-PENTAN</t>
  </si>
  <si>
    <t>109-66-0</t>
  </si>
  <si>
    <t>H225, H226, H300, H336, H400</t>
  </si>
  <si>
    <t>0534</t>
  </si>
  <si>
    <t>n-PENTANE</t>
  </si>
  <si>
    <t>1265</t>
  </si>
  <si>
    <t>CHM-0525</t>
  </si>
  <si>
    <t>1-PENTANOL</t>
  </si>
  <si>
    <t>71-41-0</t>
  </si>
  <si>
    <t>0535</t>
  </si>
  <si>
    <t>CHM-0526</t>
  </si>
  <si>
    <t>3-PENTANOL</t>
  </si>
  <si>
    <t>584-02-1</t>
  </si>
  <si>
    <t>H226, H302, H312, H319, H335, H336</t>
  </si>
  <si>
    <t>0536</t>
  </si>
  <si>
    <t>CHM-0527</t>
  </si>
  <si>
    <t>DI-N-PENTİLAMİN</t>
  </si>
  <si>
    <t>2050-92-2</t>
  </si>
  <si>
    <t>0537</t>
  </si>
  <si>
    <t>DI-n-PENTYLAMINE</t>
  </si>
  <si>
    <t>2841</t>
  </si>
  <si>
    <t>CHM-0528</t>
  </si>
  <si>
    <t>ETİLEN GLİKOL MONOFENİL ETER</t>
  </si>
  <si>
    <t>122-99-6</t>
  </si>
  <si>
    <t>0538</t>
  </si>
  <si>
    <t>ETHYLENE GLYCOL MONOPHENYL ETHER</t>
  </si>
  <si>
    <t>CHM-0529</t>
  </si>
  <si>
    <t>FENİL ASETAT</t>
  </si>
  <si>
    <t>122-79-2</t>
  </si>
  <si>
    <t>0539</t>
  </si>
  <si>
    <t>PHENYL ACETATE</t>
  </si>
  <si>
    <t>CHM-0530</t>
  </si>
  <si>
    <t>FENİLCİVA ASETAT</t>
  </si>
  <si>
    <t>62-38-4</t>
  </si>
  <si>
    <t>H300, H314, H361, H370, H372, H373, H400, H410</t>
  </si>
  <si>
    <t>0540</t>
  </si>
  <si>
    <t>PHENYLMERCURIC ACETATE</t>
  </si>
  <si>
    <t>1674</t>
  </si>
  <si>
    <t>CHM-0531</t>
  </si>
  <si>
    <t>FENİLCİVA NİTRAT</t>
  </si>
  <si>
    <t>55-68-5</t>
  </si>
  <si>
    <t>H301, H314, H361, H370, H372, H373, H400, H410</t>
  </si>
  <si>
    <t>0541</t>
  </si>
  <si>
    <t>PHENYLMERCURIC NITRATE</t>
  </si>
  <si>
    <t>1895</t>
  </si>
  <si>
    <t>CHM-0532</t>
  </si>
  <si>
    <t>FENİL-BETA-NAFTİLAMİN</t>
  </si>
  <si>
    <t>135-88-6</t>
  </si>
  <si>
    <t>H317, H319, H351, H400, H411, H412</t>
  </si>
  <si>
    <t>0542</t>
  </si>
  <si>
    <t>PHENYL-beta-NAPHTHYLAMINE</t>
  </si>
  <si>
    <t>CHM-0533</t>
  </si>
  <si>
    <t>FOSMET</t>
  </si>
  <si>
    <t>732-11-6</t>
  </si>
  <si>
    <t>Decomposes below boiling point (EPA, 1998)</t>
  </si>
  <si>
    <t>0543</t>
  </si>
  <si>
    <t>PHOSMET</t>
  </si>
  <si>
    <t>CHM-0534</t>
  </si>
  <si>
    <t>FOSFOR PENTAKLORİD</t>
  </si>
  <si>
    <t>10026-13-8</t>
  </si>
  <si>
    <t>320 °F at 760 mmHg (EPA, 1998)</t>
  </si>
  <si>
    <t>0544</t>
  </si>
  <si>
    <t>PHOSPHORUS PENTACHLORIDE</t>
  </si>
  <si>
    <t>1806</t>
  </si>
  <si>
    <t>CHM-0535</t>
  </si>
  <si>
    <t>FOSFOR PENTOKSİT</t>
  </si>
  <si>
    <t>1314-56-3</t>
  </si>
  <si>
    <t>0545</t>
  </si>
  <si>
    <t>PHOSPHORUS PENTOXIDE</t>
  </si>
  <si>
    <t>1807</t>
  </si>
  <si>
    <t>CHM-0536</t>
  </si>
  <si>
    <t>POTASYUM ASETAT</t>
  </si>
  <si>
    <t>127-08-2</t>
  </si>
  <si>
    <t>H302, H319</t>
  </si>
  <si>
    <t>0547</t>
  </si>
  <si>
    <t>POTASSIUM ACETATE</t>
  </si>
  <si>
    <t>CHM-0537</t>
  </si>
  <si>
    <t>POTASYUM KLORAT</t>
  </si>
  <si>
    <t>3811-04-9</t>
  </si>
  <si>
    <t>H302, H373, H400, H411, H412</t>
  </si>
  <si>
    <t>400 °C (decomposes)</t>
  </si>
  <si>
    <t>0548</t>
  </si>
  <si>
    <t>POTASSIUM CHLORATE</t>
  </si>
  <si>
    <t>1485</t>
  </si>
  <si>
    <t>flam circle; excl mark; enviro</t>
  </si>
  <si>
    <t>flam circle; Sağlık Tehlikesi (hafif); Çevre için Tehlikeli</t>
  </si>
  <si>
    <t>CHM-0538</t>
  </si>
  <si>
    <t>POTASYUM SÜLFİD</t>
  </si>
  <si>
    <t>1312-73-8</t>
  </si>
  <si>
    <t>0549</t>
  </si>
  <si>
    <t>POTASSIUM SULFIDE</t>
  </si>
  <si>
    <t>1382</t>
  </si>
  <si>
    <t>CHM-0539</t>
  </si>
  <si>
    <t>PROPİYONALDEHİT</t>
  </si>
  <si>
    <t>123-38-6</t>
  </si>
  <si>
    <t>0550</t>
  </si>
  <si>
    <t>PROPIONALDEHYDE</t>
  </si>
  <si>
    <t>1275</t>
  </si>
  <si>
    <t>CHM-0540</t>
  </si>
  <si>
    <t>PROPİLEN GLİKOL MONOMETİL ETER</t>
  </si>
  <si>
    <t>107-98-2</t>
  </si>
  <si>
    <t>0551</t>
  </si>
  <si>
    <t>PROPYLENE GLYCOL MONOMETHYL ETHER</t>
  </si>
  <si>
    <t>3092</t>
  </si>
  <si>
    <t>CHM-0541</t>
  </si>
  <si>
    <t>PROPANİL</t>
  </si>
  <si>
    <t>709-98-8</t>
  </si>
  <si>
    <t>H302, H400, H410, H411, H412</t>
  </si>
  <si>
    <t>0552</t>
  </si>
  <si>
    <t>PROPANIL</t>
  </si>
  <si>
    <t>CHM-0542</t>
  </si>
  <si>
    <t>1-PROPANOL</t>
  </si>
  <si>
    <t>71-23-8</t>
  </si>
  <si>
    <t>H225, H226, H302, H318, H336</t>
  </si>
  <si>
    <t>0553</t>
  </si>
  <si>
    <t>1274</t>
  </si>
  <si>
    <t>CHM-0543</t>
  </si>
  <si>
    <t>İZOPROPİL ALKOL</t>
  </si>
  <si>
    <t>67-63-0</t>
  </si>
  <si>
    <t>0554</t>
  </si>
  <si>
    <t>ISOPROPYL ALCOHOL</t>
  </si>
  <si>
    <t>1219</t>
  </si>
  <si>
    <t>CHM-0544</t>
  </si>
  <si>
    <t>beta-PROPİOLAKTON</t>
  </si>
  <si>
    <t>57-57-8</t>
  </si>
  <si>
    <t>H227, H300, H315, H319, H330, H335, H351</t>
  </si>
  <si>
    <t>324 °F at 760 mmHg decomposes (EPA, 1998)</t>
  </si>
  <si>
    <t>0555</t>
  </si>
  <si>
    <t>beta-PROPIOLACTONE</t>
  </si>
  <si>
    <t>CHM-0545</t>
  </si>
  <si>
    <t>BÜTİL PROPİYONAT</t>
  </si>
  <si>
    <t>590-01-2</t>
  </si>
  <si>
    <t>0556</t>
  </si>
  <si>
    <t>BUTYL PROPIONATE</t>
  </si>
  <si>
    <t>1914</t>
  </si>
  <si>
    <t>CHM-0546</t>
  </si>
  <si>
    <t>SODYUM PROPİYONAT</t>
  </si>
  <si>
    <t>137-40-6</t>
  </si>
  <si>
    <t>0557</t>
  </si>
  <si>
    <t>SODIUM PROPIONATE</t>
  </si>
  <si>
    <t>CHM-0547</t>
  </si>
  <si>
    <t>PROPİYONİK ANHİDRİT</t>
  </si>
  <si>
    <t>123-62-6</t>
  </si>
  <si>
    <t>H314, H373</t>
  </si>
  <si>
    <t>0558</t>
  </si>
  <si>
    <t>PROPIONIC ANHYDRIDE</t>
  </si>
  <si>
    <t>2496</t>
  </si>
  <si>
    <t>CHM-0548</t>
  </si>
  <si>
    <t>PROPİLEN</t>
  </si>
  <si>
    <t>115-07-1</t>
  </si>
  <si>
    <t>0559</t>
  </si>
  <si>
    <t>PROPYLENE</t>
  </si>
  <si>
    <t>1077</t>
  </si>
  <si>
    <t>CHM-0549</t>
  </si>
  <si>
    <t>PROPİN</t>
  </si>
  <si>
    <t>74-99-7</t>
  </si>
  <si>
    <t>0560</t>
  </si>
  <si>
    <t>PROPYNE</t>
  </si>
  <si>
    <t>1954</t>
  </si>
  <si>
    <t>CHM-0550</t>
  </si>
  <si>
    <t>GUANİDİN NİTRAT</t>
  </si>
  <si>
    <t>506-93-4</t>
  </si>
  <si>
    <t>0561</t>
  </si>
  <si>
    <t>GUANIDINE NITRATE</t>
  </si>
  <si>
    <t>1467</t>
  </si>
  <si>
    <t>CHM-0551</t>
  </si>
  <si>
    <t>PİROLİDON</t>
  </si>
  <si>
    <t>616-45-5</t>
  </si>
  <si>
    <t>0562</t>
  </si>
  <si>
    <t>PYRROLIDONE</t>
  </si>
  <si>
    <t>CHM-0552</t>
  </si>
  <si>
    <t>SALİSİLİK ASİT</t>
  </si>
  <si>
    <t>69-72-7</t>
  </si>
  <si>
    <t>H302, H318, H361</t>
  </si>
  <si>
    <t>0563</t>
  </si>
  <si>
    <t>SALICYLIC ACID</t>
  </si>
  <si>
    <t>CHM-0553</t>
  </si>
  <si>
    <t>SİLAN</t>
  </si>
  <si>
    <t>7803-62-5</t>
  </si>
  <si>
    <t>0564</t>
  </si>
  <si>
    <t>SILANE</t>
  </si>
  <si>
    <t>2203</t>
  </si>
  <si>
    <t>CHM-0554</t>
  </si>
  <si>
    <t>SODYUM  ASETAT</t>
  </si>
  <si>
    <t>127-09-3</t>
  </si>
  <si>
    <t>H319</t>
  </si>
  <si>
    <t>0565</t>
  </si>
  <si>
    <t>SODIUM ACETATE</t>
  </si>
  <si>
    <t>CHM-0555</t>
  </si>
  <si>
    <t>SODYUM ALÜMİNAT</t>
  </si>
  <si>
    <t>1302-42-7</t>
  </si>
  <si>
    <t>0566</t>
  </si>
  <si>
    <t>SODIUM ALUMINATE</t>
  </si>
  <si>
    <t>2812</t>
  </si>
  <si>
    <t>CHM-0556</t>
  </si>
  <si>
    <t>SODYUM BORAT, DEKAHİDRAT</t>
  </si>
  <si>
    <t>1303-96-4</t>
  </si>
  <si>
    <t>H319, H360, H361</t>
  </si>
  <si>
    <t>608 °F</t>
  </si>
  <si>
    <t>0567</t>
  </si>
  <si>
    <t>SODIUM BORATE, DECAHYDRATE</t>
  </si>
  <si>
    <t>CHM-0557</t>
  </si>
  <si>
    <t>STEARİK ASİT</t>
  </si>
  <si>
    <t>57-11-4</t>
  </si>
  <si>
    <t>721 °F at 760 mmHg (NTP, 1992)</t>
  </si>
  <si>
    <t>0568</t>
  </si>
  <si>
    <t>STEARIC ACID</t>
  </si>
  <si>
    <t>CHM-0558</t>
  </si>
  <si>
    <t>SÜLFANİLİK ASİT</t>
  </si>
  <si>
    <t>121-57-3</t>
  </si>
  <si>
    <t>0569</t>
  </si>
  <si>
    <t>SULFANILIC ACID</t>
  </si>
  <si>
    <t>CHM-0559</t>
  </si>
  <si>
    <t>DİETİL  SÜLFAT</t>
  </si>
  <si>
    <t>64-67-5</t>
  </si>
  <si>
    <t>H302, H311, H314, H340, H341, H351</t>
  </si>
  <si>
    <t>409 °F at 760 mmHg (USCG, 1999)</t>
  </si>
  <si>
    <t>0570</t>
  </si>
  <si>
    <t>DIETHYL SULFATE</t>
  </si>
  <si>
    <t>1594</t>
  </si>
  <si>
    <t>CHM-0560</t>
  </si>
  <si>
    <t>SÜLFÜR HEKZAFLORÜR</t>
  </si>
  <si>
    <t>2551-62-4</t>
  </si>
  <si>
    <t>0571</t>
  </si>
  <si>
    <t>SULPHUR HEXAFLUORIDE</t>
  </si>
  <si>
    <t>1080</t>
  </si>
  <si>
    <t>CHM-0561</t>
  </si>
  <si>
    <t>KREOZOT</t>
  </si>
  <si>
    <t>8001-58-9</t>
  </si>
  <si>
    <t>0572</t>
  </si>
  <si>
    <t>CREOSOTE</t>
  </si>
  <si>
    <t>CHM-0562</t>
  </si>
  <si>
    <t>2,3,5,6-TETRAKLOROFENOL</t>
  </si>
  <si>
    <t>935-95-5</t>
  </si>
  <si>
    <t>327 °F at 23 mmHg (NTP, 1992)</t>
  </si>
  <si>
    <t>0573</t>
  </si>
  <si>
    <t>2,3,5,6-TETRACHLOROPHENOL</t>
  </si>
  <si>
    <t>CHM-0563</t>
  </si>
  <si>
    <t>TETRAKLOROSİLAN</t>
  </si>
  <si>
    <t>10026-04-7</t>
  </si>
  <si>
    <t>0574</t>
  </si>
  <si>
    <t>TETRACHLOROSILANE</t>
  </si>
  <si>
    <t>1818</t>
  </si>
  <si>
    <t>CHM-0564</t>
  </si>
  <si>
    <t>TETRAFLOROMETAN</t>
  </si>
  <si>
    <t>75-73-0</t>
  </si>
  <si>
    <t>0575</t>
  </si>
  <si>
    <t>TETRAFLUOROMETHANE</t>
  </si>
  <si>
    <t>1982</t>
  </si>
  <si>
    <t>cylinder; cancer</t>
  </si>
  <si>
    <t>Basınçlı Gaz; Kanserojen/Mutajen/Repro</t>
  </si>
  <si>
    <t>CHM-0565</t>
  </si>
  <si>
    <t>TETRAFLOROSİLAN</t>
  </si>
  <si>
    <t>7783-61-1</t>
  </si>
  <si>
    <t>0576</t>
  </si>
  <si>
    <t>TETRAFLUOROSILANE</t>
  </si>
  <si>
    <t>1859</t>
  </si>
  <si>
    <t>CHM-0566</t>
  </si>
  <si>
    <t>TRİFLOROMETAN</t>
  </si>
  <si>
    <t>75-46-7</t>
  </si>
  <si>
    <t>0577</t>
  </si>
  <si>
    <t>TRIFLUOROMETHANE</t>
  </si>
  <si>
    <t>1984</t>
  </si>
  <si>
    <t>CHM-0567</t>
  </si>
  <si>
    <t>TETRAHİDROFURAN</t>
  </si>
  <si>
    <t>109-99-9</t>
  </si>
  <si>
    <t>H225, H226, H302, H315, H319, H335, H351, H373</t>
  </si>
  <si>
    <t>0578</t>
  </si>
  <si>
    <t>TETRAHYDROFURAN</t>
  </si>
  <si>
    <t>2056</t>
  </si>
  <si>
    <t>CHM-0568</t>
  </si>
  <si>
    <t>TİYOASETAMİD</t>
  </si>
  <si>
    <t>62-55-5</t>
  </si>
  <si>
    <t>0579</t>
  </si>
  <si>
    <t>THIOACETAMIDE</t>
  </si>
  <si>
    <t>CHM-0569</t>
  </si>
  <si>
    <t>TİYOMETON</t>
  </si>
  <si>
    <t>640-15-3</t>
  </si>
  <si>
    <t>0580</t>
  </si>
  <si>
    <t>THIOMETON</t>
  </si>
  <si>
    <t>CHM-0570</t>
  </si>
  <si>
    <t>TİYOFOSFORİL KLORÜR</t>
  </si>
  <si>
    <t>3982-91-0</t>
  </si>
  <si>
    <t>0581</t>
  </si>
  <si>
    <t>THIOPHOSPHORYL CHLORIDE</t>
  </si>
  <si>
    <t>1837</t>
  </si>
  <si>
    <t>CHM-0571</t>
  </si>
  <si>
    <t>2,4-TOLUENDİAMİN</t>
  </si>
  <si>
    <t>95-80-7</t>
  </si>
  <si>
    <t>H301, H312, H317, H340, H341, H351, H361, H373, H400, H411, H412</t>
  </si>
  <si>
    <t>0582</t>
  </si>
  <si>
    <t>2,4-TOLUENEDIAMINE</t>
  </si>
  <si>
    <t>1709</t>
  </si>
  <si>
    <t>CHM-0572</t>
  </si>
  <si>
    <t>TRİBÜTİL FOSFAT</t>
  </si>
  <si>
    <t>126-73-8</t>
  </si>
  <si>
    <t>552 °F at 760 mmHg (NTP, 1992)</t>
  </si>
  <si>
    <t>0584</t>
  </si>
  <si>
    <t>TRIBUTYL PHOSPHATE</t>
  </si>
  <si>
    <t>CHM-0573</t>
  </si>
  <si>
    <t>TRİKLORFON</t>
  </si>
  <si>
    <t>52-68-6</t>
  </si>
  <si>
    <t>212 °F at 0.1 mmHg (NTP, 1992)</t>
  </si>
  <si>
    <t>0585</t>
  </si>
  <si>
    <t>TRICHLORPHON</t>
  </si>
  <si>
    <t>CHM-0574</t>
  </si>
  <si>
    <t>TRİKLOROASETİK ASİT</t>
  </si>
  <si>
    <t>76-03-9</t>
  </si>
  <si>
    <t>0586</t>
  </si>
  <si>
    <t>TRICHLOROACETIC ACID</t>
  </si>
  <si>
    <t>1839</t>
  </si>
  <si>
    <t>CHM-0575</t>
  </si>
  <si>
    <t>2,3,4-TRİKLORO-1-BÜTEN</t>
  </si>
  <si>
    <t>2431-50-7</t>
  </si>
  <si>
    <t>0587</t>
  </si>
  <si>
    <t>2,3,4-TRICHLORO-1-BUTENE</t>
  </si>
  <si>
    <t>2322</t>
  </si>
  <si>
    <t>CHM-0576</t>
  </si>
  <si>
    <t>2,3,4-TRİKLOROFENOL</t>
  </si>
  <si>
    <t>15950-66-0</t>
  </si>
  <si>
    <t>H400</t>
  </si>
  <si>
    <t>485 °F at 760 mmHg (USCG, 1999)</t>
  </si>
  <si>
    <t>0588</t>
  </si>
  <si>
    <t>2,3,4-TRICHLOROPHENOL</t>
  </si>
  <si>
    <t>CHM-0577</t>
  </si>
  <si>
    <t>2,3,5-TRİKLOROFENOL</t>
  </si>
  <si>
    <t>933-78-8</t>
  </si>
  <si>
    <t>0589</t>
  </si>
  <si>
    <t>2,3,5-TRICHLOROPHENOL</t>
  </si>
  <si>
    <t>CHM-0578</t>
  </si>
  <si>
    <t>2,3,6-TRİKLOROFENOL</t>
  </si>
  <si>
    <t>933-75-5</t>
  </si>
  <si>
    <t>0590</t>
  </si>
  <si>
    <t>2,3,6-TRICHLOROPHENOL</t>
  </si>
  <si>
    <t>CHM-0579</t>
  </si>
  <si>
    <t>TRİKLOROSİLAN</t>
  </si>
  <si>
    <t>10025-78-2</t>
  </si>
  <si>
    <t>0591</t>
  </si>
  <si>
    <t>TRICHLOROSILANE</t>
  </si>
  <si>
    <t>1295</t>
  </si>
  <si>
    <t>CHM-0580</t>
  </si>
  <si>
    <t>TRİİZOPROPANOLAMİN</t>
  </si>
  <si>
    <t>122-20-3</t>
  </si>
  <si>
    <t>H315, H319, H335</t>
  </si>
  <si>
    <t>0592</t>
  </si>
  <si>
    <t>TRIISOPROPANOLAMINE</t>
  </si>
  <si>
    <t>3259</t>
  </si>
  <si>
    <t>CHM-0581</t>
  </si>
  <si>
    <t>TRİMETİL BORAT</t>
  </si>
  <si>
    <t>121-43-7</t>
  </si>
  <si>
    <t>H225, H226, H302, H312, H319</t>
  </si>
  <si>
    <t>0593</t>
  </si>
  <si>
    <t>TRIMETHYL BORATE</t>
  </si>
  <si>
    <t>2416</t>
  </si>
  <si>
    <t>CHM-0582</t>
  </si>
  <si>
    <t>2,4,4-TRİMETİL-1-PENTEN</t>
  </si>
  <si>
    <t>107-39-1</t>
  </si>
  <si>
    <t>0594</t>
  </si>
  <si>
    <t>2,4,4-TRIMETHYL-1-PENTENE</t>
  </si>
  <si>
    <t>2050</t>
  </si>
  <si>
    <t>CHM-0583</t>
  </si>
  <si>
    <t>ÜRE</t>
  </si>
  <si>
    <t>57-13-6</t>
  </si>
  <si>
    <t>0595</t>
  </si>
  <si>
    <t>UREA</t>
  </si>
  <si>
    <t>CHM-0584</t>
  </si>
  <si>
    <t>VANADYUM PENTOKSİT</t>
  </si>
  <si>
    <t>1314-62-1</t>
  </si>
  <si>
    <t>3182 °F at 760 mmHg decomposition (EPA, 1998)</t>
  </si>
  <si>
    <t>0596</t>
  </si>
  <si>
    <t>VANADIUM PENTOXIDE</t>
  </si>
  <si>
    <t>2862</t>
  </si>
  <si>
    <t>CHM-0585</t>
  </si>
  <si>
    <t>VİNİL BROMÜR</t>
  </si>
  <si>
    <t>593-60-2</t>
  </si>
  <si>
    <t>H220, H221, H280, H351</t>
  </si>
  <si>
    <t>0597</t>
  </si>
  <si>
    <t>VINYL BROMIDE</t>
  </si>
  <si>
    <t>1085</t>
  </si>
  <si>
    <t>CHM-0586</t>
  </si>
  <si>
    <t>VİNİL FLORÜR</t>
  </si>
  <si>
    <t>75-02-5</t>
  </si>
  <si>
    <t>0598</t>
  </si>
  <si>
    <t>VINYL FLUORIDE</t>
  </si>
  <si>
    <t>1860</t>
  </si>
  <si>
    <t>CHM-0587</t>
  </si>
  <si>
    <t>KSİLİDİN (KARIŞIK İZOMERLER)</t>
  </si>
  <si>
    <t>1300-73-8</t>
  </si>
  <si>
    <t>H227, H302, H351, H373</t>
  </si>
  <si>
    <t>0600</t>
  </si>
  <si>
    <t>XYLIDINE (MIXED ISOMERS)</t>
  </si>
  <si>
    <t>CHM-0588</t>
  </si>
  <si>
    <t>KSİLENOL (KARIŞIK İZOMERLER)</t>
  </si>
  <si>
    <t>1300-71-6</t>
  </si>
  <si>
    <t>0601</t>
  </si>
  <si>
    <t>XYLENOL (MIXED ISOMERS)</t>
  </si>
  <si>
    <t>CHM-0589</t>
  </si>
  <si>
    <t>ÇİNKO FOSFİD</t>
  </si>
  <si>
    <t>1314-84-7</t>
  </si>
  <si>
    <t>H221, H260, H261, H300, H312, H319, H373, H400, H410</t>
  </si>
  <si>
    <t>0602</t>
  </si>
  <si>
    <t>ZINC PHOSPHIDE</t>
  </si>
  <si>
    <t>1714</t>
  </si>
  <si>
    <t>CHM-0590</t>
  </si>
  <si>
    <t>HELYUM</t>
  </si>
  <si>
    <t>7440-59-7</t>
  </si>
  <si>
    <t>0603</t>
  </si>
  <si>
    <t>HELIUM</t>
  </si>
  <si>
    <t>1963</t>
  </si>
  <si>
    <t>CHM-0591</t>
  </si>
  <si>
    <t>KRİPTON</t>
  </si>
  <si>
    <t>7439-90-9</t>
  </si>
  <si>
    <t>0604</t>
  </si>
  <si>
    <t>KRYPTON</t>
  </si>
  <si>
    <t>1970</t>
  </si>
  <si>
    <t>CHM-0592</t>
  </si>
  <si>
    <t>1,7-OKTADİEN</t>
  </si>
  <si>
    <t>3710-30-3</t>
  </si>
  <si>
    <t>0606</t>
  </si>
  <si>
    <t>1,7-OCTADIENE</t>
  </si>
  <si>
    <t>2309</t>
  </si>
  <si>
    <t>CHM-0593</t>
  </si>
  <si>
    <t>ETİLEN GLİKOL MONOPROPİL ETER</t>
  </si>
  <si>
    <t>2807-30-9</t>
  </si>
  <si>
    <t>0607</t>
  </si>
  <si>
    <t>ETHYLENE GLYCOL MONOPROPYL ETHER</t>
  </si>
  <si>
    <t>CHM-0594</t>
  </si>
  <si>
    <t>3,5,5-TRİMETİLHEKSANOL</t>
  </si>
  <si>
    <t>3452-97-9</t>
  </si>
  <si>
    <t>0608</t>
  </si>
  <si>
    <t>3,5,5-TRIMETHYLHEXANOL</t>
  </si>
  <si>
    <t>CHM-0595</t>
  </si>
  <si>
    <t>KSENON</t>
  </si>
  <si>
    <t>7440-63-3</t>
  </si>
  <si>
    <t>0609</t>
  </si>
  <si>
    <t>XENON</t>
  </si>
  <si>
    <t>2036</t>
  </si>
  <si>
    <t>CHM-0596</t>
  </si>
  <si>
    <t>2-NAFTİLAMİN</t>
  </si>
  <si>
    <t>91-59-8</t>
  </si>
  <si>
    <t>H302, H340, H341, H351, H400, H411, H412</t>
  </si>
  <si>
    <t>0610</t>
  </si>
  <si>
    <t>2-NAPHTHYLAMINE</t>
  </si>
  <si>
    <t>1650</t>
  </si>
  <si>
    <t>CHM-0597</t>
  </si>
  <si>
    <t>ASETON SİYANOHİDRİN</t>
  </si>
  <si>
    <t>75-86-5</t>
  </si>
  <si>
    <t>0611</t>
  </si>
  <si>
    <t>ACETONE CYANOHYDRIN</t>
  </si>
  <si>
    <t>1541</t>
  </si>
  <si>
    <t>CHM-0598</t>
  </si>
  <si>
    <t>ASFALT</t>
  </si>
  <si>
    <t>8052-42-4</t>
  </si>
  <si>
    <t>0612</t>
  </si>
  <si>
    <t>ASPHALT</t>
  </si>
  <si>
    <t>1999</t>
  </si>
  <si>
    <t>CHM-0599</t>
  </si>
  <si>
    <t>BARYUM KLORAT</t>
  </si>
  <si>
    <t>13477-00-4</t>
  </si>
  <si>
    <t>0613</t>
  </si>
  <si>
    <t>BARIUM CHLORATE</t>
  </si>
  <si>
    <t>1445</t>
  </si>
  <si>
    <t>CHM-0600</t>
  </si>
  <si>
    <t>BARYUM KLORÜR</t>
  </si>
  <si>
    <t>10361-37-2</t>
  </si>
  <si>
    <t>0614</t>
  </si>
  <si>
    <t>BARIUM CHLORIDE</t>
  </si>
  <si>
    <t>1564</t>
  </si>
  <si>
    <t>CHM-0601</t>
  </si>
  <si>
    <t>BARYUM KLORÜR, DİHİDRAT</t>
  </si>
  <si>
    <t>10326-27-9</t>
  </si>
  <si>
    <t>0615</t>
  </si>
  <si>
    <t>BARIUM CHLORIDE, DIHYDRATE</t>
  </si>
  <si>
    <t>CHM-0602</t>
  </si>
  <si>
    <t>BOR TRİKLORÜR</t>
  </si>
  <si>
    <t>10294-34-5</t>
  </si>
  <si>
    <t>0616</t>
  </si>
  <si>
    <t>BORON TRICHLORIDE</t>
  </si>
  <si>
    <t>1741</t>
  </si>
  <si>
    <t>CHM-0603</t>
  </si>
  <si>
    <t>p-SİMENE</t>
  </si>
  <si>
    <t>99-87-6</t>
  </si>
  <si>
    <t>0617</t>
  </si>
  <si>
    <t>p-CYMENE</t>
  </si>
  <si>
    <t>2046</t>
  </si>
  <si>
    <t>CHM-0604</t>
  </si>
  <si>
    <t>DİETANOLAMİN</t>
  </si>
  <si>
    <t>111-42-2</t>
  </si>
  <si>
    <t>0618</t>
  </si>
  <si>
    <t>DIETHANOLAMINE</t>
  </si>
  <si>
    <t>CHM-0605</t>
  </si>
  <si>
    <t>DİETİLEN GLİKOL</t>
  </si>
  <si>
    <t>111-46-6</t>
  </si>
  <si>
    <t>0619</t>
  </si>
  <si>
    <t>DIETHYLENE GLYCOL</t>
  </si>
  <si>
    <t>CHM-0606</t>
  </si>
  <si>
    <t>DİETİLENTRİAMİN</t>
  </si>
  <si>
    <t>111-40-0</t>
  </si>
  <si>
    <t>H300, H302, H314, H317, H330</t>
  </si>
  <si>
    <t>0620</t>
  </si>
  <si>
    <t>DIETHYLENETRIAMINE</t>
  </si>
  <si>
    <t>2079</t>
  </si>
  <si>
    <t>CHM-0607</t>
  </si>
  <si>
    <t>ETİLHEKSALDEHİT</t>
  </si>
  <si>
    <t>123-05-7</t>
  </si>
  <si>
    <t>0621</t>
  </si>
  <si>
    <t>ETHYLHEXALDEHYDE</t>
  </si>
  <si>
    <t>1191</t>
  </si>
  <si>
    <t>CHM-0608</t>
  </si>
  <si>
    <t>FENİTROTİON</t>
  </si>
  <si>
    <t>122-14-5</t>
  </si>
  <si>
    <t>244 °F at 0.05 mmHg (EPA, 1998)</t>
  </si>
  <si>
    <t>0622</t>
  </si>
  <si>
    <t>FENITROTHION</t>
  </si>
  <si>
    <t>CHM-0609</t>
  </si>
  <si>
    <t>ETİL FORMAT</t>
  </si>
  <si>
    <t>109-94-4</t>
  </si>
  <si>
    <t>0623</t>
  </si>
  <si>
    <t>ETHYL FORMATE</t>
  </si>
  <si>
    <t>1190</t>
  </si>
  <si>
    <t>CHM-0610</t>
  </si>
  <si>
    <t>GLİSEROL</t>
  </si>
  <si>
    <t>56-81-5</t>
  </si>
  <si>
    <t>0624</t>
  </si>
  <si>
    <t>GLYCEROL</t>
  </si>
  <si>
    <t>CHM-0611</t>
  </si>
  <si>
    <t>METİL AKRİLAT</t>
  </si>
  <si>
    <t>96-33-3</t>
  </si>
  <si>
    <t>0625</t>
  </si>
  <si>
    <t>METHYL ACRYLATE</t>
  </si>
  <si>
    <t>1919</t>
  </si>
  <si>
    <t>CHM-0612</t>
  </si>
  <si>
    <t>METİL PARATİYON</t>
  </si>
  <si>
    <t>298-00-0</t>
  </si>
  <si>
    <t>246 °F at 0.13 mmHg (NTP, 1992)</t>
  </si>
  <si>
    <t>0626</t>
  </si>
  <si>
    <t>METHYL PARATHION</t>
  </si>
  <si>
    <t>CHM-0613</t>
  </si>
  <si>
    <t>NEON</t>
  </si>
  <si>
    <t>7440-01-9</t>
  </si>
  <si>
    <t>0627</t>
  </si>
  <si>
    <t>1065</t>
  </si>
  <si>
    <t>CHM-0614</t>
  </si>
  <si>
    <t>FOSFOR (sarı)</t>
  </si>
  <si>
    <t>12185-10-3</t>
  </si>
  <si>
    <t>0628</t>
  </si>
  <si>
    <t>PHOSPHORUS (YELLOW)</t>
  </si>
  <si>
    <t>1381</t>
  </si>
  <si>
    <t>CHM-0615</t>
  </si>
  <si>
    <t>TEKSANOL</t>
  </si>
  <si>
    <t>25265-77-4</t>
  </si>
  <si>
    <t>0629</t>
  </si>
  <si>
    <t>TEXANOL</t>
  </si>
  <si>
    <t>CHM-0616</t>
  </si>
  <si>
    <t>2-AMİNO-5-KLOROTOLUEN</t>
  </si>
  <si>
    <t>95-69-2</t>
  </si>
  <si>
    <t>H302, H340, H341, H351, H402, H412</t>
  </si>
  <si>
    <t>0630</t>
  </si>
  <si>
    <t>2-AMINO-5-CHLOROTOLUENE</t>
  </si>
  <si>
    <t>2239</t>
  </si>
  <si>
    <t>CHM-0617</t>
  </si>
  <si>
    <t>AMİTROL</t>
  </si>
  <si>
    <t>61-82-5</t>
  </si>
  <si>
    <t>H315, H361, H373, H400, H411, H412</t>
  </si>
  <si>
    <t>0631</t>
  </si>
  <si>
    <t>AMITROLE</t>
  </si>
  <si>
    <t>CHM-0618</t>
  </si>
  <si>
    <t>AMONYUM PERSÜLFAT</t>
  </si>
  <si>
    <t>7727-54-0</t>
  </si>
  <si>
    <t>0632</t>
  </si>
  <si>
    <t>AMMONIUM PERSULFATE</t>
  </si>
  <si>
    <t>1444</t>
  </si>
  <si>
    <t>CHM-0619</t>
  </si>
  <si>
    <t>KARBONİL FLORÜR</t>
  </si>
  <si>
    <t>353-50-4</t>
  </si>
  <si>
    <t>0633</t>
  </si>
  <si>
    <t>CARBONYL FLUORIDE</t>
  </si>
  <si>
    <t>2417</t>
  </si>
  <si>
    <t>CHM-0620</t>
  </si>
  <si>
    <t>BİSFENOL A</t>
  </si>
  <si>
    <t>80-05-7</t>
  </si>
  <si>
    <t>H317, H319, H335, H361, H400</t>
  </si>
  <si>
    <t>0634</t>
  </si>
  <si>
    <t>BISPHENOL A</t>
  </si>
  <si>
    <t>CHM-0621</t>
  </si>
  <si>
    <t>BROMOKLORODİFLOROMETAN</t>
  </si>
  <si>
    <t>353-59-3</t>
  </si>
  <si>
    <t>0635</t>
  </si>
  <si>
    <t>BROMOCHLORODIFLUOROMETHANE</t>
  </si>
  <si>
    <t>1974</t>
  </si>
  <si>
    <t>CHM-0622</t>
  </si>
  <si>
    <t>BÜTİLEN OKSİT (STABİLİZE)</t>
  </si>
  <si>
    <t>106-88-7</t>
  </si>
  <si>
    <t>H225, H226, H302, H319, H335, H351, H402</t>
  </si>
  <si>
    <t>0636</t>
  </si>
  <si>
    <t>BUTYLENE OXIDE (STABILIZED)</t>
  </si>
  <si>
    <t>3022</t>
  </si>
  <si>
    <t>CHM-0623</t>
  </si>
  <si>
    <t>para-tert-BUTİLFENOL</t>
  </si>
  <si>
    <t>98-54-4</t>
  </si>
  <si>
    <t>0637</t>
  </si>
  <si>
    <t>para-tert-BUTYLPHENOL</t>
  </si>
  <si>
    <t>2430</t>
  </si>
  <si>
    <t>CHM-0624</t>
  </si>
  <si>
    <t>KALSİYUM HİPOKLORİT</t>
  </si>
  <si>
    <t>7778-54-3</t>
  </si>
  <si>
    <t>Decomposes at 100 °C</t>
  </si>
  <si>
    <t>0638</t>
  </si>
  <si>
    <t>CALCIUM HYPOCHLORITE</t>
  </si>
  <si>
    <t>1748</t>
  </si>
  <si>
    <t>CHM-0625</t>
  </si>
  <si>
    <t>2-KLOROASETAMİD</t>
  </si>
  <si>
    <t>79-07-2</t>
  </si>
  <si>
    <t>H301, H315, H317, H319, H361, H402</t>
  </si>
  <si>
    <t>Approximately 225 °C (decomposes)</t>
  </si>
  <si>
    <t>0640</t>
  </si>
  <si>
    <t>2-CHLOROACETAMIDE</t>
  </si>
  <si>
    <t>CHM-0626</t>
  </si>
  <si>
    <t>o-KLOROBENZALDEHİT</t>
  </si>
  <si>
    <t>89-98-5</t>
  </si>
  <si>
    <t>H227, H302, H315, H319, H400</t>
  </si>
  <si>
    <t>0641</t>
  </si>
  <si>
    <t>o-CHLOROBENZALDEHYDE</t>
  </si>
  <si>
    <t>CHM-0627</t>
  </si>
  <si>
    <t>KLOROBENZEN</t>
  </si>
  <si>
    <t>108-90-7</t>
  </si>
  <si>
    <t>0642</t>
  </si>
  <si>
    <t>CHLOROBENZENE</t>
  </si>
  <si>
    <t>1134</t>
  </si>
  <si>
    <t>CHM-0628</t>
  </si>
  <si>
    <t>KLORODİFLOROETAN</t>
  </si>
  <si>
    <t>75-68-3</t>
  </si>
  <si>
    <t>0643</t>
  </si>
  <si>
    <t>CHLORODIFLUOROETHANE</t>
  </si>
  <si>
    <t>2517</t>
  </si>
  <si>
    <t>CHM-0629</t>
  </si>
  <si>
    <t>2-KLOROPROPİYONİK ASİT</t>
  </si>
  <si>
    <t>598-78-7</t>
  </si>
  <si>
    <t>0644</t>
  </si>
  <si>
    <t>2-CHLOROPROPIONIC ACID</t>
  </si>
  <si>
    <t>2511</t>
  </si>
  <si>
    <t>CHM-0630</t>
  </si>
  <si>
    <t>m-KRESOL</t>
  </si>
  <si>
    <t>108-39-4</t>
  </si>
  <si>
    <t>H300, H301, H312, H314, H330, H373, H400</t>
  </si>
  <si>
    <t>0646</t>
  </si>
  <si>
    <t>m-CRESOL</t>
  </si>
  <si>
    <t>2076</t>
  </si>
  <si>
    <t>CHM-0631</t>
  </si>
  <si>
    <t>DİASETON ALKOL</t>
  </si>
  <si>
    <t>123-42-2</t>
  </si>
  <si>
    <t>0647</t>
  </si>
  <si>
    <t>DIACETONE ALCOHOL</t>
  </si>
  <si>
    <t>1148</t>
  </si>
  <si>
    <t>CHM-0632</t>
  </si>
  <si>
    <t>BAKIR (II) ORTOARSENAT</t>
  </si>
  <si>
    <t>10103-61-4</t>
  </si>
  <si>
    <t>0648</t>
  </si>
  <si>
    <t>COPPER (II) ORTHOARSENATE</t>
  </si>
  <si>
    <t>1557</t>
  </si>
  <si>
    <t>CHM-0633</t>
  </si>
  <si>
    <t>DİKLOROTETRAFLOROETAN</t>
  </si>
  <si>
    <t>76-14-2</t>
  </si>
  <si>
    <t>0649</t>
  </si>
  <si>
    <t>DICHLOROTETRAFLUOROETHANE</t>
  </si>
  <si>
    <t>1958</t>
  </si>
  <si>
    <t>CHM-0634</t>
  </si>
  <si>
    <t>DİSİYANDİAMİT</t>
  </si>
  <si>
    <t>461-58-5</t>
  </si>
  <si>
    <t>0650</t>
  </si>
  <si>
    <t>DICYANDIAMIDE</t>
  </si>
  <si>
    <t>CHM-0635</t>
  </si>
  <si>
    <t>DİSİKLOHEKSİL FTALAT</t>
  </si>
  <si>
    <t>84-61-7</t>
  </si>
  <si>
    <t>0651</t>
  </si>
  <si>
    <t>DICYCLOHEXYL PHTHALATE</t>
  </si>
  <si>
    <t>CHM-0636</t>
  </si>
  <si>
    <t>METAKRİLONİTRİL</t>
  </si>
  <si>
    <t>126-98-7</t>
  </si>
  <si>
    <t>0652</t>
  </si>
  <si>
    <t>METHACRYLONITRILE</t>
  </si>
  <si>
    <t>3079</t>
  </si>
  <si>
    <t>CHM-0637</t>
  </si>
  <si>
    <t>NAFTALİN 1,5-DİİZOSİYANAT</t>
  </si>
  <si>
    <t>3173-72-6</t>
  </si>
  <si>
    <t>0653</t>
  </si>
  <si>
    <t>NAPHTHALENE 1,5-DIISOCYANATE</t>
  </si>
  <si>
    <t>CHM-0638</t>
  </si>
  <si>
    <t>2-DİMETİLAMİNOETANOL</t>
  </si>
  <si>
    <t>108-01-0</t>
  </si>
  <si>
    <t>0654</t>
  </si>
  <si>
    <t>2-DIMETHYLAMINOETHANOL</t>
  </si>
  <si>
    <t>2051</t>
  </si>
  <si>
    <t>CHM-0639</t>
  </si>
  <si>
    <t>FETHION</t>
  </si>
  <si>
    <t>55-38-9</t>
  </si>
  <si>
    <t>H301, H400, H410</t>
  </si>
  <si>
    <t>189 °F at 0.01 mmHg (NTP, 1992)</t>
  </si>
  <si>
    <t>0655</t>
  </si>
  <si>
    <t>FENTHION</t>
  </si>
  <si>
    <t>CHM-0640</t>
  </si>
  <si>
    <t>KLOR TRİFLORÜR</t>
  </si>
  <si>
    <t>7790-91-2</t>
  </si>
  <si>
    <t>0656</t>
  </si>
  <si>
    <t>CHLORINE TRIFLUORIDE</t>
  </si>
  <si>
    <t>1749</t>
  </si>
  <si>
    <t>CHM-0641</t>
  </si>
  <si>
    <t>n-HEPTAN</t>
  </si>
  <si>
    <t>142-82-5</t>
  </si>
  <si>
    <t>H225, H226, H300, H315, H336, H400, H410, H411, H412</t>
  </si>
  <si>
    <t>0657</t>
  </si>
  <si>
    <t>n-HEPTANE</t>
  </si>
  <si>
    <t>1206</t>
  </si>
  <si>
    <t>CHM-0642</t>
  </si>
  <si>
    <t>İZOHEPTAN</t>
  </si>
  <si>
    <t>591-76-4</t>
  </si>
  <si>
    <t>0658</t>
  </si>
  <si>
    <t>ISOHEPTANE</t>
  </si>
  <si>
    <t>CHM-0643</t>
  </si>
  <si>
    <t>HEKSAMETİLENDİAMİN</t>
  </si>
  <si>
    <t>124-09-4</t>
  </si>
  <si>
    <t>0659</t>
  </si>
  <si>
    <t>HEXAMETHYLENEDIAMINE</t>
  </si>
  <si>
    <t>2280</t>
  </si>
  <si>
    <t>CHM-0644</t>
  </si>
  <si>
    <t>HEKSİLEN GLİKOL</t>
  </si>
  <si>
    <t>107-41-5</t>
  </si>
  <si>
    <t>0660</t>
  </si>
  <si>
    <t>HEXYLENE GLYCOL</t>
  </si>
  <si>
    <t>CHM-0645</t>
  </si>
  <si>
    <t>HİDROKSİLAMİN</t>
  </si>
  <si>
    <t>7803-49-8</t>
  </si>
  <si>
    <t>H290, H302, H315, H317, H318, H335, H351, H373, H400, H410</t>
  </si>
  <si>
    <t>133.7 °F 22 mm 158 °F 60 mm (USCG, 1999)</t>
  </si>
  <si>
    <t>0661</t>
  </si>
  <si>
    <t>HYDROXYLAMINE</t>
  </si>
  <si>
    <t>expl; corr; excl mark; cancer; enviro</t>
  </si>
  <si>
    <t>expl; corr; Sağlık Tehlikesi (hafif); Kanserojen/Mutajen/Repro; Çevre için Tehlikeli</t>
  </si>
  <si>
    <t>CHM-0646</t>
  </si>
  <si>
    <t>İYOT SİYANÜR</t>
  </si>
  <si>
    <t>506-78-5</t>
  </si>
  <si>
    <t>Sublimation at temperatures &gt; 45 °C</t>
  </si>
  <si>
    <t>0662</t>
  </si>
  <si>
    <t>IODINE CYANIDE</t>
  </si>
  <si>
    <t>1588</t>
  </si>
  <si>
    <t>CHM-0647</t>
  </si>
  <si>
    <t>GAZYAĞI</t>
  </si>
  <si>
    <t>8008-20-6</t>
  </si>
  <si>
    <t>H226, H300, H315, H336, H400, H411, H412</t>
  </si>
  <si>
    <t>0663</t>
  </si>
  <si>
    <t>KEROSENE</t>
  </si>
  <si>
    <t>1223</t>
  </si>
  <si>
    <t>CHM-0648</t>
  </si>
  <si>
    <t>METİL FORMAT</t>
  </si>
  <si>
    <t>107-31-3</t>
  </si>
  <si>
    <t>H224, H226, H302, H319, H336</t>
  </si>
  <si>
    <t>0664</t>
  </si>
  <si>
    <t>METHYL FORMATE</t>
  </si>
  <si>
    <t>1243</t>
  </si>
  <si>
    <t>CHM-0649</t>
  </si>
  <si>
    <t>METİL İZOBÜTİL KARBİNOL</t>
  </si>
  <si>
    <t>108-11-2</t>
  </si>
  <si>
    <t>0665</t>
  </si>
  <si>
    <t>METHYL ISOBUTYL CARBINOL</t>
  </si>
  <si>
    <t>2053</t>
  </si>
  <si>
    <t>CHM-0650</t>
  </si>
  <si>
    <t>NAFTALİN</t>
  </si>
  <si>
    <t>91-20-3</t>
  </si>
  <si>
    <t>H228, H302, H312, H351, H400, H410, H411, H412</t>
  </si>
  <si>
    <t>0667</t>
  </si>
  <si>
    <t>NAPHTHALENE</t>
  </si>
  <si>
    <t>1334</t>
  </si>
  <si>
    <t>CHM-0651</t>
  </si>
  <si>
    <t>1,5-NAFTALENDİAMİN</t>
  </si>
  <si>
    <t>2243-62-1</t>
  </si>
  <si>
    <t>0668</t>
  </si>
  <si>
    <t>1,5-NAPHTHALENEDIAMINE</t>
  </si>
  <si>
    <t>CHM-0652</t>
  </si>
  <si>
    <t>o-FENİLFENOL</t>
  </si>
  <si>
    <t>90-43-7</t>
  </si>
  <si>
    <t>H302, H315, H319, H335, H400, H410</t>
  </si>
  <si>
    <t>0669</t>
  </si>
  <si>
    <t>o-PHENYLPHENOL</t>
  </si>
  <si>
    <t>CHM-0653</t>
  </si>
  <si>
    <t>FTALODİNİTRİL</t>
  </si>
  <si>
    <t>91-15-6</t>
  </si>
  <si>
    <t>0670</t>
  </si>
  <si>
    <t>PHTHALODINITRILE</t>
  </si>
  <si>
    <t>3276</t>
  </si>
  <si>
    <t>CHM-0654</t>
  </si>
  <si>
    <t>POTASYUM SİYANÜR</t>
  </si>
  <si>
    <t>151-50-8</t>
  </si>
  <si>
    <t>0671</t>
  </si>
  <si>
    <t>POTASSIUM CYANIDE</t>
  </si>
  <si>
    <t>1680</t>
  </si>
  <si>
    <t>CHM-0655</t>
  </si>
  <si>
    <t>POTASYUM PERMANGANAT</t>
  </si>
  <si>
    <t>7722-64-7</t>
  </si>
  <si>
    <t>H302, H314, H361, H400, H410</t>
  </si>
  <si>
    <t>0672</t>
  </si>
  <si>
    <t>POTASSIUM PERMANGANATE</t>
  </si>
  <si>
    <t>1490</t>
  </si>
  <si>
    <t>flam circle; corr; excl mark; cancer; enviro</t>
  </si>
  <si>
    <t>flam circle; corr; Sağlık Tehlikesi (hafif); Kanserojen/Mutajen/Repro; Çevre için Tehlikeli</t>
  </si>
  <si>
    <t>CHM-0656</t>
  </si>
  <si>
    <t>PROPARJİL ALKOL</t>
  </si>
  <si>
    <t>107-19-7</t>
  </si>
  <si>
    <t>0673</t>
  </si>
  <si>
    <t>PROPARGYL ALCOHOL</t>
  </si>
  <si>
    <t>2929</t>
  </si>
  <si>
    <t>CHM-0657</t>
  </si>
  <si>
    <t>SODYUM ETANOLAT</t>
  </si>
  <si>
    <t>141-52-6</t>
  </si>
  <si>
    <t>0674</t>
  </si>
  <si>
    <t>SODIUM ETHANOLATE</t>
  </si>
  <si>
    <t>CHM-0658</t>
  </si>
  <si>
    <t>SODYUM TİYOSİYANAT</t>
  </si>
  <si>
    <t>540-72-7</t>
  </si>
  <si>
    <t>0675</t>
  </si>
  <si>
    <t>SODIUM THIOCYANATE</t>
  </si>
  <si>
    <t>CHM-0659</t>
  </si>
  <si>
    <t>1,2,4,5-TETRAKLOROBENZEN</t>
  </si>
  <si>
    <t>95-94-3</t>
  </si>
  <si>
    <t>0676</t>
  </si>
  <si>
    <t>1,2,4,5-TETRACHLOROBENZENE</t>
  </si>
  <si>
    <t>CHM-0660</t>
  </si>
  <si>
    <t>TETRAHİDROTİYOFEN</t>
  </si>
  <si>
    <t>110-01-0</t>
  </si>
  <si>
    <t>0677</t>
  </si>
  <si>
    <t>TETRAHYDROTHIOPHENE</t>
  </si>
  <si>
    <t>2412</t>
  </si>
  <si>
    <t>CHM-0661</t>
  </si>
  <si>
    <t>TEOFİLİN</t>
  </si>
  <si>
    <t>58-55-9</t>
  </si>
  <si>
    <t>H301, H332, H373</t>
  </si>
  <si>
    <t>0678</t>
  </si>
  <si>
    <t>THEOPHYLLINE</t>
  </si>
  <si>
    <t>CHM-0662</t>
  </si>
  <si>
    <t>TİYOÜRE</t>
  </si>
  <si>
    <t>62-56-6</t>
  </si>
  <si>
    <t>Sublimes in vacuum at 302-320 °F (NTP, 1992)</t>
  </si>
  <si>
    <t>0680</t>
  </si>
  <si>
    <t>THIOUREA</t>
  </si>
  <si>
    <t>CHM-0663</t>
  </si>
  <si>
    <t>1,2,4-TRİAZOL</t>
  </si>
  <si>
    <t>288-88-0</t>
  </si>
  <si>
    <t>H302, H319, H361, H402</t>
  </si>
  <si>
    <t>0682</t>
  </si>
  <si>
    <t>1,2,4-TRIAZOLE</t>
  </si>
  <si>
    <t>CHM-0664</t>
  </si>
  <si>
    <t>1,2,3-TRİKLOROPROPAN</t>
  </si>
  <si>
    <t>96-18-4</t>
  </si>
  <si>
    <t>H301, H319, H336, H351, H361, H402</t>
  </si>
  <si>
    <t>0683</t>
  </si>
  <si>
    <t>1,2,3-TRICHLOROPROPANE</t>
  </si>
  <si>
    <t>CHM-0665</t>
  </si>
  <si>
    <t>TRİETİL FOSFİT</t>
  </si>
  <si>
    <t>122-52-1</t>
  </si>
  <si>
    <t>0684</t>
  </si>
  <si>
    <t>TRIETHYL PHOSPHITE</t>
  </si>
  <si>
    <t>2323</t>
  </si>
  <si>
    <t>CHM-0666</t>
  </si>
  <si>
    <t>TRİFLÜOROKLOROETİLEN</t>
  </si>
  <si>
    <t>79-38-9</t>
  </si>
  <si>
    <t>0685</t>
  </si>
  <si>
    <t>TRIFLUOROCHLOROETHYLENE</t>
  </si>
  <si>
    <t>1082</t>
  </si>
  <si>
    <t>CHM-0667</t>
  </si>
  <si>
    <t>TRİMETİL FOSFAT</t>
  </si>
  <si>
    <t>512-56-1</t>
  </si>
  <si>
    <t>0686</t>
  </si>
  <si>
    <t>TRIMETHYL PHOSPHATE</t>
  </si>
  <si>
    <t>CHM-0668</t>
  </si>
  <si>
    <t>VİNİLİDEN FLORÜR</t>
  </si>
  <si>
    <t>75-38-7</t>
  </si>
  <si>
    <t>0687</t>
  </si>
  <si>
    <t>VINYLIDENE FLUORIDE</t>
  </si>
  <si>
    <t>1959</t>
  </si>
  <si>
    <t>CHM-0669</t>
  </si>
  <si>
    <t>AKRİLİK ASİT</t>
  </si>
  <si>
    <t>79-10-7</t>
  </si>
  <si>
    <t>H226, H301, H314, H335, H402</t>
  </si>
  <si>
    <t>0688</t>
  </si>
  <si>
    <t>ACRYLIC ACID</t>
  </si>
  <si>
    <t>2218</t>
  </si>
  <si>
    <t>CHM-0670</t>
  </si>
  <si>
    <t>SİKLOFOSFAMİD (ANHİDROZ)</t>
  </si>
  <si>
    <t>50-18-0</t>
  </si>
  <si>
    <t>H301, H340, H341, H351, H360, H361, H373</t>
  </si>
  <si>
    <t>0689</t>
  </si>
  <si>
    <t>CYCLOPHOSPHAMIDE (ANHYDROUS)</t>
  </si>
  <si>
    <t>3464</t>
  </si>
  <si>
    <t>CHM-0671</t>
  </si>
  <si>
    <t>DİKLORVOS</t>
  </si>
  <si>
    <t>62-73-7</t>
  </si>
  <si>
    <t>H300, H315, H317, H351, H373, H400, H410</t>
  </si>
  <si>
    <t>0690</t>
  </si>
  <si>
    <t>DICHLORVOS</t>
  </si>
  <si>
    <t>CHM-0672</t>
  </si>
  <si>
    <t>1,3-DİNİTROBENZEN</t>
  </si>
  <si>
    <t>99-65-0</t>
  </si>
  <si>
    <t>0691</t>
  </si>
  <si>
    <t>1,3-DINITROBENZENE</t>
  </si>
  <si>
    <t>CHM-0673</t>
  </si>
  <si>
    <t>1,4-DİNİTROBENZEN</t>
  </si>
  <si>
    <t>100-25-4</t>
  </si>
  <si>
    <t>0692</t>
  </si>
  <si>
    <t>1,4-DINITROBENZENE</t>
  </si>
  <si>
    <t>CHM-0674</t>
  </si>
  <si>
    <t>FOSFİN</t>
  </si>
  <si>
    <t>7803-51-2</t>
  </si>
  <si>
    <t>0694</t>
  </si>
  <si>
    <t>PHOSPHINE</t>
  </si>
  <si>
    <t>2199</t>
  </si>
  <si>
    <t>flam; cylinder; skull; corr</t>
  </si>
  <si>
    <t>Yanıcı; Basınçlı Gaz; Akut Toksisite; corr</t>
  </si>
  <si>
    <t>CHM-0675</t>
  </si>
  <si>
    <t>FORMALDEHIT (%37 ÇÖZELTI, METANOLSÜZ)</t>
  </si>
  <si>
    <t>H227, H301, H314, H317, H335, H351, H402</t>
  </si>
  <si>
    <t>0695</t>
  </si>
  <si>
    <t>FORMALDEHYDE (37% SOLUTION, methanol free)</t>
  </si>
  <si>
    <t>2209</t>
  </si>
  <si>
    <t>CHM-0676</t>
  </si>
  <si>
    <t>FOSFOR TRİKLORÜR</t>
  </si>
  <si>
    <t>7719-12-2</t>
  </si>
  <si>
    <t>0696</t>
  </si>
  <si>
    <t>PHOSPHORUS TRICHLORIDE</t>
  </si>
  <si>
    <t>1809</t>
  </si>
  <si>
    <t>CHM-0677</t>
  </si>
  <si>
    <t>PROPAZİN</t>
  </si>
  <si>
    <t>139-40-2</t>
  </si>
  <si>
    <t>0697</t>
  </si>
  <si>
    <t>PROPAZINE</t>
  </si>
  <si>
    <t>CHM-0678</t>
  </si>
  <si>
    <t>SODYUM SELENİT</t>
  </si>
  <si>
    <t>10102-18-8</t>
  </si>
  <si>
    <t>0698</t>
  </si>
  <si>
    <t>SODIUM SELENITE</t>
  </si>
  <si>
    <t>2630</t>
  </si>
  <si>
    <t>CHM-0679</t>
  </si>
  <si>
    <t>SİMAZİN</t>
  </si>
  <si>
    <t>122-34-9</t>
  </si>
  <si>
    <t>0699</t>
  </si>
  <si>
    <t>SIMAZINE</t>
  </si>
  <si>
    <t>CHM-0680</t>
  </si>
  <si>
    <t>TRİFENİLFOSFİN</t>
  </si>
  <si>
    <t>603-35-0</t>
  </si>
  <si>
    <t>H302, H317, H373</t>
  </si>
  <si>
    <t>0700</t>
  </si>
  <si>
    <t>TRIPHENYLPHOSPHINE</t>
  </si>
  <si>
    <t>CHM-0681</t>
  </si>
  <si>
    <t>MAGNEZYUM (PELET)</t>
  </si>
  <si>
    <t>H221, H228, H252, H260, H261</t>
  </si>
  <si>
    <t>0701</t>
  </si>
  <si>
    <t>MAGNESIUM (PELLETS)</t>
  </si>
  <si>
    <t>1869</t>
  </si>
  <si>
    <t>CHM-0682</t>
  </si>
  <si>
    <t>KARBON</t>
  </si>
  <si>
    <t>7440-44-0</t>
  </si>
  <si>
    <t>0702</t>
  </si>
  <si>
    <t>CARBON</t>
  </si>
  <si>
    <t>1361</t>
  </si>
  <si>
    <t>CHM-0683</t>
  </si>
  <si>
    <t>1-KLOROBÜTAN</t>
  </si>
  <si>
    <t>109-69-3</t>
  </si>
  <si>
    <t>0703</t>
  </si>
  <si>
    <t>1-CHLOROBUTANE</t>
  </si>
  <si>
    <t>CHM-0684</t>
  </si>
  <si>
    <t>SİTRİK ASİT, MONOHİDRAT</t>
  </si>
  <si>
    <t>5949-29-1</t>
  </si>
  <si>
    <t>0704</t>
  </si>
  <si>
    <t>CITRIC ACID, MONOHYDRATE</t>
  </si>
  <si>
    <t>CHM-0685</t>
  </si>
  <si>
    <t>DEMETON-S-METİL</t>
  </si>
  <si>
    <t>919-86-8</t>
  </si>
  <si>
    <t>0705</t>
  </si>
  <si>
    <t>DEMETON-S-METHYL</t>
  </si>
  <si>
    <t>CHM-0686</t>
  </si>
  <si>
    <t>KLOROASETALDEHİT (%40 ÇÖZELTI)</t>
  </si>
  <si>
    <t>107-20-0</t>
  </si>
  <si>
    <t>0706</t>
  </si>
  <si>
    <t>CHLOROACETALDEHYDE (40% SOLUTION)</t>
  </si>
  <si>
    <t>2232</t>
  </si>
  <si>
    <t>CHM-0687</t>
  </si>
  <si>
    <t>OKSALİK ASİT DİHİDRAT</t>
  </si>
  <si>
    <t>6153-56-6</t>
  </si>
  <si>
    <t>0707</t>
  </si>
  <si>
    <t>OXALIC ACID DIHYDRATE</t>
  </si>
  <si>
    <t>CHM-0688</t>
  </si>
  <si>
    <t>FONOFOS</t>
  </si>
  <si>
    <t>944-22-9</t>
  </si>
  <si>
    <t>0708</t>
  </si>
  <si>
    <t>CHM-0689</t>
  </si>
  <si>
    <t>HİDROKSİLAMİN HİDROKLORÜR</t>
  </si>
  <si>
    <t>5470-11-1</t>
  </si>
  <si>
    <t>H290, H301, H312, H317, H319, H351, H373, H400, H410</t>
  </si>
  <si>
    <t>0709</t>
  </si>
  <si>
    <t>HYDROXYLAMINE HYDROCHLORIDE</t>
  </si>
  <si>
    <t>2923</t>
  </si>
  <si>
    <t>CHM-0690</t>
  </si>
  <si>
    <t>LİTYUM</t>
  </si>
  <si>
    <t>7439-93-2</t>
  </si>
  <si>
    <t>0710</t>
  </si>
  <si>
    <t>LITHIUM</t>
  </si>
  <si>
    <t>1415</t>
  </si>
  <si>
    <t>CHM-0691</t>
  </si>
  <si>
    <t>LİTYUM KLORİD</t>
  </si>
  <si>
    <t>7447-41-8</t>
  </si>
  <si>
    <t>0711</t>
  </si>
  <si>
    <t>LITHIUM CHLORIDE</t>
  </si>
  <si>
    <t>CHM-0692</t>
  </si>
  <si>
    <t>DEKABORAN</t>
  </si>
  <si>
    <t>17702-41-9</t>
  </si>
  <si>
    <t>0712</t>
  </si>
  <si>
    <t>DECABORANE</t>
  </si>
  <si>
    <t>1868</t>
  </si>
  <si>
    <t>CHM-0693</t>
  </si>
  <si>
    <t>DİİZOBÜTİL KETON</t>
  </si>
  <si>
    <t>108-83-8</t>
  </si>
  <si>
    <t>0713</t>
  </si>
  <si>
    <t>DIISOBUTYL KETONE</t>
  </si>
  <si>
    <t>1157</t>
  </si>
  <si>
    <t>CHM-0694</t>
  </si>
  <si>
    <t>POTASYUM PERKLORAT</t>
  </si>
  <si>
    <t>7778-74-7</t>
  </si>
  <si>
    <t>0714</t>
  </si>
  <si>
    <t>POTASSIUM PERCHLORATE</t>
  </si>
  <si>
    <t>1489</t>
  </si>
  <si>
    <t>CHM-0695</t>
  </si>
  <si>
    <t>SODYUM PERKLORAT</t>
  </si>
  <si>
    <t>7601-89-0</t>
  </si>
  <si>
    <t>0715</t>
  </si>
  <si>
    <t>SODIUM PERCHLORATE</t>
  </si>
  <si>
    <t>1502</t>
  </si>
  <si>
    <t>CHM-0696</t>
  </si>
  <si>
    <t>POTASYUM</t>
  </si>
  <si>
    <t>7440-09-7</t>
  </si>
  <si>
    <t>H221, H260, H261, H314</t>
  </si>
  <si>
    <t>0716</t>
  </si>
  <si>
    <t>POTASSIUM</t>
  </si>
  <si>
    <t>2257</t>
  </si>
  <si>
    <t>flam; corr</t>
  </si>
  <si>
    <t>Yanıcı; corr</t>
  </si>
  <si>
    <t>CHM-0697</t>
  </si>
  <si>
    <t>SODYUM</t>
  </si>
  <si>
    <t>7440-23-5</t>
  </si>
  <si>
    <t>0717</t>
  </si>
  <si>
    <t>SODIUM</t>
  </si>
  <si>
    <t>1428</t>
  </si>
  <si>
    <t>CHM-0698</t>
  </si>
  <si>
    <t>TRİETİLEN GLİKOL MONOETİL ETER</t>
  </si>
  <si>
    <t>112-50-5</t>
  </si>
  <si>
    <t>0718</t>
  </si>
  <si>
    <t>TRIETHYLENE GLYCOL MONOETHYL ETHER</t>
  </si>
  <si>
    <t>CHM-0699</t>
  </si>
  <si>
    <t>2-NAFTOL</t>
  </si>
  <si>
    <t>135-19-3</t>
  </si>
  <si>
    <t>0719</t>
  </si>
  <si>
    <t>2-NAPHTHOL</t>
  </si>
  <si>
    <t>CHM-0700</t>
  </si>
  <si>
    <t>BENZO(B)FLUORANTEN</t>
  </si>
  <si>
    <t>205-99-2</t>
  </si>
  <si>
    <t>0720</t>
  </si>
  <si>
    <t>BENZO(b)FLUORANTHENE</t>
  </si>
  <si>
    <t>CHM-0701</t>
  </si>
  <si>
    <t>BENZO(K)FLUORANTEN</t>
  </si>
  <si>
    <t>207-08-9</t>
  </si>
  <si>
    <t>0721</t>
  </si>
  <si>
    <t>BENZO(k)FLUORANTHENE</t>
  </si>
  <si>
    <t>CHM-0702</t>
  </si>
  <si>
    <t>1-KLORO-3,4-DİNİTROBENZEN</t>
  </si>
  <si>
    <t>610-40-2</t>
  </si>
  <si>
    <t>0722</t>
  </si>
  <si>
    <t>1-CHLORO-3,4-DINITROBENZENE</t>
  </si>
  <si>
    <t>CHM-0703</t>
  </si>
  <si>
    <t>1,1-DİKLOROPROPAN</t>
  </si>
  <si>
    <t>78-99-9</t>
  </si>
  <si>
    <t>0723</t>
  </si>
  <si>
    <t>1,1-DICHLOROPROPANE</t>
  </si>
  <si>
    <t>CHM-0704</t>
  </si>
  <si>
    <t>1,3-DİKLOROPROPAN</t>
  </si>
  <si>
    <t>142-28-9</t>
  </si>
  <si>
    <t>0724</t>
  </si>
  <si>
    <t>1,3-DICHLOROPROPANE</t>
  </si>
  <si>
    <t>CHM-0705</t>
  </si>
  <si>
    <t>DİNİTROBENZEN (KARIŞIK IZOMERLER)</t>
  </si>
  <si>
    <t>25154-54-5</t>
  </si>
  <si>
    <t>606 °F at 760 mmHg (USCG, 1999)</t>
  </si>
  <si>
    <t>0725</t>
  </si>
  <si>
    <t>DINITROBENZENE (mixed isomers)</t>
  </si>
  <si>
    <t>CHM-0706</t>
  </si>
  <si>
    <t>2,3-DİNİTROTOLUEN</t>
  </si>
  <si>
    <t>602-01-7</t>
  </si>
  <si>
    <t>0726</t>
  </si>
  <si>
    <t>2,3-DINITROTOLUENE</t>
  </si>
  <si>
    <t>CHM-0707</t>
  </si>
  <si>
    <t>2,4-DİNİTROTOLUEN</t>
  </si>
  <si>
    <t>121-14-2</t>
  </si>
  <si>
    <t>572 °F at 760 mmHg (Decomposes) (NTP, 1992)</t>
  </si>
  <si>
    <t>0727</t>
  </si>
  <si>
    <t>2,4-DINITROTOLUENE</t>
  </si>
  <si>
    <t>CHM-0708</t>
  </si>
  <si>
    <t>2,6-DİNİTROTOLUEN</t>
  </si>
  <si>
    <t>606-20-2</t>
  </si>
  <si>
    <t>0728</t>
  </si>
  <si>
    <t>2,6-DINITROTOLUENE</t>
  </si>
  <si>
    <t>CHM-0709</t>
  </si>
  <si>
    <t>3,4-DİNİTROTOLUEN</t>
  </si>
  <si>
    <t>610-39-9</t>
  </si>
  <si>
    <t>336.9 °C /extrapolated/</t>
  </si>
  <si>
    <t>0729</t>
  </si>
  <si>
    <t>3,4-DINITROTOLUENE</t>
  </si>
  <si>
    <t>CHM-0710</t>
  </si>
  <si>
    <t>İNDENO(1,2,3-CD)PİREN</t>
  </si>
  <si>
    <t>193-39-5</t>
  </si>
  <si>
    <t>0730</t>
  </si>
  <si>
    <t>INDENO(1,2,3-cd)PYRENE</t>
  </si>
  <si>
    <t>CHM-0711</t>
  </si>
  <si>
    <t>2-METİLHEPTAN</t>
  </si>
  <si>
    <t>592-27-8</t>
  </si>
  <si>
    <t>0731</t>
  </si>
  <si>
    <t>2-METHYLHEPTANE</t>
  </si>
  <si>
    <t>CHM-0712</t>
  </si>
  <si>
    <t>alpha-METİL STİREN</t>
  </si>
  <si>
    <t>98-83-9</t>
  </si>
  <si>
    <t>0732</t>
  </si>
  <si>
    <t>alpha-METHYL STYRENE</t>
  </si>
  <si>
    <t>2303</t>
  </si>
  <si>
    <t>CHM-0713</t>
  </si>
  <si>
    <t>2-VİNİL TOLUEN</t>
  </si>
  <si>
    <t>611-15-4</t>
  </si>
  <si>
    <t>0733</t>
  </si>
  <si>
    <t>2-VINYL TOLUENE</t>
  </si>
  <si>
    <t>CHM-0714</t>
  </si>
  <si>
    <t>3-VİNİL TOLUEN</t>
  </si>
  <si>
    <t>100-80-1</t>
  </si>
  <si>
    <t>0734</t>
  </si>
  <si>
    <t>3-VINYL TOLUENE</t>
  </si>
  <si>
    <t>CHM-0715</t>
  </si>
  <si>
    <t>4-VİNİL TOLUEN</t>
  </si>
  <si>
    <t>622-97-9</t>
  </si>
  <si>
    <t>0735</t>
  </si>
  <si>
    <t>4-VINYL TOLUENE</t>
  </si>
  <si>
    <t>CHM-0716</t>
  </si>
  <si>
    <t>trans-BETA-METİLSTİREN</t>
  </si>
  <si>
    <t>873-66-5</t>
  </si>
  <si>
    <t>H226, H315, H400</t>
  </si>
  <si>
    <t>0736</t>
  </si>
  <si>
    <t>trans-beta-METHYLSTYRENE</t>
  </si>
  <si>
    <t>CHM-0717</t>
  </si>
  <si>
    <t>2,4,4-TRİMETİL-2-PENTEN</t>
  </si>
  <si>
    <t>107-40-4</t>
  </si>
  <si>
    <t>0737</t>
  </si>
  <si>
    <t>2,4,4-TRIMETHYL-2-PENTENE</t>
  </si>
  <si>
    <t>CHM-0718</t>
  </si>
  <si>
    <t>KALAY(II) KLORİD DİHİDRAT</t>
  </si>
  <si>
    <t>10025-69-1</t>
  </si>
  <si>
    <t>0738</t>
  </si>
  <si>
    <t>TIN (II) CHLORIDE DIHYDRATE</t>
  </si>
  <si>
    <t>3260</t>
  </si>
  <si>
    <t>CHM-0719</t>
  </si>
  <si>
    <t>BENZO(GHI)PERİLEN</t>
  </si>
  <si>
    <t>191-24-2</t>
  </si>
  <si>
    <t>0739</t>
  </si>
  <si>
    <t>BENZO(ghi)PERYLENE</t>
  </si>
  <si>
    <t>CHM-0720</t>
  </si>
  <si>
    <t>KLORDAN (TEKNİK ÜRÜN)</t>
  </si>
  <si>
    <t>57-74-9</t>
  </si>
  <si>
    <t>0740</t>
  </si>
  <si>
    <t>CHLORDANE (TECHNICAL PRODUCT)</t>
  </si>
  <si>
    <t>2996</t>
  </si>
  <si>
    <t>CHM-0721</t>
  </si>
  <si>
    <t>DİMETOAT</t>
  </si>
  <si>
    <t>60-51-5</t>
  </si>
  <si>
    <t>0741</t>
  </si>
  <si>
    <t>DIMETHOATE</t>
  </si>
  <si>
    <t>CHM-0722</t>
  </si>
  <si>
    <t>ENDOSÜLFAN (KARIŞIK İZOMERLER)</t>
  </si>
  <si>
    <t>115-29-7</t>
  </si>
  <si>
    <t>Brown flakes with ch</t>
  </si>
  <si>
    <t>0742</t>
  </si>
  <si>
    <t>ENDOSULFAN (MIXED ISOMERS)</t>
  </si>
  <si>
    <t>CHM-0723</t>
  </si>
  <si>
    <t>HEPTAKLOR</t>
  </si>
  <si>
    <t>76-44-8</t>
  </si>
  <si>
    <t>0743</t>
  </si>
  <si>
    <t>HEPTACHLOR</t>
  </si>
  <si>
    <t>CHM-0724</t>
  </si>
  <si>
    <t>MAGNEZYUM FOSFİD</t>
  </si>
  <si>
    <t>12057-74-8</t>
  </si>
  <si>
    <t>0744</t>
  </si>
  <si>
    <t>MAGNESIUM PHOSPHIDE</t>
  </si>
  <si>
    <t>2011</t>
  </si>
  <si>
    <t>CHM-0725</t>
  </si>
  <si>
    <t>KİNTOZEN</t>
  </si>
  <si>
    <t>82-68-8</t>
  </si>
  <si>
    <t>0745</t>
  </si>
  <si>
    <t>QUINTOZENE</t>
  </si>
  <si>
    <t>CHM-0726</t>
  </si>
  <si>
    <t>RODYUM TRİKLORÜR, TRİHİDRAT</t>
  </si>
  <si>
    <t>13569-65-8</t>
  </si>
  <si>
    <t>H290, H302, H318</t>
  </si>
  <si>
    <t>0746</t>
  </si>
  <si>
    <t>RHODIUM TRICHLORIDE, TRIHYDRATE</t>
  </si>
  <si>
    <t>CHM-0727</t>
  </si>
  <si>
    <t>TETRADİFON</t>
  </si>
  <si>
    <t>116-29-0</t>
  </si>
  <si>
    <t>0747</t>
  </si>
  <si>
    <t>TETRADIFON</t>
  </si>
  <si>
    <t>CHM-0728</t>
  </si>
  <si>
    <t>ASEFAT</t>
  </si>
  <si>
    <t>30560-19-1</t>
  </si>
  <si>
    <t>0748</t>
  </si>
  <si>
    <t>ACEPHATE</t>
  </si>
  <si>
    <t>CHM-0729</t>
  </si>
  <si>
    <t>KLOROBENZILAT</t>
  </si>
  <si>
    <t>510-15-6</t>
  </si>
  <si>
    <t>313 to 316 °F at 0.07 mmHg (NTP, 1992)</t>
  </si>
  <si>
    <t>0749</t>
  </si>
  <si>
    <t>CHLOROBENZILATE</t>
  </si>
  <si>
    <t>CHM-0730</t>
  </si>
  <si>
    <t>TRİKLORONİTROMETAN</t>
  </si>
  <si>
    <t>76-06-2</t>
  </si>
  <si>
    <t>0750</t>
  </si>
  <si>
    <t>TRICHLORONITROMETHANE</t>
  </si>
  <si>
    <t>1580</t>
  </si>
  <si>
    <t>CHM-0731</t>
  </si>
  <si>
    <t>BAKIR SÜLFAT (ANHİDROZ)</t>
  </si>
  <si>
    <t>7758-98-7</t>
  </si>
  <si>
    <t>H302, H319, H400, H410, H411, H412</t>
  </si>
  <si>
    <t>0751</t>
  </si>
  <si>
    <t>COPPER SULFATE (anhydrous)</t>
  </si>
  <si>
    <t>CHM-0732</t>
  </si>
  <si>
    <t>DİKOFOL</t>
  </si>
  <si>
    <t>115-32-2</t>
  </si>
  <si>
    <t>437 °F at 760 mmHg (NTP, 1992)</t>
  </si>
  <si>
    <t>0752</t>
  </si>
  <si>
    <t>DICOFOL</t>
  </si>
  <si>
    <t>CHM-0733</t>
  </si>
  <si>
    <t>EPN</t>
  </si>
  <si>
    <t>2104-64-5</t>
  </si>
  <si>
    <t>0753</t>
  </si>
  <si>
    <t>CHM-0734</t>
  </si>
  <si>
    <t>MANKOZEB</t>
  </si>
  <si>
    <t>8018-01-7</t>
  </si>
  <si>
    <t>0754</t>
  </si>
  <si>
    <t>MANCOZEB</t>
  </si>
  <si>
    <t>CHM-0735</t>
  </si>
  <si>
    <t>METİLARSONİK ASİT</t>
  </si>
  <si>
    <t>124-58-3</t>
  </si>
  <si>
    <t>0755</t>
  </si>
  <si>
    <t>METHYLARSONIC ACID</t>
  </si>
  <si>
    <t>CHM-0736</t>
  </si>
  <si>
    <t>BAKIR 8-KİNOLAT</t>
  </si>
  <si>
    <t>10380-28-6</t>
  </si>
  <si>
    <t>H319, H400, H410</t>
  </si>
  <si>
    <t>0756</t>
  </si>
  <si>
    <t>COPPER 8-QUINOLATE</t>
  </si>
  <si>
    <t>CHM-0737</t>
  </si>
  <si>
    <t>TİRAM</t>
  </si>
  <si>
    <t>137-26-8</t>
  </si>
  <si>
    <t>0757</t>
  </si>
  <si>
    <t>THIRAM</t>
  </si>
  <si>
    <t>CHM-0738</t>
  </si>
  <si>
    <t>VAMİDOTİYON</t>
  </si>
  <si>
    <t>2275-23-2</t>
  </si>
  <si>
    <t>0758</t>
  </si>
  <si>
    <t>VAMIDOTHION</t>
  </si>
  <si>
    <t>CHM-0739</t>
  </si>
  <si>
    <t>4-AMİNOBİFENİL</t>
  </si>
  <si>
    <t>92-67-1</t>
  </si>
  <si>
    <t>0759</t>
  </si>
  <si>
    <t>4-AMINOBIPHENYL</t>
  </si>
  <si>
    <t>CHM-0740</t>
  </si>
  <si>
    <t>KLOROASETON</t>
  </si>
  <si>
    <t>78-95-5</t>
  </si>
  <si>
    <t>H226, H300, H301, H310, H315, H318, H335</t>
  </si>
  <si>
    <t>0760</t>
  </si>
  <si>
    <t>CHLOROACETONE</t>
  </si>
  <si>
    <t>1695</t>
  </si>
  <si>
    <t>flam; skull; corr</t>
  </si>
  <si>
    <t>Yanıcı; Akut Toksisite; corr</t>
  </si>
  <si>
    <t>CHM-0741</t>
  </si>
  <si>
    <t>KÜMEN HİDROPEROKSİT</t>
  </si>
  <si>
    <t>80-15-9</t>
  </si>
  <si>
    <t>Decomposes at 261 °F (NTP, 1992)</t>
  </si>
  <si>
    <t>0761</t>
  </si>
  <si>
    <t>CUMENE HYDROPEROXIDE</t>
  </si>
  <si>
    <t>3107</t>
  </si>
  <si>
    <t>CHM-0742</t>
  </si>
  <si>
    <t>1,3-SİKLOHEKSADİEN</t>
  </si>
  <si>
    <t>592-57-4</t>
  </si>
  <si>
    <t>0762</t>
  </si>
  <si>
    <t>1,3-CYCLOHEXADIENE</t>
  </si>
  <si>
    <t>CHM-0743</t>
  </si>
  <si>
    <t>DİFENAMİD</t>
  </si>
  <si>
    <t>957-51-7</t>
  </si>
  <si>
    <t>0763</t>
  </si>
  <si>
    <t>DIPHENAMID</t>
  </si>
  <si>
    <t>CHM-0744</t>
  </si>
  <si>
    <t>MAGNEZYUM KLORİD ANHİDROZ</t>
  </si>
  <si>
    <t>7786-30-3</t>
  </si>
  <si>
    <t>0764</t>
  </si>
  <si>
    <t>MAGNESIUM CHLORIDE ANHYDROUS</t>
  </si>
  <si>
    <t>CHM-0745</t>
  </si>
  <si>
    <t>KALSİYUM ARSENAT</t>
  </si>
  <si>
    <t>7778-44-1</t>
  </si>
  <si>
    <t>0765</t>
  </si>
  <si>
    <t>CALCIUM ARSENATE</t>
  </si>
  <si>
    <t>1573</t>
  </si>
  <si>
    <t>CHM-0746</t>
  </si>
  <si>
    <t>NİNHİDRİN</t>
  </si>
  <si>
    <t>485-47-2</t>
  </si>
  <si>
    <t>0766</t>
  </si>
  <si>
    <t>NINHYDRIN</t>
  </si>
  <si>
    <t>CHM-0747</t>
  </si>
  <si>
    <t>PARAFORMALDEHİT</t>
  </si>
  <si>
    <t>30525-89-4</t>
  </si>
  <si>
    <t>H228, H300, H302, H315, H317, H319, H330</t>
  </si>
  <si>
    <t>0767</t>
  </si>
  <si>
    <t>PARAFORMALDEHYDE</t>
  </si>
  <si>
    <t>2213</t>
  </si>
  <si>
    <t>CHM-0748</t>
  </si>
  <si>
    <t>FTALİK ASİT</t>
  </si>
  <si>
    <t>88-99-3</t>
  </si>
  <si>
    <t>0768</t>
  </si>
  <si>
    <t>PHTHALIC ACID</t>
  </si>
  <si>
    <t>CHM-0749</t>
  </si>
  <si>
    <t>POTASYUM OKSİT</t>
  </si>
  <si>
    <t>12136-45-7</t>
  </si>
  <si>
    <t>H314</t>
  </si>
  <si>
    <t>0769</t>
  </si>
  <si>
    <t>POTASSIUM OXIDE</t>
  </si>
  <si>
    <t>2033</t>
  </si>
  <si>
    <t>CHM-0750</t>
  </si>
  <si>
    <t>PİROGALLİK ASİT</t>
  </si>
  <si>
    <t>87-66-1</t>
  </si>
  <si>
    <t>H302, H319, H340, H341</t>
  </si>
  <si>
    <t>0770</t>
  </si>
  <si>
    <t>PYROGALLIC ACID</t>
  </si>
  <si>
    <t>CHM-0751</t>
  </si>
  <si>
    <t>SODYUM METİLAT</t>
  </si>
  <si>
    <t>124-41-4</t>
  </si>
  <si>
    <t>H252, H314</t>
  </si>
  <si>
    <t>0771</t>
  </si>
  <si>
    <t>SODIUM METHYLATE</t>
  </si>
  <si>
    <t>1431</t>
  </si>
  <si>
    <t>CHM-0752</t>
  </si>
  <si>
    <t>TARTARİK ASİT</t>
  </si>
  <si>
    <t>133-37-9</t>
  </si>
  <si>
    <t>H318, H335</t>
  </si>
  <si>
    <t>0772</t>
  </si>
  <si>
    <t>TARTARIC ACID</t>
  </si>
  <si>
    <t>CHM-0753</t>
  </si>
  <si>
    <t>p-TOLUENSÜLFONİK ASİT (MAKS. %5 SÜLFÜRIK ASIT)</t>
  </si>
  <si>
    <t>104-15-4</t>
  </si>
  <si>
    <t>H302, H314, H402</t>
  </si>
  <si>
    <t>140 °C @ 20 MM HG</t>
  </si>
  <si>
    <t>0773</t>
  </si>
  <si>
    <t>p-TOLUENESULFONIC ACID (max. 5% sulfuric acid)</t>
  </si>
  <si>
    <t>2585</t>
  </si>
  <si>
    <t>CHM-0754</t>
  </si>
  <si>
    <t>ALDRİN</t>
  </si>
  <si>
    <t>309-00-2</t>
  </si>
  <si>
    <t>0774</t>
  </si>
  <si>
    <t>ALDRIN</t>
  </si>
  <si>
    <t>CHM-0755</t>
  </si>
  <si>
    <t>ANTİMON</t>
  </si>
  <si>
    <t>7440-36-0</t>
  </si>
  <si>
    <t>0775</t>
  </si>
  <si>
    <t>ANTIMONY</t>
  </si>
  <si>
    <t>2871</t>
  </si>
  <si>
    <t>CHM-0756</t>
  </si>
  <si>
    <t>STİBİN</t>
  </si>
  <si>
    <t>7803-52-3</t>
  </si>
  <si>
    <t>H220, H221, H300, H330</t>
  </si>
  <si>
    <t>0776</t>
  </si>
  <si>
    <t>STIBINE</t>
  </si>
  <si>
    <t>2676</t>
  </si>
  <si>
    <t>CHM-0757</t>
  </si>
  <si>
    <t>BARYUM KARBONAT</t>
  </si>
  <si>
    <t>513-77-9</t>
  </si>
  <si>
    <t>0777</t>
  </si>
  <si>
    <t>BARIUM CARBONATE</t>
  </si>
  <si>
    <t>CHM-0758</t>
  </si>
  <si>
    <t>BARYUM OKSİT</t>
  </si>
  <si>
    <t>1304-28-5</t>
  </si>
  <si>
    <t>~2000Â °C</t>
  </si>
  <si>
    <t>0778</t>
  </si>
  <si>
    <t>BARIUM OXIDE</t>
  </si>
  <si>
    <t>1884</t>
  </si>
  <si>
    <t>CHM-0759</t>
  </si>
  <si>
    <t>p-BENZOKİNON</t>
  </si>
  <si>
    <t>106-51-4</t>
  </si>
  <si>
    <t>SUBLIMES (NTP, 1992)</t>
  </si>
  <si>
    <t>0779</t>
  </si>
  <si>
    <t>p-BENZOQUINONE</t>
  </si>
  <si>
    <t>2587</t>
  </si>
  <si>
    <t>CHM-0760</t>
  </si>
  <si>
    <t>KLORANİL</t>
  </si>
  <si>
    <t>118-75-2</t>
  </si>
  <si>
    <t>0780</t>
  </si>
  <si>
    <t>CHLORANIL</t>
  </si>
  <si>
    <t>CHM-0761</t>
  </si>
  <si>
    <t>KLORMEKAT KLORİD</t>
  </si>
  <si>
    <t>999-81-5</t>
  </si>
  <si>
    <t>0781</t>
  </si>
  <si>
    <t>CHLORMEQUAT CHLORIDE</t>
  </si>
  <si>
    <t>CHM-0762</t>
  </si>
  <si>
    <t>KOBALT</t>
  </si>
  <si>
    <t>7440-48-4</t>
  </si>
  <si>
    <t>0782</t>
  </si>
  <si>
    <t>COBALT</t>
  </si>
  <si>
    <t>CHM-0763</t>
  </si>
  <si>
    <t>KOBALT(II) KLORİD</t>
  </si>
  <si>
    <t>7646-79-9</t>
  </si>
  <si>
    <t>H302, H312, H317, H319, H334, H340, H341, H351, H360, H361, H373, H400, H410, H411, H412</t>
  </si>
  <si>
    <t>0783</t>
  </si>
  <si>
    <t>COBALT (II) CHLORIDE</t>
  </si>
  <si>
    <t>CHM-0764</t>
  </si>
  <si>
    <t>KOBALT(II) NİTRAT HEKSAHİDRAT</t>
  </si>
  <si>
    <t>10026-22-9</t>
  </si>
  <si>
    <t>0784</t>
  </si>
  <si>
    <t>COBALT(II) NITRATE HEXAHYDRATE</t>
  </si>
  <si>
    <t>CHM-0765</t>
  </si>
  <si>
    <t>KOBALT(III) OKSİT</t>
  </si>
  <si>
    <t>1308-04-9</t>
  </si>
  <si>
    <t>0785</t>
  </si>
  <si>
    <t>COBALT (III) OXIDE</t>
  </si>
  <si>
    <t>CHM-0766</t>
  </si>
  <si>
    <t>DAZOMET</t>
  </si>
  <si>
    <t>533-74-4</t>
  </si>
  <si>
    <t>0786</t>
  </si>
  <si>
    <t>CHM-0767</t>
  </si>
  <si>
    <t>DİELDRİN</t>
  </si>
  <si>
    <t>60-57-1</t>
  </si>
  <si>
    <t>0787</t>
  </si>
  <si>
    <t>DIELDRIN</t>
  </si>
  <si>
    <t>CHM-0768</t>
  </si>
  <si>
    <t>DİETİLEN GLİKOL MONOBÜTİL ETER</t>
  </si>
  <si>
    <t>112-34-5</t>
  </si>
  <si>
    <t>0788</t>
  </si>
  <si>
    <t>DIETHYLENE GLYCOL MONOBUTYL ETHER</t>
  </si>
  <si>
    <t>CHM-0769</t>
  </si>
  <si>
    <t>DİETİLEN GLİKOL MONOBÜTİL ETER ASETAT</t>
  </si>
  <si>
    <t>124-17-4</t>
  </si>
  <si>
    <t>0789</t>
  </si>
  <si>
    <t>DIETHYLENE GLYCOL MONOBUTYL ETHER ACETATE</t>
  </si>
  <si>
    <t>CHM-0770</t>
  </si>
  <si>
    <t>İZOPROPİLİDEN GLİSEROL</t>
  </si>
  <si>
    <t>100-79-8</t>
  </si>
  <si>
    <t>0790</t>
  </si>
  <si>
    <t>ISOPROPYLIDENE GLYCEROL</t>
  </si>
  <si>
    <t>CHM-0771</t>
  </si>
  <si>
    <t>DİFENİL ETER</t>
  </si>
  <si>
    <t>101-84-8</t>
  </si>
  <si>
    <t>H302, H315, H319, H400, H410, H411, H412</t>
  </si>
  <si>
    <t>0791</t>
  </si>
  <si>
    <t>DIPHENYL ETHER</t>
  </si>
  <si>
    <t>CHM-0772</t>
  </si>
  <si>
    <t>FERBAM</t>
  </si>
  <si>
    <t>14484-64-1</t>
  </si>
  <si>
    <t>0792</t>
  </si>
  <si>
    <t>CHM-0773</t>
  </si>
  <si>
    <t>DEMİR(II) OKSİT</t>
  </si>
  <si>
    <t>1345-25-1</t>
  </si>
  <si>
    <t>0793</t>
  </si>
  <si>
    <t>FERROUS OXIDE</t>
  </si>
  <si>
    <t>CHM-0774</t>
  </si>
  <si>
    <t>FURFURİL ALKOL</t>
  </si>
  <si>
    <t>98-00-0</t>
  </si>
  <si>
    <t>H300, H301, H319, H330, H335, H351, H373</t>
  </si>
  <si>
    <t>0794</t>
  </si>
  <si>
    <t>FURFURYL ALCOHOL</t>
  </si>
  <si>
    <t>2874</t>
  </si>
  <si>
    <t>CHM-0775</t>
  </si>
  <si>
    <t>alpha-HEKSAKLOROSİKLOHEKSAN</t>
  </si>
  <si>
    <t>319-84-6</t>
  </si>
  <si>
    <t>0795</t>
  </si>
  <si>
    <t>alpha-HEXACHLOROCYCLOHEXANE</t>
  </si>
  <si>
    <t>CHM-0776</t>
  </si>
  <si>
    <t>beta-HEKSAKLOROSİKLOHEKSAN</t>
  </si>
  <si>
    <t>319-85-7</t>
  </si>
  <si>
    <t>0796</t>
  </si>
  <si>
    <t>beta-HEXACHLOROCYCLOHEXANE</t>
  </si>
  <si>
    <t>CHM-0777</t>
  </si>
  <si>
    <t>FOSALON</t>
  </si>
  <si>
    <t>2310-17-0</t>
  </si>
  <si>
    <t>H301, H317, H332, H400, H410</t>
  </si>
  <si>
    <t>0797</t>
  </si>
  <si>
    <t>PHOSALONE</t>
  </si>
  <si>
    <t>CHM-0778</t>
  </si>
  <si>
    <t>İZOAMİL ALKOL</t>
  </si>
  <si>
    <t>123-51-3</t>
  </si>
  <si>
    <t>0798</t>
  </si>
  <si>
    <t>ISOAMYL ALCOHOL</t>
  </si>
  <si>
    <t>CHM-0779</t>
  </si>
  <si>
    <t>MALEİK ANHİDRİT</t>
  </si>
  <si>
    <t>108-31-6</t>
  </si>
  <si>
    <t>H302, H312, H314, H317, H334, H402</t>
  </si>
  <si>
    <t>0799</t>
  </si>
  <si>
    <t>MALEIC ANHYDRIDE</t>
  </si>
  <si>
    <t>2215</t>
  </si>
  <si>
    <t>CHM-0780</t>
  </si>
  <si>
    <t>PROPİLEN GLİKOL MONOMETİL ETER ASETAT</t>
  </si>
  <si>
    <t>108-65-6</t>
  </si>
  <si>
    <t>0800</t>
  </si>
  <si>
    <t>PROPYLENE GLYCOL MONOMETHYL ETHER ACETATE</t>
  </si>
  <si>
    <t>CHM-0781</t>
  </si>
  <si>
    <t>2-METİLPİRİDİN</t>
  </si>
  <si>
    <t>109-06-8</t>
  </si>
  <si>
    <t>0801</t>
  </si>
  <si>
    <t>2-METHYLPYRIDINE</t>
  </si>
  <si>
    <t>2313</t>
  </si>
  <si>
    <t>CHM-0782</t>
  </si>
  <si>
    <t>3-METİLPİRİDİN</t>
  </si>
  <si>
    <t>108-99-6</t>
  </si>
  <si>
    <t>0802</t>
  </si>
  <si>
    <t>3-METHYLPYRIDINE</t>
  </si>
  <si>
    <t>CHM-0783</t>
  </si>
  <si>
    <t>4-METİLPİRİDİN</t>
  </si>
  <si>
    <t>108-89-4</t>
  </si>
  <si>
    <t>0803</t>
  </si>
  <si>
    <t>4-METHYLPYRIDINE</t>
  </si>
  <si>
    <t>CHM-0784</t>
  </si>
  <si>
    <t>4-NİTRO-N-FENİLBENZENAMİN</t>
  </si>
  <si>
    <t>836-30-6</t>
  </si>
  <si>
    <t>0804</t>
  </si>
  <si>
    <t>4-NITRO-N-PHENYLBENZENAMINE</t>
  </si>
  <si>
    <t>1325</t>
  </si>
  <si>
    <t>CHM-0785</t>
  </si>
  <si>
    <t>p-FENİLENDİAMİN</t>
  </si>
  <si>
    <t>106-50-3</t>
  </si>
  <si>
    <t>0805</t>
  </si>
  <si>
    <t>p-PHENYLENEDIAMINE</t>
  </si>
  <si>
    <t>CHM-0786</t>
  </si>
  <si>
    <t>PROPİYONİK ASİT</t>
  </si>
  <si>
    <t>79-09-4</t>
  </si>
  <si>
    <t>H226, H314, H335, H402</t>
  </si>
  <si>
    <t>0806</t>
  </si>
  <si>
    <t>PROPIONIC ACID</t>
  </si>
  <si>
    <t>1848</t>
  </si>
  <si>
    <t>CHM-0787</t>
  </si>
  <si>
    <t>TRİDİMİT</t>
  </si>
  <si>
    <t>15468-32-3</t>
  </si>
  <si>
    <t>0807</t>
  </si>
  <si>
    <t>TRIDYMITE</t>
  </si>
  <si>
    <t>CHM-0788</t>
  </si>
  <si>
    <t>KUVARS</t>
  </si>
  <si>
    <t>14808-60-7</t>
  </si>
  <si>
    <t>0808</t>
  </si>
  <si>
    <t>QUARTZ</t>
  </si>
  <si>
    <t>CHM-0789</t>
  </si>
  <si>
    <t>KRİSTOBALİT</t>
  </si>
  <si>
    <t>14464-46-1</t>
  </si>
  <si>
    <t>0809</t>
  </si>
  <si>
    <t>CRISTOBALITE</t>
  </si>
  <si>
    <t>CHM-0790</t>
  </si>
  <si>
    <t>GÜMÜŞ</t>
  </si>
  <si>
    <t>7440-22-4</t>
  </si>
  <si>
    <t>0810</t>
  </si>
  <si>
    <t>SILVER</t>
  </si>
  <si>
    <t>CHM-0791</t>
  </si>
  <si>
    <t>ÇİNKO KROMAT</t>
  </si>
  <si>
    <t>13530-65-9</t>
  </si>
  <si>
    <t>H315, H317, H351, H360, H361, H370, H371, H373, H400, H410, H411, H412</t>
  </si>
  <si>
    <t>0811</t>
  </si>
  <si>
    <t>ZINC CHROMATE</t>
  </si>
  <si>
    <t>CHM-0792</t>
  </si>
  <si>
    <t>KETEN</t>
  </si>
  <si>
    <t>463-51-4</t>
  </si>
  <si>
    <t>0812</t>
  </si>
  <si>
    <t>KETENE</t>
  </si>
  <si>
    <t>CHM-0793</t>
  </si>
  <si>
    <t>LİTYUM HİDRİD</t>
  </si>
  <si>
    <t>7580-67-8</t>
  </si>
  <si>
    <t>H221, H260, H261, H300, H301, H314, H330</t>
  </si>
  <si>
    <t>0813</t>
  </si>
  <si>
    <t>LITHIUM HYDRIDE</t>
  </si>
  <si>
    <t>1414</t>
  </si>
  <si>
    <t>CHM-0794</t>
  </si>
  <si>
    <t>MESİTİL OKSİT</t>
  </si>
  <si>
    <t>141-79-7</t>
  </si>
  <si>
    <t>H226, H302, H319, H331, H335, H370, H371, H373, H402</t>
  </si>
  <si>
    <t>0814</t>
  </si>
  <si>
    <t>MESITYL OXIDE</t>
  </si>
  <si>
    <t>1229</t>
  </si>
  <si>
    <t>CHM-0795</t>
  </si>
  <si>
    <t>METİL İZOAMİL KETON</t>
  </si>
  <si>
    <t>110-12-3</t>
  </si>
  <si>
    <t>0815</t>
  </si>
  <si>
    <t>METHYL ISOAMYL KETONE</t>
  </si>
  <si>
    <t>2302</t>
  </si>
  <si>
    <t>CHM-0796</t>
  </si>
  <si>
    <t>METİL PROPİL KETON</t>
  </si>
  <si>
    <t>107-87-9</t>
  </si>
  <si>
    <t>0816</t>
  </si>
  <si>
    <t>METHYL PROPYL KETONE</t>
  </si>
  <si>
    <t>1249</t>
  </si>
  <si>
    <t>CHM-0797</t>
  </si>
  <si>
    <t>NİTROETAN</t>
  </si>
  <si>
    <t>79-24-3</t>
  </si>
  <si>
    <t>0817</t>
  </si>
  <si>
    <t>NITROETHANE</t>
  </si>
  <si>
    <t>2842</t>
  </si>
  <si>
    <t>CHM-0798</t>
  </si>
  <si>
    <t>OKSİJEN DİFLORÜR</t>
  </si>
  <si>
    <t>7783-41-7</t>
  </si>
  <si>
    <t>H280, H300, H330</t>
  </si>
  <si>
    <t>0818</t>
  </si>
  <si>
    <t>OXYGEN DIFLUORIDE</t>
  </si>
  <si>
    <t>2190</t>
  </si>
  <si>
    <t>flam circle; cylinder; skull</t>
  </si>
  <si>
    <t>flam circle; Basınçlı Gaz; Akut Toksisite</t>
  </si>
  <si>
    <t>CHM-0799</t>
  </si>
  <si>
    <t>PENTABORAN</t>
  </si>
  <si>
    <t>19624-22-7</t>
  </si>
  <si>
    <t>H226, H300, H315, H319, H330, H335, H336, H373</t>
  </si>
  <si>
    <t>0819</t>
  </si>
  <si>
    <t>PENTABORANE</t>
  </si>
  <si>
    <t>1380</t>
  </si>
  <si>
    <t>CHM-0800</t>
  </si>
  <si>
    <t>VİNİL SİKLOHEKSEN DİOKSİT</t>
  </si>
  <si>
    <t>106-87-6</t>
  </si>
  <si>
    <t>0820</t>
  </si>
  <si>
    <t>VINYL CYCLOHEXENE DIOXIDE</t>
  </si>
  <si>
    <t>CHM-0801</t>
  </si>
  <si>
    <t>WARFARİN</t>
  </si>
  <si>
    <t>81-81-2</t>
  </si>
  <si>
    <t>H300, H312, H360, H361, H373, H402</t>
  </si>
  <si>
    <t>0821</t>
  </si>
  <si>
    <t>WARFARIN</t>
  </si>
  <si>
    <t>CHM-0802</t>
  </si>
  <si>
    <t>2-(ASETİLOKSİ)BENZOİK ASİT</t>
  </si>
  <si>
    <t>50-78-2</t>
  </si>
  <si>
    <t>284 °F at 760 mmHg (decomposes) (NTP, 1992)</t>
  </si>
  <si>
    <t>0822</t>
  </si>
  <si>
    <t>2-(ACETYLOXY)BENZOIC ACID</t>
  </si>
  <si>
    <t>CHM-0803</t>
  </si>
  <si>
    <t>ALİLAMİN</t>
  </si>
  <si>
    <t>107-11-9</t>
  </si>
  <si>
    <t>H225, H226, H300, H301, H310, H314, H335, H400</t>
  </si>
  <si>
    <t>0823</t>
  </si>
  <si>
    <t>ALLYLAMINE</t>
  </si>
  <si>
    <t>2334</t>
  </si>
  <si>
    <t>CHM-0804</t>
  </si>
  <si>
    <t>2-AMİNOFENOL</t>
  </si>
  <si>
    <t>95-55-6</t>
  </si>
  <si>
    <t>Sublimes at 307 °F at 11 mmHg (NTP, 1992)</t>
  </si>
  <si>
    <t>0824</t>
  </si>
  <si>
    <t>2-AMINOPHENOL</t>
  </si>
  <si>
    <t>2512</t>
  </si>
  <si>
    <t>CHM-0805</t>
  </si>
  <si>
    <t>ANTRASEN</t>
  </si>
  <si>
    <t>120-12-7</t>
  </si>
  <si>
    <t>0825</t>
  </si>
  <si>
    <t>ANTHRACENE</t>
  </si>
  <si>
    <t>CHM-0806</t>
  </si>
  <si>
    <t>AZİNFOS-METİL</t>
  </si>
  <si>
    <t>86-50-0</t>
  </si>
  <si>
    <t>H300, H317, H319, H373, H400, H410, H411, H412</t>
  </si>
  <si>
    <t>0826</t>
  </si>
  <si>
    <t>AZINPHOS-METHYL</t>
  </si>
  <si>
    <t>CHM-0807</t>
  </si>
  <si>
    <t>BARYUM SÜLFAT</t>
  </si>
  <si>
    <t>7727-43-7</t>
  </si>
  <si>
    <t>2912 °F at 760 mmHg (Decomposes) (NIOSH, 2024)</t>
  </si>
  <si>
    <t>0827</t>
  </si>
  <si>
    <t>BARIUM SULFATE</t>
  </si>
  <si>
    <t>CHM-0808</t>
  </si>
  <si>
    <t>BENTAZON</t>
  </si>
  <si>
    <t>25057-89-0</t>
  </si>
  <si>
    <t>0828</t>
  </si>
  <si>
    <t>BENTAZONE</t>
  </si>
  <si>
    <t>CHM-0809</t>
  </si>
  <si>
    <t>DİİZOBÜTİL FTALAT</t>
  </si>
  <si>
    <t>84-69-5</t>
  </si>
  <si>
    <t>H360, H361</t>
  </si>
  <si>
    <t>0829</t>
  </si>
  <si>
    <t>DIISOBUTYL PHTHALATE</t>
  </si>
  <si>
    <t>CHM-0810</t>
  </si>
  <si>
    <t>DİİZONONİL FTALAT</t>
  </si>
  <si>
    <t>28553-12-0</t>
  </si>
  <si>
    <t>0831</t>
  </si>
  <si>
    <t>DIISONONYL PHTHALATE</t>
  </si>
  <si>
    <t>CHM-0811</t>
  </si>
  <si>
    <t>DI-N-HEPTİL FTALAT</t>
  </si>
  <si>
    <t>3648-21-3</t>
  </si>
  <si>
    <t>0832</t>
  </si>
  <si>
    <t>DI-n-HEPTYL PHTHALATE</t>
  </si>
  <si>
    <t>CHM-0812</t>
  </si>
  <si>
    <t>BENZİL ALKOL</t>
  </si>
  <si>
    <t>100-51-6</t>
  </si>
  <si>
    <t>0833</t>
  </si>
  <si>
    <t>BENZYL ALCOHOL</t>
  </si>
  <si>
    <t>CHM-0813</t>
  </si>
  <si>
    <t>BÜTİL BENZİL FTALAT</t>
  </si>
  <si>
    <t>85-68-7</t>
  </si>
  <si>
    <t>0834</t>
  </si>
  <si>
    <t>BUTYL BENZYL PHTHALATE</t>
  </si>
  <si>
    <t>CHM-0814</t>
  </si>
  <si>
    <t>BİNAPAKRİL</t>
  </si>
  <si>
    <t>485-31-4</t>
  </si>
  <si>
    <t>0835</t>
  </si>
  <si>
    <t>BINAPACRYL</t>
  </si>
  <si>
    <t>CHM-0815</t>
  </si>
  <si>
    <t>BOR OKSİT</t>
  </si>
  <si>
    <t>1303-86-2</t>
  </si>
  <si>
    <t>H319, H335, H360, H361</t>
  </si>
  <si>
    <t>3380 °F at 760 mmHg (NIOSH, 2024)</t>
  </si>
  <si>
    <t>0836</t>
  </si>
  <si>
    <t>BORON OXIDE</t>
  </si>
  <si>
    <t>CHM-0816</t>
  </si>
  <si>
    <t>BROMOTRİFLÜOROMETAN</t>
  </si>
  <si>
    <t>75-63-8</t>
  </si>
  <si>
    <t>0837</t>
  </si>
  <si>
    <t>BROMOTRIFLUOROMETHANE</t>
  </si>
  <si>
    <t>1009</t>
  </si>
  <si>
    <t>CHM-0817</t>
  </si>
  <si>
    <t>2-BÜTOKSİETİL ASETAT</t>
  </si>
  <si>
    <t>112-07-2</t>
  </si>
  <si>
    <t>0839</t>
  </si>
  <si>
    <t>2-BUTOXYETHYL ACETATE</t>
  </si>
  <si>
    <t>CHM-0818</t>
  </si>
  <si>
    <t>sec-BÜTİL ASETAT</t>
  </si>
  <si>
    <t>105-46-4</t>
  </si>
  <si>
    <t>0840</t>
  </si>
  <si>
    <t>sec-BUTYL ACETATE</t>
  </si>
  <si>
    <t>CHM-0819</t>
  </si>
  <si>
    <t>BÜTİLLENMİŞ HİDROKSİTOLUEN</t>
  </si>
  <si>
    <t>128-37-0</t>
  </si>
  <si>
    <t>0841</t>
  </si>
  <si>
    <t>BUTYLATED HYDROXYTOLUENE</t>
  </si>
  <si>
    <t>CHM-0820</t>
  </si>
  <si>
    <t>tert-BÜTİL HİDROPEROKSİT (%70 SULU ÇÖZELTI)</t>
  </si>
  <si>
    <t>75-91-2</t>
  </si>
  <si>
    <t>192 °F at 760 mmHg (decomposes); 104 °F at 23 mmHg (NTP, 1992)</t>
  </si>
  <si>
    <t>0842</t>
  </si>
  <si>
    <t>tert-BUTYL HYDROPEROXIDE (70 % AQUEOUS SOLUTION)</t>
  </si>
  <si>
    <t>3109</t>
  </si>
  <si>
    <t>CHM-0821</t>
  </si>
  <si>
    <t>KAMFEKLOR</t>
  </si>
  <si>
    <t>8001-35-2</t>
  </si>
  <si>
    <t>0843</t>
  </si>
  <si>
    <t>CAMPHECHLOR</t>
  </si>
  <si>
    <t>CHM-0822</t>
  </si>
  <si>
    <t>KLOROASETONİTRİL</t>
  </si>
  <si>
    <t>107-14-2</t>
  </si>
  <si>
    <t>0844</t>
  </si>
  <si>
    <t>CHLOROACETONITRILE</t>
  </si>
  <si>
    <t>2668</t>
  </si>
  <si>
    <t>CHM-0823</t>
  </si>
  <si>
    <t>KLOROASETİL KLORİD</t>
  </si>
  <si>
    <t>79-04-9</t>
  </si>
  <si>
    <t>0845</t>
  </si>
  <si>
    <t>CHLOROACETYL CHLORIDE</t>
  </si>
  <si>
    <t>1752</t>
  </si>
  <si>
    <t>CHM-0824</t>
  </si>
  <si>
    <t>1-KLORO-4-NİTROBENZEN</t>
  </si>
  <si>
    <t>100-00-5</t>
  </si>
  <si>
    <t>H301, H351, H373, H400</t>
  </si>
  <si>
    <t>0846</t>
  </si>
  <si>
    <t>1-CHLORO-4-NITROBENZENE</t>
  </si>
  <si>
    <t>CHM-0825</t>
  </si>
  <si>
    <t>HAFNIYUM TOZU (PIROFORIK)</t>
  </si>
  <si>
    <t>7440-58-6</t>
  </si>
  <si>
    <t>0847</t>
  </si>
  <si>
    <t>HAFNIUM POWDER (pyrophoric)</t>
  </si>
  <si>
    <t>2545</t>
  </si>
  <si>
    <t>CHM-0826</t>
  </si>
  <si>
    <t>KLOROPENTAFLÜOROETAN</t>
  </si>
  <si>
    <t>76-15-3</t>
  </si>
  <si>
    <t>0848</t>
  </si>
  <si>
    <t>CHLOROPENTAFLUOROETHANE</t>
  </si>
  <si>
    <t>1020</t>
  </si>
  <si>
    <t>CHM-0827</t>
  </si>
  <si>
    <t>o-KLOROFENOL</t>
  </si>
  <si>
    <t>95-57-8</t>
  </si>
  <si>
    <t>0849</t>
  </si>
  <si>
    <t>o-CHLOROPHENOL</t>
  </si>
  <si>
    <t>2021</t>
  </si>
  <si>
    <t>CHM-0828</t>
  </si>
  <si>
    <t>p-KLOROFENOL</t>
  </si>
  <si>
    <t>106-48-9</t>
  </si>
  <si>
    <t>0850</t>
  </si>
  <si>
    <t>p-CHLOROPHENOL</t>
  </si>
  <si>
    <t>CHM-0829</t>
  </si>
  <si>
    <t>KLORPIRIFOS</t>
  </si>
  <si>
    <t>2921-88-2</t>
  </si>
  <si>
    <t>H301, H373, H400, H410, H411, H412</t>
  </si>
  <si>
    <t>0851</t>
  </si>
  <si>
    <t>CHLORPYRIFOS</t>
  </si>
  <si>
    <t>CHM-0830</t>
  </si>
  <si>
    <t>KLORTİYAMİD (OBSOLETE)</t>
  </si>
  <si>
    <t>1918-13-4</t>
  </si>
  <si>
    <t>0852</t>
  </si>
  <si>
    <t>CHLORTHIAMID (OBSOLETE)</t>
  </si>
  <si>
    <t>CHM-0831</t>
  </si>
  <si>
    <t>KOLİN KLORİD</t>
  </si>
  <si>
    <t>67-48-1</t>
  </si>
  <si>
    <t>0853</t>
  </si>
  <si>
    <t>CHOLINE CHLORIDE</t>
  </si>
  <si>
    <t>CHM-0832</t>
  </si>
  <si>
    <t>KROMİL KLORİD</t>
  </si>
  <si>
    <t>14977-61-8</t>
  </si>
  <si>
    <t>0854</t>
  </si>
  <si>
    <t>CHROMYL CHLORIDE</t>
  </si>
  <si>
    <t>1758</t>
  </si>
  <si>
    <t>CHM-0833</t>
  </si>
  <si>
    <t>SİTRİK ASİT</t>
  </si>
  <si>
    <t>77-92-9</t>
  </si>
  <si>
    <t>0855</t>
  </si>
  <si>
    <t>CITRIC ACID</t>
  </si>
  <si>
    <t>CHM-0834</t>
  </si>
  <si>
    <t>SİKLOHEKSİL İZOSİYANAT</t>
  </si>
  <si>
    <t>3173-53-3</t>
  </si>
  <si>
    <t>0856</t>
  </si>
  <si>
    <t>CYCLOHEXYL ISOCYANATE</t>
  </si>
  <si>
    <t>2488</t>
  </si>
  <si>
    <t>CHM-0835</t>
  </si>
  <si>
    <t>SİKLOPENTADİEN</t>
  </si>
  <si>
    <t>542-92-7</t>
  </si>
  <si>
    <t>H226, H301, H319, H335</t>
  </si>
  <si>
    <t>0857</t>
  </si>
  <si>
    <t>CYCLOPENTADIENE</t>
  </si>
  <si>
    <t>CHM-0836</t>
  </si>
  <si>
    <t>SİHALOTRİN</t>
  </si>
  <si>
    <t>68085-85-8</t>
  </si>
  <si>
    <t>Does not boil at atmospheric pressure</t>
  </si>
  <si>
    <t>0858</t>
  </si>
  <si>
    <t>CYHALOTHRIN</t>
  </si>
  <si>
    <t>2902</t>
  </si>
  <si>
    <t>CHM-0837</t>
  </si>
  <si>
    <t>LAMBDA-SİHALOTRİN</t>
  </si>
  <si>
    <t>91465-08-6</t>
  </si>
  <si>
    <t>0859</t>
  </si>
  <si>
    <t>LAMBDA-CYHALOTHRIN</t>
  </si>
  <si>
    <t>CHM-0838</t>
  </si>
  <si>
    <t>KALAY(II) FLORÜR</t>
  </si>
  <si>
    <t>7783-47-3</t>
  </si>
  <si>
    <t>0860</t>
  </si>
  <si>
    <t>TIN (II) FLUORIDE</t>
  </si>
  <si>
    <t>CHM-0839</t>
  </si>
  <si>
    <t>DEMETON (KARIŞIK İZOMERLER)</t>
  </si>
  <si>
    <t>8065-48-3</t>
  </si>
  <si>
    <t>0861</t>
  </si>
  <si>
    <t>DEMETON (MIXED ISOMERS)</t>
  </si>
  <si>
    <t>CHM-0840</t>
  </si>
  <si>
    <t>DEMETON-METİL</t>
  </si>
  <si>
    <t>8022-00-2</t>
  </si>
  <si>
    <t>0862</t>
  </si>
  <si>
    <t>DEMETON-METHYL</t>
  </si>
  <si>
    <t>CHM-0841</t>
  </si>
  <si>
    <t>DEMETON-S</t>
  </si>
  <si>
    <t>126-75-0</t>
  </si>
  <si>
    <t>0864</t>
  </si>
  <si>
    <t>CHM-0842</t>
  </si>
  <si>
    <t>GLUKOZ</t>
  </si>
  <si>
    <t>50-99-7</t>
  </si>
  <si>
    <t>greater than 212 °F at 760 mmHg (USCG, 1999)</t>
  </si>
  <si>
    <t>0865</t>
  </si>
  <si>
    <t>GLUCOSE</t>
  </si>
  <si>
    <t>CHM-0843</t>
  </si>
  <si>
    <t>DİALİLAMİN</t>
  </si>
  <si>
    <t>124-02-7</t>
  </si>
  <si>
    <t>H225, H226, H302, H311, H314, H335, H400</t>
  </si>
  <si>
    <t>0866</t>
  </si>
  <si>
    <t>DIALLYLAMINE</t>
  </si>
  <si>
    <t>2359</t>
  </si>
  <si>
    <t>CHM-0844</t>
  </si>
  <si>
    <t>DİKLOBENİL</t>
  </si>
  <si>
    <t>1194-65-6</t>
  </si>
  <si>
    <t>0867</t>
  </si>
  <si>
    <t>DICHLOBENIL</t>
  </si>
  <si>
    <t>CHM-0845</t>
  </si>
  <si>
    <t>DİKLOROASETİK ASİT</t>
  </si>
  <si>
    <t>79-43-6</t>
  </si>
  <si>
    <t>0868</t>
  </si>
  <si>
    <t>DICHLOROACETIC ACID</t>
  </si>
  <si>
    <t>1764</t>
  </si>
  <si>
    <t>CHM-0846</t>
  </si>
  <si>
    <t>2,2-DİKLOROASETİL KLORİD</t>
  </si>
  <si>
    <t>79-36-7</t>
  </si>
  <si>
    <t>0869</t>
  </si>
  <si>
    <t>2,2-DICHLOROACETYL CHLORIDE</t>
  </si>
  <si>
    <t>1765</t>
  </si>
  <si>
    <t>CHM-0847</t>
  </si>
  <si>
    <t>DİMETİLDİKLOROSİLAN</t>
  </si>
  <si>
    <t>75-78-5</t>
  </si>
  <si>
    <t>0870</t>
  </si>
  <si>
    <t>DIMETHYLDICHLOROSILANE</t>
  </si>
  <si>
    <t>1162</t>
  </si>
  <si>
    <t>CHM-0848</t>
  </si>
  <si>
    <t>DİKLORAN</t>
  </si>
  <si>
    <t>99-30-9</t>
  </si>
  <si>
    <t>0871</t>
  </si>
  <si>
    <t>DICLORAN</t>
  </si>
  <si>
    <t>CHM-0849</t>
  </si>
  <si>
    <t>DİKROTOFOS</t>
  </si>
  <si>
    <t>141-66-2</t>
  </si>
  <si>
    <t>752 °F at 760 mmHg (EPA, 1998)</t>
  </si>
  <si>
    <t>0872</t>
  </si>
  <si>
    <t>DICROTOPHOS</t>
  </si>
  <si>
    <t>CHM-0850</t>
  </si>
  <si>
    <t>DİSİKLOPENTADİEN</t>
  </si>
  <si>
    <t>77-73-6</t>
  </si>
  <si>
    <t>342 °F at 760 mmHg (NTP, 1992)</t>
  </si>
  <si>
    <t>0873</t>
  </si>
  <si>
    <t>DICYCLOPENTADIENE</t>
  </si>
  <si>
    <t>2048</t>
  </si>
  <si>
    <t>CHM-0851</t>
  </si>
  <si>
    <t>3-PENTANON</t>
  </si>
  <si>
    <t>96-22-0</t>
  </si>
  <si>
    <t>H225, H226, H319, H335, H336</t>
  </si>
  <si>
    <t>0874</t>
  </si>
  <si>
    <t>3-PENTANONE</t>
  </si>
  <si>
    <t>1156</t>
  </si>
  <si>
    <t>CHM-0852</t>
  </si>
  <si>
    <t>DİİZODESİL FTALAT</t>
  </si>
  <si>
    <t>26761-40-0</t>
  </si>
  <si>
    <t>0875</t>
  </si>
  <si>
    <t>DIISODECYL PHTHALATE</t>
  </si>
  <si>
    <t>CHM-0853</t>
  </si>
  <si>
    <t>DİİZOOKTİL FTALAT</t>
  </si>
  <si>
    <t>27554-26-3</t>
  </si>
  <si>
    <t>0876</t>
  </si>
  <si>
    <t>DIISOOCTYL PHTHALATE</t>
  </si>
  <si>
    <t>CHM-0854</t>
  </si>
  <si>
    <t>N,N-DİMETİLANİLİN</t>
  </si>
  <si>
    <t>121-69-7</t>
  </si>
  <si>
    <t>0877</t>
  </si>
  <si>
    <t>N,N-DIMETHYLANILINE</t>
  </si>
  <si>
    <t>2253</t>
  </si>
  <si>
    <t>CHM-0855</t>
  </si>
  <si>
    <t>DİMETİL SÜLFİD</t>
  </si>
  <si>
    <t>75-18-3</t>
  </si>
  <si>
    <t>0878</t>
  </si>
  <si>
    <t>DIMETHYLSULPHIDE</t>
  </si>
  <si>
    <t>1164</t>
  </si>
  <si>
    <t>CHM-0856</t>
  </si>
  <si>
    <t>2,4,5-TRİKLOROFENOL</t>
  </si>
  <si>
    <t>95-95-4</t>
  </si>
  <si>
    <t>0879</t>
  </si>
  <si>
    <t>2,4,5-TRICHLOROPHENOL</t>
  </si>
  <si>
    <t>CHM-0857</t>
  </si>
  <si>
    <t>OKSİJEN (SIVILAŞTIRILMIŞ)</t>
  </si>
  <si>
    <t>0880</t>
  </si>
  <si>
    <t>OXYGEN (LIQUEFIED)</t>
  </si>
  <si>
    <t>1073</t>
  </si>
  <si>
    <t>CHM-0858</t>
  </si>
  <si>
    <t>DİNOKAP (İZOMER KARIŞIMI)</t>
  </si>
  <si>
    <t>39300-45-3</t>
  </si>
  <si>
    <t>0881</t>
  </si>
  <si>
    <t>DINOCAP (ISOMER MIXTURE)</t>
  </si>
  <si>
    <t>CHM-0859</t>
  </si>
  <si>
    <t>DİNOSEB ASETAT</t>
  </si>
  <si>
    <t>2813-95-8</t>
  </si>
  <si>
    <t>0882</t>
  </si>
  <si>
    <t>DINOSEB ACETATE</t>
  </si>
  <si>
    <t>3014</t>
  </si>
  <si>
    <t>CHM-0860</t>
  </si>
  <si>
    <t>DİOKSATİYON (İZOMER KARIŞIMI)</t>
  </si>
  <si>
    <t>78-34-2</t>
  </si>
  <si>
    <t>140 to 154 °F at 0.5 mmHg (NTP, 1992)</t>
  </si>
  <si>
    <t>0883</t>
  </si>
  <si>
    <t>DIOXATHION (ISOMER MIXTURE)</t>
  </si>
  <si>
    <t>CHM-0861</t>
  </si>
  <si>
    <t>DİPROPİLEN GLİKOL MONOMETİL ETER</t>
  </si>
  <si>
    <t>34590-94-8</t>
  </si>
  <si>
    <t>0884</t>
  </si>
  <si>
    <t>DIPROPYLENEGLYCOL MONOMETHYL ETHER</t>
  </si>
  <si>
    <t>CHM-0862</t>
  </si>
  <si>
    <t>DİVİNİLBENZEN (KARIŞIK İZOMERLER)</t>
  </si>
  <si>
    <t>1321-74-0</t>
  </si>
  <si>
    <t>0885</t>
  </si>
  <si>
    <t>DIVINYLBENZENE (MIXED ISOMERS)</t>
  </si>
  <si>
    <t>CHM-0863</t>
  </si>
  <si>
    <t>ETİLENDİAMİNTETRAASETİK ASİT</t>
  </si>
  <si>
    <t>60-00-4</t>
  </si>
  <si>
    <t>0886</t>
  </si>
  <si>
    <t>ETHYLENEDIAMINETETRAACETIC ACID</t>
  </si>
  <si>
    <t>CHM-0864</t>
  </si>
  <si>
    <t>ENFLURAN</t>
  </si>
  <si>
    <t>13838-16-9</t>
  </si>
  <si>
    <t>0887</t>
  </si>
  <si>
    <t>ENFLURANE</t>
  </si>
  <si>
    <t>CHM-0865</t>
  </si>
  <si>
    <t>ETİYON</t>
  </si>
  <si>
    <t>563-12-2</t>
  </si>
  <si>
    <t>Decomposes above 302.0 °F (USCG, 1999)</t>
  </si>
  <si>
    <t>0888</t>
  </si>
  <si>
    <t>ETHION</t>
  </si>
  <si>
    <t>CHM-0866</t>
  </si>
  <si>
    <t>ETİL N-BÜTİL KETON</t>
  </si>
  <si>
    <t>106-35-4</t>
  </si>
  <si>
    <t>0889</t>
  </si>
  <si>
    <t>ETHYL n-BUTYL KETONE</t>
  </si>
  <si>
    <t>CHM-0867</t>
  </si>
  <si>
    <t>2-ETİLHEKSANOL</t>
  </si>
  <si>
    <t>104-76-7</t>
  </si>
  <si>
    <t>H227, H302, H319, H402</t>
  </si>
  <si>
    <t>0890</t>
  </si>
  <si>
    <t>2-ETHYLHEXANOL</t>
  </si>
  <si>
    <t>CHM-0868</t>
  </si>
  <si>
    <t>FORMAMİD</t>
  </si>
  <si>
    <t>75-12-7</t>
  </si>
  <si>
    <t>H302, H319, H360, H361</t>
  </si>
  <si>
    <t>410 °F at 760 mmHg (decomposes) (NTP, 1992)</t>
  </si>
  <si>
    <t>0891</t>
  </si>
  <si>
    <t>FORMAMIDE</t>
  </si>
  <si>
    <t>CHM-0869</t>
  </si>
  <si>
    <t>D-SORBİTOL</t>
  </si>
  <si>
    <t>50-70-4</t>
  </si>
  <si>
    <t>Very high (USCG, 1999)</t>
  </si>
  <si>
    <t>0892</t>
  </si>
  <si>
    <t>D-SORBITOL</t>
  </si>
  <si>
    <t>CHM-0870</t>
  </si>
  <si>
    <t>GRAFİT (DOĞAL)</t>
  </si>
  <si>
    <t>7782-42-5</t>
  </si>
  <si>
    <t>0893</t>
  </si>
  <si>
    <t>GRAPHITE (NATURAL)</t>
  </si>
  <si>
    <t>CHM-0871</t>
  </si>
  <si>
    <t>GUANİDİN HİDROKLORÜR</t>
  </si>
  <si>
    <t>50-01-1</t>
  </si>
  <si>
    <t>0894</t>
  </si>
  <si>
    <t>GUANIDINE HYDROCHLORIDE</t>
  </si>
  <si>
    <t>CHM-0872</t>
  </si>
  <si>
    <t>HEKSAKLOROBENZEN</t>
  </si>
  <si>
    <t>118-74-1</t>
  </si>
  <si>
    <t>H351, H361, H370, H372, H373, H400, H410, H411, H412</t>
  </si>
  <si>
    <t>0895</t>
  </si>
  <si>
    <t>HEXACHLOROBENZENE</t>
  </si>
  <si>
    <t>2729</t>
  </si>
  <si>
    <t>CHM-0873</t>
  </si>
  <si>
    <t>HEKSAKLOROBÜTADİEN</t>
  </si>
  <si>
    <t>87-68-3</t>
  </si>
  <si>
    <t>0896</t>
  </si>
  <si>
    <t>HEXACHLOROBUTADIENE</t>
  </si>
  <si>
    <t>2279</t>
  </si>
  <si>
    <t>CHM-0874</t>
  </si>
  <si>
    <t>HİDROKSİLAMİN HİDROSÜLFAT</t>
  </si>
  <si>
    <t>10046-00-1</t>
  </si>
  <si>
    <t>0897</t>
  </si>
  <si>
    <t>HYDROXYLAMINE HYDROSULPHATE</t>
  </si>
  <si>
    <t>CHM-0875</t>
  </si>
  <si>
    <t>BİS(HİDROKSİLAMİN) SÜLFAT</t>
  </si>
  <si>
    <t>10039-54-0</t>
  </si>
  <si>
    <t>0898</t>
  </si>
  <si>
    <t>BIS(HYDROXYLAMINE) SULFATE</t>
  </si>
  <si>
    <t>2865</t>
  </si>
  <si>
    <t>CHM-0876</t>
  </si>
  <si>
    <t>2-HİDROKSİPROPİL AKRİLAT</t>
  </si>
  <si>
    <t>999-61-1</t>
  </si>
  <si>
    <t>H227, H300, H301, H302, H310, H314, H317, H400</t>
  </si>
  <si>
    <t>0899</t>
  </si>
  <si>
    <t>2-HYDROXYPROPYL ACRYLATE</t>
  </si>
  <si>
    <t>2927</t>
  </si>
  <si>
    <t>CHM-0877</t>
  </si>
  <si>
    <t>İOKSİNİL</t>
  </si>
  <si>
    <t>1689-83-4</t>
  </si>
  <si>
    <t>Sublimes at circa 140 °C/0.1 mm Hg</t>
  </si>
  <si>
    <t>0900</t>
  </si>
  <si>
    <t>IOXYNIL</t>
  </si>
  <si>
    <t>CHM-0878</t>
  </si>
  <si>
    <t>İZOBÜTAN</t>
  </si>
  <si>
    <t>75-28-5</t>
  </si>
  <si>
    <t>0901</t>
  </si>
  <si>
    <t>ISOBUTANE</t>
  </si>
  <si>
    <t>1969</t>
  </si>
  <si>
    <t>CHM-0879</t>
  </si>
  <si>
    <t>İZOBÜTİRALDEHİT</t>
  </si>
  <si>
    <t>78-84-2</t>
  </si>
  <si>
    <t>H225, H226, H302, H319, H335, H402</t>
  </si>
  <si>
    <t>0902</t>
  </si>
  <si>
    <t>ISOBUTYRALDEHYDE</t>
  </si>
  <si>
    <t>2045</t>
  </si>
  <si>
    <t>CHM-0880</t>
  </si>
  <si>
    <t>İZOBÜTİRİK ASİT</t>
  </si>
  <si>
    <t>79-31-2</t>
  </si>
  <si>
    <t>0903</t>
  </si>
  <si>
    <t>ISOBUTYRIC ACID</t>
  </si>
  <si>
    <t>2529</t>
  </si>
  <si>
    <t>CHM-0881</t>
  </si>
  <si>
    <t>İZOPREN</t>
  </si>
  <si>
    <t>78-79-5</t>
  </si>
  <si>
    <t>H224, H226, H300, H336, H340, H341, H351, H400</t>
  </si>
  <si>
    <t>0904</t>
  </si>
  <si>
    <t>ISOPRENE</t>
  </si>
  <si>
    <t>1218</t>
  </si>
  <si>
    <t>CHM-0882</t>
  </si>
  <si>
    <t>İZOPROPANOLAMİN</t>
  </si>
  <si>
    <t>78-96-6</t>
  </si>
  <si>
    <t>H227, H302, H314, H402</t>
  </si>
  <si>
    <t>0905</t>
  </si>
  <si>
    <t>ISOPROPANOLAMINE</t>
  </si>
  <si>
    <t>2735</t>
  </si>
  <si>
    <t>excl mark; corr; cancer</t>
  </si>
  <si>
    <t>Sağlık Tehlikesi (hafif); corr; Kanserojen/Mutajen/Repro</t>
  </si>
  <si>
    <t>CHM-0883</t>
  </si>
  <si>
    <t>DİİZOPROPİL ETER</t>
  </si>
  <si>
    <t>108-20-3</t>
  </si>
  <si>
    <t>0906</t>
  </si>
  <si>
    <t>DIISOPROPYL ETHER</t>
  </si>
  <si>
    <t>1159</t>
  </si>
  <si>
    <t>CHM-0884</t>
  </si>
  <si>
    <t>İZOPROPİL ASETAT</t>
  </si>
  <si>
    <t>108-21-4</t>
  </si>
  <si>
    <t>H225, H226, H336, H402</t>
  </si>
  <si>
    <t>0907</t>
  </si>
  <si>
    <t>ISOPROPYL ACETATE</t>
  </si>
  <si>
    <t>1220</t>
  </si>
  <si>
    <t>CHM-0885</t>
  </si>
  <si>
    <t>İZOPROPİLAMİN</t>
  </si>
  <si>
    <t>75-31-0</t>
  </si>
  <si>
    <t>H224, H226, H301, H302, H314, H402</t>
  </si>
  <si>
    <t>0908</t>
  </si>
  <si>
    <t>ISOPROPYLAMINE</t>
  </si>
  <si>
    <t>1221</t>
  </si>
  <si>
    <t>CHM-0886</t>
  </si>
  <si>
    <t>N-İZOPROPİLANİLİN</t>
  </si>
  <si>
    <t>768-52-5</t>
  </si>
  <si>
    <t>H227, H302, H312, H373</t>
  </si>
  <si>
    <t>0909</t>
  </si>
  <si>
    <t>N-ISOPROPYLANILINE</t>
  </si>
  <si>
    <t>CHM-0887</t>
  </si>
  <si>
    <t>KURŞUN(II) ASETAT (ANHİDROZ)</t>
  </si>
  <si>
    <t>301-04-2</t>
  </si>
  <si>
    <t>0910</t>
  </si>
  <si>
    <t>LEAD(II) ACETATE (anhydrous)</t>
  </si>
  <si>
    <t>1616</t>
  </si>
  <si>
    <t>CHM-0888</t>
  </si>
  <si>
    <t>KURŞUN ARSENAT</t>
  </si>
  <si>
    <t>7784-40-9</t>
  </si>
  <si>
    <t>H301, H351, H360, H361, H400, H410, H411, H412</t>
  </si>
  <si>
    <t>0911</t>
  </si>
  <si>
    <t>LEAD ARSENATE</t>
  </si>
  <si>
    <t>1617</t>
  </si>
  <si>
    <t>CHM-0889</t>
  </si>
  <si>
    <t>LİNALOL</t>
  </si>
  <si>
    <t>78-70-6</t>
  </si>
  <si>
    <t>0912</t>
  </si>
  <si>
    <t>LINALOOL</t>
  </si>
  <si>
    <t>CHM-0890</t>
  </si>
  <si>
    <t>LİTYUM HİDROKSİT</t>
  </si>
  <si>
    <t>1310-65-2</t>
  </si>
  <si>
    <t>H300, H301, H314, H330</t>
  </si>
  <si>
    <t>0913</t>
  </si>
  <si>
    <t>LITHIUM HYDROXIDE</t>
  </si>
  <si>
    <t>2680</t>
  </si>
  <si>
    <t>CHM-0891</t>
  </si>
  <si>
    <t>LİTYUM HİDROKSİT MONOHİDRAT</t>
  </si>
  <si>
    <t>1310-66-3</t>
  </si>
  <si>
    <t>0914</t>
  </si>
  <si>
    <t>LITHIUM HYDROXIDE MONOHYDRATE</t>
  </si>
  <si>
    <t>CHM-0892</t>
  </si>
  <si>
    <t>MERKAPTOASETİK ASİT</t>
  </si>
  <si>
    <t>68-11-1</t>
  </si>
  <si>
    <t>0915</t>
  </si>
  <si>
    <t>MERCAPTOACETIC ACID</t>
  </si>
  <si>
    <t>1940</t>
  </si>
  <si>
    <t>CHM-0893</t>
  </si>
  <si>
    <t>2-MERKAPTOETANOL</t>
  </si>
  <si>
    <t>60-24-2</t>
  </si>
  <si>
    <t>0916</t>
  </si>
  <si>
    <t>2-MERCAPTOETHANOL</t>
  </si>
  <si>
    <t>2966</t>
  </si>
  <si>
    <t>CHM-0894</t>
  </si>
  <si>
    <t>METAKRİLİK ASİT</t>
  </si>
  <si>
    <t>79-41-4</t>
  </si>
  <si>
    <t>H302, H311, H314, H335, H402</t>
  </si>
  <si>
    <t>0917</t>
  </si>
  <si>
    <t>METHACRYLIC ACID</t>
  </si>
  <si>
    <t>2531</t>
  </si>
  <si>
    <t>CHM-0895</t>
  </si>
  <si>
    <t>D-LİMONEN</t>
  </si>
  <si>
    <t>5989-27-5</t>
  </si>
  <si>
    <t>0918</t>
  </si>
  <si>
    <t>D-LIMONENE</t>
  </si>
  <si>
    <t>CHM-0896</t>
  </si>
  <si>
    <t>DL-METİYONİN</t>
  </si>
  <si>
    <t>59-51-8</t>
  </si>
  <si>
    <t>300.00 to 301.00 °C. @ 760.00 mm Hg</t>
  </si>
  <si>
    <t>0919</t>
  </si>
  <si>
    <t>DL-METHIONINE</t>
  </si>
  <si>
    <t>CHM-0897</t>
  </si>
  <si>
    <t>METİL N-AMİL KETON</t>
  </si>
  <si>
    <t>110-43-0</t>
  </si>
  <si>
    <t>0920</t>
  </si>
  <si>
    <t>METHYL n-AMYL KETONE</t>
  </si>
  <si>
    <t>1110</t>
  </si>
  <si>
    <t>CHM-0898</t>
  </si>
  <si>
    <t>N-METİLANİLİN</t>
  </si>
  <si>
    <t>100-61-8</t>
  </si>
  <si>
    <t>H227, H302, H402</t>
  </si>
  <si>
    <t>0921</t>
  </si>
  <si>
    <t>N-METHYLANILINE</t>
  </si>
  <si>
    <t>2294</t>
  </si>
  <si>
    <t>CHM-0899</t>
  </si>
  <si>
    <t>3-METİL-2-BÜTANON</t>
  </si>
  <si>
    <t>563-80-4</t>
  </si>
  <si>
    <t>0922</t>
  </si>
  <si>
    <t>3-METHYL-2-BUTANONE</t>
  </si>
  <si>
    <t>2397</t>
  </si>
  <si>
    <t>CHM-0900</t>
  </si>
  <si>
    <t>METİLSİKLOHEKSAN</t>
  </si>
  <si>
    <t>108-87-2</t>
  </si>
  <si>
    <t>0923</t>
  </si>
  <si>
    <t>METHYLCYCLOHEXANE</t>
  </si>
  <si>
    <t>2296</t>
  </si>
  <si>
    <t>CHM-0901</t>
  </si>
  <si>
    <t>MEVİNFOS (İZOMER KARIŞIMI)</t>
  </si>
  <si>
    <t>7786-34-7</t>
  </si>
  <si>
    <t>H300, H400, H410</t>
  </si>
  <si>
    <t>223 to 226 °F at 1 mmHg (EPA, 1998)</t>
  </si>
  <si>
    <t>0924</t>
  </si>
  <si>
    <t>MEVINPHOS (ISOMER MIXTURE)</t>
  </si>
  <si>
    <t>CHM-0902</t>
  </si>
  <si>
    <t>NALED</t>
  </si>
  <si>
    <t>300-76-5</t>
  </si>
  <si>
    <t>0925</t>
  </si>
  <si>
    <t>CHM-0903</t>
  </si>
  <si>
    <t>NİKEL(II)OKSİT</t>
  </si>
  <si>
    <t>1313-99-1</t>
  </si>
  <si>
    <t>H317, H334, H351, H373</t>
  </si>
  <si>
    <t>0926</t>
  </si>
  <si>
    <t>NICKEL(II)OXIDE</t>
  </si>
  <si>
    <t>CHM-0904</t>
  </si>
  <si>
    <t>NİKEL KARBONAT</t>
  </si>
  <si>
    <t>3333-67-3</t>
  </si>
  <si>
    <t>H302, H315, H317, H334, H351, H373, H400, H410, H411, H412</t>
  </si>
  <si>
    <t>0927</t>
  </si>
  <si>
    <t>NICKEL CARBONATE</t>
  </si>
  <si>
    <t>CHM-0905</t>
  </si>
  <si>
    <t>TRİNİKEL DİSÜLFİD</t>
  </si>
  <si>
    <t>12035-72-2</t>
  </si>
  <si>
    <t>H317, H334, H351, H373, H400, H410, H411, H412</t>
  </si>
  <si>
    <t>0928</t>
  </si>
  <si>
    <t>TRINICKEL DISULFIDE</t>
  </si>
  <si>
    <t>CHM-0906</t>
  </si>
  <si>
    <t>NİTROFEN</t>
  </si>
  <si>
    <t>1836-75-5</t>
  </si>
  <si>
    <t>0929</t>
  </si>
  <si>
    <t>NITROFEN</t>
  </si>
  <si>
    <t>CHM-0907</t>
  </si>
  <si>
    <t>AZOT DİOKSİT</t>
  </si>
  <si>
    <t>10102-44-0</t>
  </si>
  <si>
    <t>0930</t>
  </si>
  <si>
    <t>NITROGEN DIOXIDE</t>
  </si>
  <si>
    <t>1067</t>
  </si>
  <si>
    <t>cylinder; flam circle; corr; skull; cancer</t>
  </si>
  <si>
    <t>Basınçlı Gaz; flam circle; corr; Akut Toksisite; Kanserojen/Mutajen/Repro</t>
  </si>
  <si>
    <t>CHM-0908</t>
  </si>
  <si>
    <t>o-NİTROTOLUEN</t>
  </si>
  <si>
    <t>88-72-2</t>
  </si>
  <si>
    <t>H302, H340, H341, H351, H361, H373, H400, H411, H412</t>
  </si>
  <si>
    <t>0931</t>
  </si>
  <si>
    <t>o-NITROTOLUENE</t>
  </si>
  <si>
    <t>1664</t>
  </si>
  <si>
    <t>CHM-0909</t>
  </si>
  <si>
    <t>p-NİTROTOLUEN</t>
  </si>
  <si>
    <t>99-99-0</t>
  </si>
  <si>
    <t>0932</t>
  </si>
  <si>
    <t>p-NITROTOLUENE</t>
  </si>
  <si>
    <t>CHM-0910</t>
  </si>
  <si>
    <t>OKTAN</t>
  </si>
  <si>
    <t>111-65-9</t>
  </si>
  <si>
    <t>0933</t>
  </si>
  <si>
    <t>OCTANE</t>
  </si>
  <si>
    <t>CHM-0911</t>
  </si>
  <si>
    <t>1-OKTEN</t>
  </si>
  <si>
    <t>111-66-0</t>
  </si>
  <si>
    <t>0934</t>
  </si>
  <si>
    <t>1-OCTENE</t>
  </si>
  <si>
    <t>CHM-0912</t>
  </si>
  <si>
    <t>PENTAKLORONAFTALEN</t>
  </si>
  <si>
    <t>1321-64-8</t>
  </si>
  <si>
    <t>0935</t>
  </si>
  <si>
    <t>PENTACHLORONAPHTHALENE</t>
  </si>
  <si>
    <t>CHM-0913</t>
  </si>
  <si>
    <t>FENETİL ALKOL</t>
  </si>
  <si>
    <t>60-12-8</t>
  </si>
  <si>
    <t>H302, H311, H319, H361</t>
  </si>
  <si>
    <t>0936</t>
  </si>
  <si>
    <t>PHENETHYL ALCOHOL</t>
  </si>
  <si>
    <t>CHM-0914</t>
  </si>
  <si>
    <t>FENOTİYAZİN</t>
  </si>
  <si>
    <t>92-84-2</t>
  </si>
  <si>
    <t>H302, H315, H400, H410, H411, H412</t>
  </si>
  <si>
    <t>0937</t>
  </si>
  <si>
    <t>PHENOTHIAZINE</t>
  </si>
  <si>
    <t>CHM-0915</t>
  </si>
  <si>
    <t>FENİLHİDRAZİN</t>
  </si>
  <si>
    <t>100-63-0</t>
  </si>
  <si>
    <t>471 °F at 760 mmHg (with decomposition) (USCG, 1999)</t>
  </si>
  <si>
    <t>0938</t>
  </si>
  <si>
    <t>PHENYLHYDRAZINE</t>
  </si>
  <si>
    <t>2572</t>
  </si>
  <si>
    <t>CHM-0916</t>
  </si>
  <si>
    <t>POLİKLORLU BİFENİL (AROCLOR 1254)</t>
  </si>
  <si>
    <t>11097-69-1</t>
  </si>
  <si>
    <t>Distillation range 365-390 °C</t>
  </si>
  <si>
    <t>0939</t>
  </si>
  <si>
    <t>POLYCHLORINATED BIPHENYL (AROCLOR 1254)</t>
  </si>
  <si>
    <t>2315</t>
  </si>
  <si>
    <t>CHM-0917</t>
  </si>
  <si>
    <t>n-PROPİL ASETAT</t>
  </si>
  <si>
    <t>109-60-4</t>
  </si>
  <si>
    <t>0940</t>
  </si>
  <si>
    <t>n-PROPYL ACETATE</t>
  </si>
  <si>
    <t>1276</t>
  </si>
  <si>
    <t>CHM-0918</t>
  </si>
  <si>
    <t>PROPİLAMİN</t>
  </si>
  <si>
    <t>107-10-8</t>
  </si>
  <si>
    <t>0941</t>
  </si>
  <si>
    <t>PROPYLAMINE</t>
  </si>
  <si>
    <t>1277</t>
  </si>
  <si>
    <t>CHM-0919</t>
  </si>
  <si>
    <t>PROPİLENDİAMİN</t>
  </si>
  <si>
    <t>78-90-0</t>
  </si>
  <si>
    <t>H226, H302, H314, H402</t>
  </si>
  <si>
    <t>0942</t>
  </si>
  <si>
    <t>PROPYLENEDIAMINE</t>
  </si>
  <si>
    <t>2258</t>
  </si>
  <si>
    <t>corr; flam; cancer</t>
  </si>
  <si>
    <t>corr; Yanıcı; Kanserojen/Mutajen/Repro</t>
  </si>
  <si>
    <t>CHM-0920</t>
  </si>
  <si>
    <t>PROPİLEN GLİKOL DİASETAT</t>
  </si>
  <si>
    <t>623-84-7</t>
  </si>
  <si>
    <t>0943</t>
  </si>
  <si>
    <t>PROPYLENE GLYCOL DIACETATE</t>
  </si>
  <si>
    <t>CHM-0921</t>
  </si>
  <si>
    <t>ROTENON</t>
  </si>
  <si>
    <t>83-79-4</t>
  </si>
  <si>
    <t>410 to 428 °F at 0.5 mmHg (NTP, 1992)</t>
  </si>
  <si>
    <t>0944</t>
  </si>
  <si>
    <t>ROTENONE</t>
  </si>
  <si>
    <t>CHM-0922</t>
  </si>
  <si>
    <t>SELENİÖZ ASİT</t>
  </si>
  <si>
    <t>7783-00-8</t>
  </si>
  <si>
    <t>0945</t>
  </si>
  <si>
    <t>SELENIOUS ACID</t>
  </si>
  <si>
    <t>CHM-0923</t>
  </si>
  <si>
    <t>SELENYUM DİOKSİT</t>
  </si>
  <si>
    <t>7446-08-4</t>
  </si>
  <si>
    <t>599 °F at 760 mmHg (sublimes) (USCG, 1999)</t>
  </si>
  <si>
    <t>0946</t>
  </si>
  <si>
    <t>SELENIUM DIOXIDE</t>
  </si>
  <si>
    <t>CHM-0924</t>
  </si>
  <si>
    <t>SELENYUM HEKSAFLORÜR</t>
  </si>
  <si>
    <t>7783-79-1</t>
  </si>
  <si>
    <t>0947</t>
  </si>
  <si>
    <t>SELENIUM HEXAFLUORIDE</t>
  </si>
  <si>
    <t>2194</t>
  </si>
  <si>
    <t>CHM-0925</t>
  </si>
  <si>
    <t>SELENYUM OKSİKLORÜR</t>
  </si>
  <si>
    <t>7791-23-3</t>
  </si>
  <si>
    <t>0948</t>
  </si>
  <si>
    <t>SELENIUM OXYCHLORIDE</t>
  </si>
  <si>
    <t>2879</t>
  </si>
  <si>
    <t>CHM-0926</t>
  </si>
  <si>
    <t>SELENYUM TRİOKSİT</t>
  </si>
  <si>
    <t>13768-86-0</t>
  </si>
  <si>
    <t>0949</t>
  </si>
  <si>
    <t>SELENIUM TRIOXIDE</t>
  </si>
  <si>
    <t>CHM-0927</t>
  </si>
  <si>
    <t>SODYUM AZİD</t>
  </si>
  <si>
    <t>26628-22-8</t>
  </si>
  <si>
    <t>H300, H319, H335, H400, H410</t>
  </si>
  <si>
    <t>Decomposes in vacuum (EPA, 1998)</t>
  </si>
  <si>
    <t>0950</t>
  </si>
  <si>
    <t>SODIUM AZIDE</t>
  </si>
  <si>
    <t>1687</t>
  </si>
  <si>
    <t>CHM-0928</t>
  </si>
  <si>
    <t>SODYUM FLORÜR</t>
  </si>
  <si>
    <t>7681-49-4</t>
  </si>
  <si>
    <t>0951</t>
  </si>
  <si>
    <t>SODIUM FLUORIDE</t>
  </si>
  <si>
    <t>1690</t>
  </si>
  <si>
    <t>CHM-0929</t>
  </si>
  <si>
    <t>SODYUM SÜLFAT</t>
  </si>
  <si>
    <t>7757-82-6</t>
  </si>
  <si>
    <t>0952</t>
  </si>
  <si>
    <t>SODIUM SULFATE</t>
  </si>
  <si>
    <t>CHM-0930</t>
  </si>
  <si>
    <t>KALAY(IV) KLORİD (ANHİDROZ)</t>
  </si>
  <si>
    <t>7646-78-8</t>
  </si>
  <si>
    <t>0953</t>
  </si>
  <si>
    <t>TIN(IV) CHLORIDE (ANHYDROUS)</t>
  </si>
  <si>
    <t>1827</t>
  </si>
  <si>
    <t>CHM-0931</t>
  </si>
  <si>
    <t>KALAY(IV) OKSİT</t>
  </si>
  <si>
    <t>18282-10-5</t>
  </si>
  <si>
    <t>0954</t>
  </si>
  <si>
    <t>TIN(IV) OXIDE</t>
  </si>
  <si>
    <t>CHM-0932</t>
  </si>
  <si>
    <t>KALAY(II) KLORİD (ANHİDROZ)</t>
  </si>
  <si>
    <t>7772-99-8</t>
  </si>
  <si>
    <t>1206 °F at 760 mmHg (NTP, 1992)</t>
  </si>
  <si>
    <t>0955</t>
  </si>
  <si>
    <t>TIN (II) CHLORIDE (ANHYDROUS)</t>
  </si>
  <si>
    <t>CHM-0933</t>
  </si>
  <si>
    <t>KALAY(II) OKSİT</t>
  </si>
  <si>
    <t>21651-19-4</t>
  </si>
  <si>
    <t>0956</t>
  </si>
  <si>
    <t>TIN(II) OXIDE</t>
  </si>
  <si>
    <t>CHM-0934</t>
  </si>
  <si>
    <t>STRONSIYUM KROMAT</t>
  </si>
  <si>
    <t>7789-06-2</t>
  </si>
  <si>
    <t>H300, H302, H317, H330, H334, H340, H341, H351, H361, H373, H402</t>
  </si>
  <si>
    <t>0957</t>
  </si>
  <si>
    <t>STRONTIUM CHROMATE</t>
  </si>
  <si>
    <t>CHM-0935</t>
  </si>
  <si>
    <t>KÜKÜRT MONOKLORÜRÜ</t>
  </si>
  <si>
    <t>10025-67-9</t>
  </si>
  <si>
    <t>0958</t>
  </si>
  <si>
    <t>SULFUR MONOCHLORIDE</t>
  </si>
  <si>
    <t>1828</t>
  </si>
  <si>
    <t>CHM-0936</t>
  </si>
  <si>
    <t>TETRİL</t>
  </si>
  <si>
    <t>479-45-8</t>
  </si>
  <si>
    <t>356 to 374 °F at 760 mmHg (Explodes) (NIOSH, 2024)</t>
  </si>
  <si>
    <t>0959</t>
  </si>
  <si>
    <t>TETRYL</t>
  </si>
  <si>
    <t>CHM-0937</t>
  </si>
  <si>
    <t>o-TOLİDİN</t>
  </si>
  <si>
    <t>119-93-7</t>
  </si>
  <si>
    <t>H302, H351, H400</t>
  </si>
  <si>
    <t>0960</t>
  </si>
  <si>
    <t>o-TOLIDINE</t>
  </si>
  <si>
    <t>CHM-0938</t>
  </si>
  <si>
    <t>TRİ-O-KRESİL FOSFAT</t>
  </si>
  <si>
    <t>78-30-8</t>
  </si>
  <si>
    <t>0961</t>
  </si>
  <si>
    <t>TRI-o-CRESYL PHOSPHATE</t>
  </si>
  <si>
    <t>2574</t>
  </si>
  <si>
    <t>CHM-0939</t>
  </si>
  <si>
    <t>TRİKLORONAFTALEN</t>
  </si>
  <si>
    <t>1321-65-9</t>
  </si>
  <si>
    <t>0962</t>
  </si>
  <si>
    <t>TRICHLORONAPHTHALENE</t>
  </si>
  <si>
    <t>CHM-0940</t>
  </si>
  <si>
    <t>TRİKLOPİR-2-BÜTOKSİETİL ESTER</t>
  </si>
  <si>
    <t>64700-56-7</t>
  </si>
  <si>
    <t>0963</t>
  </si>
  <si>
    <t>TRICLOPYR-2-BUTOXYETHYLESTER</t>
  </si>
  <si>
    <t>CHM-0941</t>
  </si>
  <si>
    <t>TRİS(NONİLFENİL)FOSFİT</t>
  </si>
  <si>
    <t>26523-78-4</t>
  </si>
  <si>
    <t>&gt;300 °C, OECD Guideline 103 (Boiling point/boiling range), has an onset of degradation at 322 °C under nitrogen</t>
  </si>
  <si>
    <t>0964</t>
  </si>
  <si>
    <t>TRIS(NONYLPHENYL)PHOSPHITE</t>
  </si>
  <si>
    <t>CHM-0942</t>
  </si>
  <si>
    <t>TRİETİLEN GLİKOL MONOBÜTİL ETER</t>
  </si>
  <si>
    <t>143-22-6</t>
  </si>
  <si>
    <t>0965</t>
  </si>
  <si>
    <t>TRIETHYLENE GLYCOL MONOBUTYL ETHER</t>
  </si>
  <si>
    <t>CHM-0943</t>
  </si>
  <si>
    <t>TRİMETİLKLOROSİLAN</t>
  </si>
  <si>
    <t>75-77-4</t>
  </si>
  <si>
    <t>0966</t>
  </si>
  <si>
    <t>TRIMETHYLCHLOROSILANE</t>
  </si>
  <si>
    <t>1298</t>
  </si>
  <si>
    <t>CHM-0944</t>
  </si>
  <si>
    <t>2,4,6-TRİNİTROTOLÜEN</t>
  </si>
  <si>
    <t>118-96-7</t>
  </si>
  <si>
    <t>464 °F at 760 mmHg EXPLODES (NTP, 1992)</t>
  </si>
  <si>
    <t>0967</t>
  </si>
  <si>
    <t>2,4,6-TRINITROTOLUENE</t>
  </si>
  <si>
    <t>CHM-0945</t>
  </si>
  <si>
    <t>TRİS (2-ETİLHEKSİL) FOSFAT</t>
  </si>
  <si>
    <t>78-42-2</t>
  </si>
  <si>
    <t>0968</t>
  </si>
  <si>
    <t>TRIS(2-ETHYLHEXYL) PHOSPHATE</t>
  </si>
  <si>
    <t>CHM-0946</t>
  </si>
  <si>
    <t>MAGNEZYUM KARBONAT</t>
  </si>
  <si>
    <t>546-93-0</t>
  </si>
  <si>
    <t>0969</t>
  </si>
  <si>
    <t>MAGNESIUM CARBONATE</t>
  </si>
  <si>
    <t>CHM-0947</t>
  </si>
  <si>
    <t>o-ANİSİDİN</t>
  </si>
  <si>
    <t>90-04-0</t>
  </si>
  <si>
    <t>H302, H312, H351, H373, H400</t>
  </si>
  <si>
    <t>0970</t>
  </si>
  <si>
    <t>o-ANISIDINE</t>
  </si>
  <si>
    <t>CHM-0948</t>
  </si>
  <si>
    <t>p-ANİSİDİN</t>
  </si>
  <si>
    <t>104-94-9</t>
  </si>
  <si>
    <t>H302, H312, H373, H400</t>
  </si>
  <si>
    <t>0971</t>
  </si>
  <si>
    <t>p-ANISIDINE</t>
  </si>
  <si>
    <t>CHM-0949</t>
  </si>
  <si>
    <t>alfa-NAFTİLTİYOÜRE</t>
  </si>
  <si>
    <t>86-88-4</t>
  </si>
  <si>
    <t>0973</t>
  </si>
  <si>
    <t>alpha-NAPHTHYLTHIOUREA</t>
  </si>
  <si>
    <t>1651</t>
  </si>
  <si>
    <t>CHM-0950</t>
  </si>
  <si>
    <t>BROM PENTAFLORÜR</t>
  </si>
  <si>
    <t>7789-30-2</t>
  </si>
  <si>
    <t>0974</t>
  </si>
  <si>
    <t>BROMINE PENTAFLUORIDE</t>
  </si>
  <si>
    <t>1745</t>
  </si>
  <si>
    <t>CHM-0951</t>
  </si>
  <si>
    <t>FENKLORFOS (OBSOLETE)</t>
  </si>
  <si>
    <t>299-84-3</t>
  </si>
  <si>
    <t>0975</t>
  </si>
  <si>
    <t>FENCHLORPHOS (OBSOLETE)</t>
  </si>
  <si>
    <t>CHM-0952</t>
  </si>
  <si>
    <t>KOBALT KARBONİL</t>
  </si>
  <si>
    <t>10210-68-1</t>
  </si>
  <si>
    <t>H252, H300, H302, H330, H335</t>
  </si>
  <si>
    <t>0976</t>
  </si>
  <si>
    <t>COBALT CARBONYL</t>
  </si>
  <si>
    <t>3124</t>
  </si>
  <si>
    <t>CHM-0953</t>
  </si>
  <si>
    <t>SİKLOPENTADİENİL MANGAN TRİKARBONİL</t>
  </si>
  <si>
    <t>12079-65-1</t>
  </si>
  <si>
    <t>H300, H373</t>
  </si>
  <si>
    <t>0977</t>
  </si>
  <si>
    <t>CYCLOPENTADIENYL MANGANESE TRICARBONYL</t>
  </si>
  <si>
    <t>3466</t>
  </si>
  <si>
    <t>CHM-0954</t>
  </si>
  <si>
    <t>CIVA ASETAT</t>
  </si>
  <si>
    <t>1600-27-7</t>
  </si>
  <si>
    <t>H300, H311, H317, H373, H400, H410, H411, H412</t>
  </si>
  <si>
    <t>0978</t>
  </si>
  <si>
    <t>MERCURIC ACETATE</t>
  </si>
  <si>
    <t>1629</t>
  </si>
  <si>
    <t>CHM-0955</t>
  </si>
  <si>
    <t>CIVA KLORÜR</t>
  </si>
  <si>
    <t>7487-94-7</t>
  </si>
  <si>
    <t>H300, H314, H317, H340, H341, H361, H373, H400, H410, H411, H412</t>
  </si>
  <si>
    <t>0979</t>
  </si>
  <si>
    <t>MERCURIC CHLORIDE</t>
  </si>
  <si>
    <t>1624</t>
  </si>
  <si>
    <t>CHM-0956</t>
  </si>
  <si>
    <t>CIVA NİTRAT</t>
  </si>
  <si>
    <t>10045-94-0</t>
  </si>
  <si>
    <t>H300, H317, H373, H400, H410, H411, H412</t>
  </si>
  <si>
    <t>0980</t>
  </si>
  <si>
    <t>MERCURIC NITRATE</t>
  </si>
  <si>
    <t>1625</t>
  </si>
  <si>
    <t>CHM-0957</t>
  </si>
  <si>
    <t>CIVA OKSİT</t>
  </si>
  <si>
    <t>21908-53-2</t>
  </si>
  <si>
    <t>H300, H311, H373, H400, H410, H411, H412</t>
  </si>
  <si>
    <t>0981</t>
  </si>
  <si>
    <t>MERCURIC OXIDE</t>
  </si>
  <si>
    <t>1641</t>
  </si>
  <si>
    <t>CHM-0958</t>
  </si>
  <si>
    <t>CIVA SÜLFAT</t>
  </si>
  <si>
    <t>7783-35-9</t>
  </si>
  <si>
    <t>H301, H317, H373, H400, H410, H411, H412</t>
  </si>
  <si>
    <t>0982</t>
  </si>
  <si>
    <t>MERCURIC SULFATE</t>
  </si>
  <si>
    <t>1645</t>
  </si>
  <si>
    <t>CHM-0959</t>
  </si>
  <si>
    <t>TETRAPOTASYUM PİROFOSFAT</t>
  </si>
  <si>
    <t>7320-34-5</t>
  </si>
  <si>
    <t>0983</t>
  </si>
  <si>
    <t>TETRAPOTASSIUM PYROPHOSPHATE</t>
  </si>
  <si>
    <t>CHM-0960</t>
  </si>
  <si>
    <t>10112-91-1</t>
  </si>
  <si>
    <t>H301, H312, H319, H335, H373, H400, H410, H411, H412</t>
  </si>
  <si>
    <t>0984</t>
  </si>
  <si>
    <t>MERCUROUS CHLORIDE</t>
  </si>
  <si>
    <t>2025</t>
  </si>
  <si>
    <t>CHM-0961</t>
  </si>
  <si>
    <t>SÜLFOTEP</t>
  </si>
  <si>
    <t>3689-24-5</t>
  </si>
  <si>
    <t>0985</t>
  </si>
  <si>
    <t>SULFOTEP</t>
  </si>
  <si>
    <t>1704</t>
  </si>
  <si>
    <t>CHM-0962</t>
  </si>
  <si>
    <t>TELLÜR</t>
  </si>
  <si>
    <t>13494-80-9</t>
  </si>
  <si>
    <t>0986</t>
  </si>
  <si>
    <t>TELLURIUM</t>
  </si>
  <si>
    <t>CHM-0963</t>
  </si>
  <si>
    <t>ÇİNKO STEARAT</t>
  </si>
  <si>
    <t>557-05-1</t>
  </si>
  <si>
    <t>0987</t>
  </si>
  <si>
    <t>ZINC STEARATE</t>
  </si>
  <si>
    <t>CHM-0964</t>
  </si>
  <si>
    <t>ALÜMİNYUM TOZU (piroforik)</t>
  </si>
  <si>
    <t>7429-90-5</t>
  </si>
  <si>
    <t>0988</t>
  </si>
  <si>
    <t>ALUMINIUM POWDER (pyrophoric)</t>
  </si>
  <si>
    <t>1396</t>
  </si>
  <si>
    <t>CHM-0965</t>
  </si>
  <si>
    <t>BENZİL KLOROFORMAT</t>
  </si>
  <si>
    <t>501-53-1</t>
  </si>
  <si>
    <t>306 °F at 760 mmHg (decomposes) (USCG, 1999)</t>
  </si>
  <si>
    <t>0990</t>
  </si>
  <si>
    <t>BENZYL CHLOROFORMATE</t>
  </si>
  <si>
    <t>1739</t>
  </si>
  <si>
    <t>CHM-0966</t>
  </si>
  <si>
    <t>BORİK ASİT</t>
  </si>
  <si>
    <t>10043-35-3</t>
  </si>
  <si>
    <t>572 °F at 760 mmHg (decomposes) (NTP, 1992)</t>
  </si>
  <si>
    <t>0991</t>
  </si>
  <si>
    <t>BORIC ACID</t>
  </si>
  <si>
    <t>CHM-0967</t>
  </si>
  <si>
    <t>KALSİYUM MOLİBDAT</t>
  </si>
  <si>
    <t>7789-82-4</t>
  </si>
  <si>
    <t>0992</t>
  </si>
  <si>
    <t>CALCIUM MOLYBDATE</t>
  </si>
  <si>
    <t>CHM-0968</t>
  </si>
  <si>
    <t>1,3-DİKLOROPROPEN (KARIŞIK İZOMERLER)</t>
  </si>
  <si>
    <t>542-75-6</t>
  </si>
  <si>
    <t>H226, H301, H317, H319, H335, H351, H400, H410, H411, H412</t>
  </si>
  <si>
    <t>0995</t>
  </si>
  <si>
    <t>1,3-DICHLOROPROPENE (MIXED ISOMERS)</t>
  </si>
  <si>
    <t>2047</t>
  </si>
  <si>
    <t>CHM-0969</t>
  </si>
  <si>
    <t>FLOROSÜLFONİK ASİT</t>
  </si>
  <si>
    <t>7789-21-1</t>
  </si>
  <si>
    <t>0996</t>
  </si>
  <si>
    <t>FLUOROSULFONIC ACID</t>
  </si>
  <si>
    <t>1777</t>
  </si>
  <si>
    <t>CHM-0970</t>
  </si>
  <si>
    <t>HEKZAKLORONAFTALEN</t>
  </si>
  <si>
    <t>1335-87-1</t>
  </si>
  <si>
    <t>0997</t>
  </si>
  <si>
    <t>HEXACHLORONAPHTHALENE</t>
  </si>
  <si>
    <t>CHM-0971</t>
  </si>
  <si>
    <t>KURŞUN KARBONAT</t>
  </si>
  <si>
    <t>598-63-0</t>
  </si>
  <si>
    <t>0999</t>
  </si>
  <si>
    <t>LEAD CARBONATE</t>
  </si>
  <si>
    <t>CHM-0972</t>
  </si>
  <si>
    <t>KURŞUN NİTRAT</t>
  </si>
  <si>
    <t>10099-74-8</t>
  </si>
  <si>
    <t>1000</t>
  </si>
  <si>
    <t>LEAD NITRATE</t>
  </si>
  <si>
    <t>1469</t>
  </si>
  <si>
    <t>CHM-0973</t>
  </si>
  <si>
    <t>KURŞUN DİOKSİT</t>
  </si>
  <si>
    <t>1309-60-0</t>
  </si>
  <si>
    <t>LEAD DIOXIDE</t>
  </si>
  <si>
    <t>1872</t>
  </si>
  <si>
    <t>CHM-0974</t>
  </si>
  <si>
    <t>KURŞUN TETROKSİT</t>
  </si>
  <si>
    <t>1314-41-6</t>
  </si>
  <si>
    <t>1002</t>
  </si>
  <si>
    <t>LEAD TETROXIDE</t>
  </si>
  <si>
    <t>CHM-0975</t>
  </si>
  <si>
    <t>MOLİBDEN</t>
  </si>
  <si>
    <t>7439-98-7</t>
  </si>
  <si>
    <t>1003</t>
  </si>
  <si>
    <t>MOLYBDENUM</t>
  </si>
  <si>
    <t>CHM-0976</t>
  </si>
  <si>
    <t>OLEİK ASİT</t>
  </si>
  <si>
    <t>112-80-1</t>
  </si>
  <si>
    <t>547 °F at 100 mmHg (NTP, 1992)</t>
  </si>
  <si>
    <t>OLEIC ACID</t>
  </si>
  <si>
    <t>CHM-0977</t>
  </si>
  <si>
    <t>PERKLORİK ASİT (% 72 ÇÖZELTİ)</t>
  </si>
  <si>
    <t>7601-90-3</t>
  </si>
  <si>
    <t>19 °C @ 11 MM HG</t>
  </si>
  <si>
    <t>1006</t>
  </si>
  <si>
    <t>PERCHLORIC ACID (72% SOLUTION)</t>
  </si>
  <si>
    <t>1873</t>
  </si>
  <si>
    <t>CHM-0978</t>
  </si>
  <si>
    <t>FENİL KLOROFORMAT</t>
  </si>
  <si>
    <t>1885-14-9</t>
  </si>
  <si>
    <t>H227, H300, H302, H315, H318, H330, H335, H402</t>
  </si>
  <si>
    <t>1007</t>
  </si>
  <si>
    <t>PHENYL CHLOROFORMATE</t>
  </si>
  <si>
    <t>2746</t>
  </si>
  <si>
    <t>CHM-0979</t>
  </si>
  <si>
    <t>FOSFORİK ASİT</t>
  </si>
  <si>
    <t>7664-38-2</t>
  </si>
  <si>
    <t>H290, H314, H335, H402</t>
  </si>
  <si>
    <t>greater than 266 °F at 760 mmHg (USCG, 1999)</t>
  </si>
  <si>
    <t>PHOSPHORIC ACID</t>
  </si>
  <si>
    <t>3453</t>
  </si>
  <si>
    <t>CHM-0980</t>
  </si>
  <si>
    <t>SODYUM İYODÜR (SUSUZ)</t>
  </si>
  <si>
    <t>7681-82-5</t>
  </si>
  <si>
    <t>SODIUM IODIDE (ANHYDROUS)</t>
  </si>
  <si>
    <t>CHM-0981</t>
  </si>
  <si>
    <t>SODYUM MOLİBDAT</t>
  </si>
  <si>
    <t>7631-95-0</t>
  </si>
  <si>
    <t>SODIUM MOLYBDATE</t>
  </si>
  <si>
    <t>CHM-0982</t>
  </si>
  <si>
    <t>İZOAMİL NİTRİT</t>
  </si>
  <si>
    <t>110-46-3</t>
  </si>
  <si>
    <t>ISOAMYL NITRITE</t>
  </si>
  <si>
    <t>1113</t>
  </si>
  <si>
    <t>CHM-0983</t>
  </si>
  <si>
    <t>ANİLİN HİDROKLORÜR</t>
  </si>
  <si>
    <t>142-04-1</t>
  </si>
  <si>
    <t>ANILINE HYDROCHLORIDE</t>
  </si>
  <si>
    <t>1548</t>
  </si>
  <si>
    <t>CHM-0984</t>
  </si>
  <si>
    <t>ANİSOL</t>
  </si>
  <si>
    <t>100-66-3</t>
  </si>
  <si>
    <t>1014</t>
  </si>
  <si>
    <t>ANISOLE</t>
  </si>
  <si>
    <t>2222</t>
  </si>
  <si>
    <t>CHM-0985</t>
  </si>
  <si>
    <t>BENZOİL KLORÜR</t>
  </si>
  <si>
    <t>98-88-4</t>
  </si>
  <si>
    <t>1015</t>
  </si>
  <si>
    <t>BENZOYL CHLORIDE</t>
  </si>
  <si>
    <t>1736</t>
  </si>
  <si>
    <t>CHM-0986</t>
  </si>
  <si>
    <t>BROMOBENZEN</t>
  </si>
  <si>
    <t>108-86-1</t>
  </si>
  <si>
    <t>BROMOBENZENE</t>
  </si>
  <si>
    <t>2514</t>
  </si>
  <si>
    <t>CHM-0987</t>
  </si>
  <si>
    <t>BRUSİN, SUSUZ</t>
  </si>
  <si>
    <t>357-57-3</t>
  </si>
  <si>
    <t>BRUCINE, ANHYDROUS</t>
  </si>
  <si>
    <t>1570</t>
  </si>
  <si>
    <t>CHM-0988</t>
  </si>
  <si>
    <t>BÜTİL METAKRİLAT</t>
  </si>
  <si>
    <t>97-88-1</t>
  </si>
  <si>
    <t>H226, H302, H317, H319, H335, H402</t>
  </si>
  <si>
    <t>BUTYL METHACRYLATE</t>
  </si>
  <si>
    <t>2227</t>
  </si>
  <si>
    <t>CHM-0989</t>
  </si>
  <si>
    <t>Dİ-tert-BÜTİL PEROKSİT</t>
  </si>
  <si>
    <t>110-05-4</t>
  </si>
  <si>
    <t>232 °F at 760 mmHg (NTP, 1992)</t>
  </si>
  <si>
    <t>1019</t>
  </si>
  <si>
    <t>DI-tert-BUTYL PEROXIDE</t>
  </si>
  <si>
    <t>CHM-0990</t>
  </si>
  <si>
    <t>gama-BÜTİROLAKTON</t>
  </si>
  <si>
    <t>96-48-0</t>
  </si>
  <si>
    <t>H302, H318, H336, H402</t>
  </si>
  <si>
    <t>gamma-BUTYROLACTONE</t>
  </si>
  <si>
    <t>CHM-0991</t>
  </si>
  <si>
    <t>KAFUR</t>
  </si>
  <si>
    <t>76-22-2</t>
  </si>
  <si>
    <t>1021</t>
  </si>
  <si>
    <t>CAMPHOR</t>
  </si>
  <si>
    <t>2717</t>
  </si>
  <si>
    <t>CHM-0992</t>
  </si>
  <si>
    <t>DİETİL KARBONAT</t>
  </si>
  <si>
    <t>105-58-8</t>
  </si>
  <si>
    <t>DIETHYL CARBONATE</t>
  </si>
  <si>
    <t>2366</t>
  </si>
  <si>
    <t>CHM-0993</t>
  </si>
  <si>
    <t>ENDRİN</t>
  </si>
  <si>
    <t>72-20-8</t>
  </si>
  <si>
    <t>1023</t>
  </si>
  <si>
    <t>ENDRIN</t>
  </si>
  <si>
    <t>CHM-0994</t>
  </si>
  <si>
    <t>ETİL ASETOASETAT</t>
  </si>
  <si>
    <t>141-97-9</t>
  </si>
  <si>
    <t>1024</t>
  </si>
  <si>
    <t>ETHYL ACETOACETATE</t>
  </si>
  <si>
    <t>CHM-0995</t>
  </si>
  <si>
    <t>ETİL KLOROFORMAT</t>
  </si>
  <si>
    <t>541-41-3</t>
  </si>
  <si>
    <t>1025</t>
  </si>
  <si>
    <t>ETHYL CHLOROFORMATE</t>
  </si>
  <si>
    <t>1182</t>
  </si>
  <si>
    <t>CHM-0996</t>
  </si>
  <si>
    <t>ETİLEN SİYANOHİDRİN</t>
  </si>
  <si>
    <t>109-78-4</t>
  </si>
  <si>
    <t>442 °F at 760 mmHg (slight decomposition) (NTP, 1992)</t>
  </si>
  <si>
    <t>1026</t>
  </si>
  <si>
    <t>ETHYLENE CYANOHYDRIN</t>
  </si>
  <si>
    <t>CHM-0997</t>
  </si>
  <si>
    <t>İZOBÜTEN</t>
  </si>
  <si>
    <t>115-11-7</t>
  </si>
  <si>
    <t>1027</t>
  </si>
  <si>
    <t>ISOBUTENE</t>
  </si>
  <si>
    <t>1055</t>
  </si>
  <si>
    <t>CHM-0998</t>
  </si>
  <si>
    <t>METİL ETİL KETON PEROKSİT (Teknik ürün)</t>
  </si>
  <si>
    <t>1338-23-4</t>
  </si>
  <si>
    <t>244 °F at 760 mmHg (Decomposes) (NIOSH, 2024)</t>
  </si>
  <si>
    <t>METHYL ETHYL KETONE PEROXIDE (Technical product)</t>
  </si>
  <si>
    <t>3101</t>
  </si>
  <si>
    <t>CHM-0999</t>
  </si>
  <si>
    <t>METİL PROPİYONAT</t>
  </si>
  <si>
    <t>554-12-1</t>
  </si>
  <si>
    <t>1029</t>
  </si>
  <si>
    <t>METHYL PROPIONATE</t>
  </si>
  <si>
    <t>1248</t>
  </si>
  <si>
    <t>CHM-1000</t>
  </si>
  <si>
    <t>1-OKTANOL</t>
  </si>
  <si>
    <t>111-87-5</t>
  </si>
  <si>
    <t>1030</t>
  </si>
  <si>
    <t>1-OCTANOL</t>
  </si>
  <si>
    <t>CHM-1001</t>
  </si>
  <si>
    <t>PERASETİK ASİT (stabilize)</t>
  </si>
  <si>
    <t>79-21-0</t>
  </si>
  <si>
    <t>H226, H300, H302, H314, H330, H335, H400, H410</t>
  </si>
  <si>
    <t>221 °F at 760 mmHg (EPA, 1998)</t>
  </si>
  <si>
    <t>1031</t>
  </si>
  <si>
    <t>PERACETIC ACID (stabilized)</t>
  </si>
  <si>
    <t>3105</t>
  </si>
  <si>
    <t>flam; skull; corr; enviro</t>
  </si>
  <si>
    <t>Yanıcı; Akut Toksisite; corr; Çevre için Tehlikeli</t>
  </si>
  <si>
    <t>CHM-1002</t>
  </si>
  <si>
    <t>PİPERAZİN (susuz)</t>
  </si>
  <si>
    <t>110-85-0</t>
  </si>
  <si>
    <t>PIPERAZINE (anhydrous)</t>
  </si>
  <si>
    <t>2579</t>
  </si>
  <si>
    <t>CHM-1003</t>
  </si>
  <si>
    <t>REZORSİNOL</t>
  </si>
  <si>
    <t>108-46-3</t>
  </si>
  <si>
    <t>RESORCINOL</t>
  </si>
  <si>
    <t>2876</t>
  </si>
  <si>
    <t>CHM-1004</t>
  </si>
  <si>
    <t>TRİETANOLAMİN</t>
  </si>
  <si>
    <t>102-71-6</t>
  </si>
  <si>
    <t>1034</t>
  </si>
  <si>
    <t>TRIETHANOLAMINE</t>
  </si>
  <si>
    <t>CHM-1005</t>
  </si>
  <si>
    <t>AMONYUM BİSÜLFİT</t>
  </si>
  <si>
    <t>12124-99-1</t>
  </si>
  <si>
    <t>AMMONIUM BISULFIDE</t>
  </si>
  <si>
    <t>CHM-1006</t>
  </si>
  <si>
    <t>AMONYUM OKSALAT</t>
  </si>
  <si>
    <t>1113-38-8</t>
  </si>
  <si>
    <t>H302, H319, H335</t>
  </si>
  <si>
    <t>AMMONIUM OXALATE</t>
  </si>
  <si>
    <t>CHM-1007</t>
  </si>
  <si>
    <t>KALSİYUM NİTRAT</t>
  </si>
  <si>
    <t>10124-37-5</t>
  </si>
  <si>
    <t>CALCIUM NITRATE</t>
  </si>
  <si>
    <t>1454</t>
  </si>
  <si>
    <t>CHM-1008</t>
  </si>
  <si>
    <t>KALSİYUM POLİSÜLFİD</t>
  </si>
  <si>
    <t>1344-81-6</t>
  </si>
  <si>
    <t>1038</t>
  </si>
  <si>
    <t>CALCIUM POLYSULFIDE</t>
  </si>
  <si>
    <t>CHM-1009</t>
  </si>
  <si>
    <t>KLOROSÜLFONİK ASİT</t>
  </si>
  <si>
    <t>7790-94-5</t>
  </si>
  <si>
    <t>1039</t>
  </si>
  <si>
    <t>CHLOROSULFONIC ACID</t>
  </si>
  <si>
    <t>1754</t>
  </si>
  <si>
    <t>CHM-1010</t>
  </si>
  <si>
    <t>FLOROBORIK ASİT (SULU ÇÖZELTI ≥ %25)</t>
  </si>
  <si>
    <t>16872-11-0</t>
  </si>
  <si>
    <t>H290, H314</t>
  </si>
  <si>
    <t>130 °C decomposes</t>
  </si>
  <si>
    <t>FLUOROBORIC ACID (aqueous solution ≥ 25 %)</t>
  </si>
  <si>
    <t>1775</t>
  </si>
  <si>
    <t>CHM-1011</t>
  </si>
  <si>
    <t>MAGNEZYUM NİTRAT</t>
  </si>
  <si>
    <t>10377-60-3</t>
  </si>
  <si>
    <t>Decomposes at 626 °F (USCG, 1999)</t>
  </si>
  <si>
    <t>1041</t>
  </si>
  <si>
    <t>MAGNESIUM NITRATE</t>
  </si>
  <si>
    <t>1474</t>
  </si>
  <si>
    <t>CHM-1012</t>
  </si>
  <si>
    <t>PARALDEHİT</t>
  </si>
  <si>
    <t>123-63-7</t>
  </si>
  <si>
    <t>1042</t>
  </si>
  <si>
    <t>PARALDEHYDE</t>
  </si>
  <si>
    <t>1264</t>
  </si>
  <si>
    <t>CHM-1013</t>
  </si>
  <si>
    <t>POLİSTİREN</t>
  </si>
  <si>
    <t>9003-53-6</t>
  </si>
  <si>
    <t>1043</t>
  </si>
  <si>
    <t>POLYSTYRENE</t>
  </si>
  <si>
    <t>CHM-1014</t>
  </si>
  <si>
    <t>SODYUM BİKARBONAT</t>
  </si>
  <si>
    <t>144-55-8</t>
  </si>
  <si>
    <t>1044</t>
  </si>
  <si>
    <t>SODIUM BICARBONATE</t>
  </si>
  <si>
    <t>CHM-1015</t>
  </si>
  <si>
    <t>SODYUM KLORİT</t>
  </si>
  <si>
    <t>7758-19-2</t>
  </si>
  <si>
    <t>SODIUM CHLORITE</t>
  </si>
  <si>
    <t>1496</t>
  </si>
  <si>
    <t>CHM-1016</t>
  </si>
  <si>
    <t>SODYUM PERBORAT TETRAHİDRAT</t>
  </si>
  <si>
    <t>10486-00-7</t>
  </si>
  <si>
    <t>1046</t>
  </si>
  <si>
    <t>SODIUM PERBORATE TETRAHYDRATE</t>
  </si>
  <si>
    <t>1479</t>
  </si>
  <si>
    <t>CHM-1017</t>
  </si>
  <si>
    <t>SODYUM SÜLFİT (SUSUZ)</t>
  </si>
  <si>
    <t>1313-82-2</t>
  </si>
  <si>
    <t>1047</t>
  </si>
  <si>
    <t>SODIUM SULFIDE (ANHYDROUS)</t>
  </si>
  <si>
    <t>1385</t>
  </si>
  <si>
    <t>CHM-1018</t>
  </si>
  <si>
    <t>TRİBÜTİLAMİN</t>
  </si>
  <si>
    <t>102-82-9</t>
  </si>
  <si>
    <t>TRIBUTYLAMINE</t>
  </si>
  <si>
    <t>2542</t>
  </si>
  <si>
    <t>CHM-1019</t>
  </si>
  <si>
    <t>1,2,4-TRİKLOROBENZEN</t>
  </si>
  <si>
    <t>120-82-1</t>
  </si>
  <si>
    <t>1,2,4-TRICHLOROBENZENE</t>
  </si>
  <si>
    <t>2321</t>
  </si>
  <si>
    <t>CHM-1020</t>
  </si>
  <si>
    <t>1-NİTROPROPAN</t>
  </si>
  <si>
    <t>108-03-2</t>
  </si>
  <si>
    <t>1-NITROPROPANE</t>
  </si>
  <si>
    <t>CHM-1021</t>
  </si>
  <si>
    <t>AMONYUM KLORÜR</t>
  </si>
  <si>
    <t>12125-02-9</t>
  </si>
  <si>
    <t>AMMONIUM CHLORIDE</t>
  </si>
  <si>
    <t>CHM-1022</t>
  </si>
  <si>
    <t>BARYUM</t>
  </si>
  <si>
    <t>7440-39-3</t>
  </si>
  <si>
    <t>BARIUM</t>
  </si>
  <si>
    <t>1400</t>
  </si>
  <si>
    <t>CHM-1023</t>
  </si>
  <si>
    <t>SİYANOJEN KLORÜR</t>
  </si>
  <si>
    <t>506-77-4</t>
  </si>
  <si>
    <t>CYANOGEN CHLORIDE</t>
  </si>
  <si>
    <t>1589</t>
  </si>
  <si>
    <t>CHM-1024</t>
  </si>
  <si>
    <t>SİKLOHEKSEN</t>
  </si>
  <si>
    <t>110-83-8</t>
  </si>
  <si>
    <t>1054</t>
  </si>
  <si>
    <t>CYCLOHEXENE</t>
  </si>
  <si>
    <t>2256</t>
  </si>
  <si>
    <t>CHM-1025</t>
  </si>
  <si>
    <t>DİPROPİLEN GLİKOL</t>
  </si>
  <si>
    <t>110-98-5</t>
  </si>
  <si>
    <t>DIPROPYLENE GLYCOL</t>
  </si>
  <si>
    <t>CHM-1026</t>
  </si>
  <si>
    <t>ETİLEN GLİKOL DİNİTRAT</t>
  </si>
  <si>
    <t>628-96-6</t>
  </si>
  <si>
    <t>1056</t>
  </si>
  <si>
    <t>ETHYLENE GLYCOL DINITRATE</t>
  </si>
  <si>
    <t>CHM-1027</t>
  </si>
  <si>
    <t>HEKZAFLOROASETON</t>
  </si>
  <si>
    <t>684-16-2</t>
  </si>
  <si>
    <t>1057</t>
  </si>
  <si>
    <t>HEXAFLUOROACETONE</t>
  </si>
  <si>
    <t>2420</t>
  </si>
  <si>
    <t>CHM-1028</t>
  </si>
  <si>
    <t>OKTAKLORONAFTALEN</t>
  </si>
  <si>
    <t>2234-13-1</t>
  </si>
  <si>
    <t>1059</t>
  </si>
  <si>
    <t>OCTACHLORONAPHTHALENE</t>
  </si>
  <si>
    <t>CHM-1029</t>
  </si>
  <si>
    <t>FORAT</t>
  </si>
  <si>
    <t>298-02-2</t>
  </si>
  <si>
    <t>257 to 261 °F at 2 mmHg (EPA, 1998)</t>
  </si>
  <si>
    <t>1060</t>
  </si>
  <si>
    <t>PHORATE</t>
  </si>
  <si>
    <t>CHM-1030</t>
  </si>
  <si>
    <t>SİLİSYUM KARBÜR (lifsiz)</t>
  </si>
  <si>
    <t>409-21-2</t>
  </si>
  <si>
    <t>SILICON CARBIDE (non-fibrous)</t>
  </si>
  <si>
    <t>CHM-1031</t>
  </si>
  <si>
    <t>TRİFENİL FOSFAT</t>
  </si>
  <si>
    <t>115-86-6</t>
  </si>
  <si>
    <t>TRIPHENYL PHOSPHATE</t>
  </si>
  <si>
    <t>CHM-1032</t>
  </si>
  <si>
    <t>TEREBENTİN</t>
  </si>
  <si>
    <t>8006-64-2</t>
  </si>
  <si>
    <t>TURPENTINE</t>
  </si>
  <si>
    <t>1299</t>
  </si>
  <si>
    <t>CHM-1033</t>
  </si>
  <si>
    <t>ÇİNKO KLORÜR</t>
  </si>
  <si>
    <t>7646-85-7</t>
  </si>
  <si>
    <t>H302, H314, H335, H400, H410, H411, H412</t>
  </si>
  <si>
    <t>ZINC CHLORIDE</t>
  </si>
  <si>
    <t>2331</t>
  </si>
  <si>
    <t>CHM-1034</t>
  </si>
  <si>
    <t>o-KLOROBENZİLİDENEMALONONİTRİL</t>
  </si>
  <si>
    <t>2698-41-1</t>
  </si>
  <si>
    <t>o-CHLOROBENZYLIDENEMALONONITRILE</t>
  </si>
  <si>
    <t>CHM-1035</t>
  </si>
  <si>
    <t>1,2-DİKLOROBENZEN</t>
  </si>
  <si>
    <t>95-50-1</t>
  </si>
  <si>
    <t>1066</t>
  </si>
  <si>
    <t>1,2-DICHLOROBENZENE</t>
  </si>
  <si>
    <t>1591</t>
  </si>
  <si>
    <t>CHM-1036</t>
  </si>
  <si>
    <t>p-tert-BÜTİLTOLUEN</t>
  </si>
  <si>
    <t>98-51-1</t>
  </si>
  <si>
    <t>H227, H300, H302, H319, H330, H335, H373, H400</t>
  </si>
  <si>
    <t>1068</t>
  </si>
  <si>
    <t>p-tert-BUTYLTOLUENE</t>
  </si>
  <si>
    <t>2667</t>
  </si>
  <si>
    <t>CHM-1037</t>
  </si>
  <si>
    <t>POTASYUM NİTRİT</t>
  </si>
  <si>
    <t>7758-09-0</t>
  </si>
  <si>
    <t>537 °C (explodes)</t>
  </si>
  <si>
    <t>1069</t>
  </si>
  <si>
    <t>POTASSIUM NITRITE</t>
  </si>
  <si>
    <t>1488</t>
  </si>
  <si>
    <t>CHM-1038</t>
  </si>
  <si>
    <t>ASETAL</t>
  </si>
  <si>
    <t>105-57-7</t>
  </si>
  <si>
    <t>ACETAL</t>
  </si>
  <si>
    <t>1088</t>
  </si>
  <si>
    <t>CHM-1039</t>
  </si>
  <si>
    <t>DİALİL ETER</t>
  </si>
  <si>
    <t>557-40-4</t>
  </si>
  <si>
    <t>1071</t>
  </si>
  <si>
    <t>DIALLYL ETHER</t>
  </si>
  <si>
    <t>2360</t>
  </si>
  <si>
    <t>CHM-1040</t>
  </si>
  <si>
    <t>BARYUM ASETAT</t>
  </si>
  <si>
    <t>543-80-6</t>
  </si>
  <si>
    <t>BARIUM ACETATE</t>
  </si>
  <si>
    <t>CHM-1041</t>
  </si>
  <si>
    <t>BROMOASETON</t>
  </si>
  <si>
    <t>598-31-2</t>
  </si>
  <si>
    <t>1074</t>
  </si>
  <si>
    <t>BROMOACETONE</t>
  </si>
  <si>
    <t>1569</t>
  </si>
  <si>
    <t>CHM-1042</t>
  </si>
  <si>
    <t>KADMİYUM ASETAT</t>
  </si>
  <si>
    <t>543-90-8</t>
  </si>
  <si>
    <t>H302, H340, H341, H351, H373, H400, H410, H411, H412</t>
  </si>
  <si>
    <t>1075</t>
  </si>
  <si>
    <t>CADMIUM ACETATE</t>
  </si>
  <si>
    <t>CHM-1043</t>
  </si>
  <si>
    <t>KLORONİTROANİLİN</t>
  </si>
  <si>
    <t>121-87-9</t>
  </si>
  <si>
    <t>CHLORONITROANILINE</t>
  </si>
  <si>
    <t>2237</t>
  </si>
  <si>
    <t>CHM-1044</t>
  </si>
  <si>
    <t>1,3-DİAMİNOBÜTAN</t>
  </si>
  <si>
    <t>590-88-5</t>
  </si>
  <si>
    <t>1078</t>
  </si>
  <si>
    <t>1,3-DIAMINOBUTANE</t>
  </si>
  <si>
    <t>2733</t>
  </si>
  <si>
    <t>CHM-1045</t>
  </si>
  <si>
    <t>DİETİL SÜKSİNAT</t>
  </si>
  <si>
    <t>123-25-1</t>
  </si>
  <si>
    <t>DIETHYL SUCCINATE</t>
  </si>
  <si>
    <t>CHM-1046</t>
  </si>
  <si>
    <t>DİMETİL KARBONAT</t>
  </si>
  <si>
    <t>616-38-6</t>
  </si>
  <si>
    <t>DIMETHYL CARBONATE</t>
  </si>
  <si>
    <t>1161</t>
  </si>
  <si>
    <t>CHM-1047</t>
  </si>
  <si>
    <t>ETİL KLOROASETAT</t>
  </si>
  <si>
    <t>105-39-5</t>
  </si>
  <si>
    <t>1081</t>
  </si>
  <si>
    <t>ETHYL CHLOROACETATE</t>
  </si>
  <si>
    <t>1181</t>
  </si>
  <si>
    <t>CHM-1048</t>
  </si>
  <si>
    <t>1-HEPTANOL</t>
  </si>
  <si>
    <t>111-70-6</t>
  </si>
  <si>
    <t>CHM-1049</t>
  </si>
  <si>
    <t>2-HEPTANOL</t>
  </si>
  <si>
    <t>543-49-7</t>
  </si>
  <si>
    <t>CHM-1050</t>
  </si>
  <si>
    <t>1-HEKSANOL</t>
  </si>
  <si>
    <t>111-27-3</t>
  </si>
  <si>
    <t>1084</t>
  </si>
  <si>
    <t>1-HEXANOL</t>
  </si>
  <si>
    <t>CHM-1051</t>
  </si>
  <si>
    <t>MALONİK ASİT</t>
  </si>
  <si>
    <t>141-82-2</t>
  </si>
  <si>
    <t>MALONIC ACID</t>
  </si>
  <si>
    <t>CHM-1052</t>
  </si>
  <si>
    <t>METİLASETOASETAT</t>
  </si>
  <si>
    <t>105-45-3</t>
  </si>
  <si>
    <t>METHYLACETOACETATE</t>
  </si>
  <si>
    <t>CHM-1053</t>
  </si>
  <si>
    <t>N-METİLFORMAMİD</t>
  </si>
  <si>
    <t>123-39-7</t>
  </si>
  <si>
    <t>1087</t>
  </si>
  <si>
    <t>N-METHYLFORMAMIDE</t>
  </si>
  <si>
    <t>CHM-1054</t>
  </si>
  <si>
    <t>POTASYUM TİYOSİYANAT</t>
  </si>
  <si>
    <t>333-20-0</t>
  </si>
  <si>
    <t>POTASSIUM THIOCYANATE</t>
  </si>
  <si>
    <t>CHM-1055</t>
  </si>
  <si>
    <t>2,3,4,6-TETRAKLOROFENOL</t>
  </si>
  <si>
    <t>58-90-2</t>
  </si>
  <si>
    <t>302 °F at 15 mmHg (NTP, 1992)</t>
  </si>
  <si>
    <t>2,3,4,6-TETRACHLOROPHENOL</t>
  </si>
  <si>
    <t>CHM-1056</t>
  </si>
  <si>
    <t>AZOBİS(İZOBÜTİRONİTRİL)</t>
  </si>
  <si>
    <t>78-67-1</t>
  </si>
  <si>
    <t>AZOBIS(ISOBUTYRONITRILE)</t>
  </si>
  <si>
    <t>3234</t>
  </si>
  <si>
    <t>CHM-1057</t>
  </si>
  <si>
    <t>BENZOTRİAZOL</t>
  </si>
  <si>
    <t>95-14-7</t>
  </si>
  <si>
    <t>1091</t>
  </si>
  <si>
    <t>BENZOTRIAZOLE</t>
  </si>
  <si>
    <t>CHM-1058</t>
  </si>
  <si>
    <t>KALSİYUM ASETAT</t>
  </si>
  <si>
    <t>62-54-4</t>
  </si>
  <si>
    <t>CALCIUM ACETATE</t>
  </si>
  <si>
    <t>CHM-1059</t>
  </si>
  <si>
    <t>KOBALT NAFTENAT</t>
  </si>
  <si>
    <t>61789-51-3</t>
  </si>
  <si>
    <t>COBALT NAPHTHENATE</t>
  </si>
  <si>
    <t>2001</t>
  </si>
  <si>
    <t>CHM-1060</t>
  </si>
  <si>
    <t>1,3-DİKLOROBENZEN</t>
  </si>
  <si>
    <t>541-73-1</t>
  </si>
  <si>
    <t>1095</t>
  </si>
  <si>
    <t>1,3-DICHLOROBENZENE</t>
  </si>
  <si>
    <t>CHM-1061</t>
  </si>
  <si>
    <t>HEKSAKLOROSİKLOPENTADİEN</t>
  </si>
  <si>
    <t>77-47-4</t>
  </si>
  <si>
    <t>1096</t>
  </si>
  <si>
    <t>HEXACHLOROCYCLOPENTADIENE</t>
  </si>
  <si>
    <t>2646</t>
  </si>
  <si>
    <t>CHM-1062</t>
  </si>
  <si>
    <t>4-METOKSİFENOL</t>
  </si>
  <si>
    <t>150-76-5</t>
  </si>
  <si>
    <t>1097</t>
  </si>
  <si>
    <t>4-METHOXYPHENOL</t>
  </si>
  <si>
    <t>CHM-1063</t>
  </si>
  <si>
    <t>4-METOKSİ-4-METİL-2-PENTANON</t>
  </si>
  <si>
    <t>107-70-0</t>
  </si>
  <si>
    <t>4-METHOXY-4-METHYL-2-PENTANONE</t>
  </si>
  <si>
    <t>2293</t>
  </si>
  <si>
    <t>CHM-1064</t>
  </si>
  <si>
    <t>TETRAMETİLAMONYUM KLORİD</t>
  </si>
  <si>
    <t>75-57-0</t>
  </si>
  <si>
    <t>1099</t>
  </si>
  <si>
    <t>TETRAMETHYLAMMONIUM CHLORIDE</t>
  </si>
  <si>
    <t>CHM-1065</t>
  </si>
  <si>
    <t>TRİKLOPİR</t>
  </si>
  <si>
    <t>55335-06-3</t>
  </si>
  <si>
    <t>290 °C /decomposes/</t>
  </si>
  <si>
    <t>TRICLOPYR</t>
  </si>
  <si>
    <t>CHM-1066</t>
  </si>
  <si>
    <t>BENZONİTRİL</t>
  </si>
  <si>
    <t>100-47-0</t>
  </si>
  <si>
    <t>1103</t>
  </si>
  <si>
    <t>BENZONITRILE</t>
  </si>
  <si>
    <t>2224</t>
  </si>
  <si>
    <t>CHM-1067</t>
  </si>
  <si>
    <t>1,4-BÜTANDİYOL</t>
  </si>
  <si>
    <t>110-63-4</t>
  </si>
  <si>
    <t>1,4-BUTANEDIOL</t>
  </si>
  <si>
    <t>CHM-1068</t>
  </si>
  <si>
    <t>KUMARİN</t>
  </si>
  <si>
    <t>91-64-5</t>
  </si>
  <si>
    <t>COUMARIN</t>
  </si>
  <si>
    <t>CHM-1069</t>
  </si>
  <si>
    <t>DİKLOROFLÜOROMETAN</t>
  </si>
  <si>
    <t>75-43-4</t>
  </si>
  <si>
    <t>1106</t>
  </si>
  <si>
    <t>DICHLOROMONOFLUOROMETHANE</t>
  </si>
  <si>
    <t>CHM-1070</t>
  </si>
  <si>
    <t>2,4-DİNİTROANİLİN</t>
  </si>
  <si>
    <t>97-02-9</t>
  </si>
  <si>
    <t>1107</t>
  </si>
  <si>
    <t>2,4-DINITROANILINE</t>
  </si>
  <si>
    <t>1596</t>
  </si>
  <si>
    <t>CHM-1071</t>
  </si>
  <si>
    <t>N-İZOPROPİL-N'-FENİL-P-FENİLENDİAMİN</t>
  </si>
  <si>
    <t>101-72-4</t>
  </si>
  <si>
    <t>322 °F at 1 mmHg (NTP, 1992)</t>
  </si>
  <si>
    <t>1108</t>
  </si>
  <si>
    <t>N-ISOPROPYL-N'-PHENYL-p-PHENYLENEDIAMINE</t>
  </si>
  <si>
    <t>CHM-1072</t>
  </si>
  <si>
    <t>LİTYUM KARBONAT</t>
  </si>
  <si>
    <t>554-13-2</t>
  </si>
  <si>
    <t>1109</t>
  </si>
  <si>
    <t>LITHIUM CARBONATE</t>
  </si>
  <si>
    <t>CHM-1073</t>
  </si>
  <si>
    <t>METİL KLOROFORMAT</t>
  </si>
  <si>
    <t>79-22-1</t>
  </si>
  <si>
    <t>METHYL CHLOROFORMATE</t>
  </si>
  <si>
    <t>1238</t>
  </si>
  <si>
    <t>CHM-1074</t>
  </si>
  <si>
    <t>4,4'-METİLENDİANİLİN</t>
  </si>
  <si>
    <t>101-77-9</t>
  </si>
  <si>
    <t>H302, H317, H340, H341, H351, H373, H402</t>
  </si>
  <si>
    <t>1111</t>
  </si>
  <si>
    <t>4,4'-METHYLENEDIANILINE</t>
  </si>
  <si>
    <t>2651</t>
  </si>
  <si>
    <t>CHM-1075</t>
  </si>
  <si>
    <t>N,N'-ETİLEN BİS(STEARAMID)</t>
  </si>
  <si>
    <t>110-30-5</t>
  </si>
  <si>
    <t>1112</t>
  </si>
  <si>
    <t>N,N'-ETHYLENE BIS(STEARAMIDE)</t>
  </si>
  <si>
    <t>CHM-1076</t>
  </si>
  <si>
    <t>N-FENİL-1-NAFTİLAMİN</t>
  </si>
  <si>
    <t>90-30-2</t>
  </si>
  <si>
    <t>635 °F at 528 mmHg (NTP, 1992)</t>
  </si>
  <si>
    <t>N-PHENYL-1-NAPHTHYLAMINE</t>
  </si>
  <si>
    <t>CHM-1077</t>
  </si>
  <si>
    <t>PERKLORİL FLORÜR</t>
  </si>
  <si>
    <t>7616-94-6</t>
  </si>
  <si>
    <t>PERCHLORYL FLUORIDE</t>
  </si>
  <si>
    <t>3083</t>
  </si>
  <si>
    <t>CHM-1078</t>
  </si>
  <si>
    <t>POTASYUM BROMAT</t>
  </si>
  <si>
    <t>7758-01-2</t>
  </si>
  <si>
    <t>Decomposes at 698 °F (NTP, 1992)</t>
  </si>
  <si>
    <t>1115</t>
  </si>
  <si>
    <t>POTASSIUM BROMATE</t>
  </si>
  <si>
    <t>1484</t>
  </si>
  <si>
    <t>CHM-1079</t>
  </si>
  <si>
    <t>GÜMÜŞ NİTRAT</t>
  </si>
  <si>
    <t>7761-88-8</t>
  </si>
  <si>
    <t>H302, H314, H400, H410, H411, H412</t>
  </si>
  <si>
    <t>824 °F at 760 mmHg (Decomposes) (NTP, 1992)</t>
  </si>
  <si>
    <t>1116</t>
  </si>
  <si>
    <t>SILVER NITRATE</t>
  </si>
  <si>
    <t>1493</t>
  </si>
  <si>
    <t>flam circle; corr; enviro</t>
  </si>
  <si>
    <t>flam circle; corr; Çevre için Tehlikeli</t>
  </si>
  <si>
    <t>CHM-1080</t>
  </si>
  <si>
    <t>SODYUM KLORAT</t>
  </si>
  <si>
    <t>7775-09-9</t>
  </si>
  <si>
    <t>1117</t>
  </si>
  <si>
    <t>SODIUM CHLORATE</t>
  </si>
  <si>
    <t>1495</t>
  </si>
  <si>
    <t>flam circle; cancer; excl mark</t>
  </si>
  <si>
    <t>flam circle; Kanserojen/Mutajen/Repro; Sağlık Tehlikesi (hafif)</t>
  </si>
  <si>
    <t>CHM-1081</t>
  </si>
  <si>
    <t>SODYUM SİYANÜR</t>
  </si>
  <si>
    <t>143-33-9</t>
  </si>
  <si>
    <t>1118</t>
  </si>
  <si>
    <t>SODIUM CYANIDE</t>
  </si>
  <si>
    <t>1689</t>
  </si>
  <si>
    <t>CHM-1082</t>
  </si>
  <si>
    <t>SODYUM HİPOKLORİT (ÇÖZELTI, AKTİF KLOR &gt;%10)</t>
  </si>
  <si>
    <t>H290, H314, H335, H400, H410, H411, H412</t>
  </si>
  <si>
    <t>1119</t>
  </si>
  <si>
    <t>SODIUM HYPOCHLORITE (SOLUTION, ACTIVE CHLORINE &gt;10%)</t>
  </si>
  <si>
    <t>CHM-1083</t>
  </si>
  <si>
    <t>SODYUM NİTRİT</t>
  </si>
  <si>
    <t>7632-00-0</t>
  </si>
  <si>
    <t>Decomposes at 608 °F (NTP, 1992)</t>
  </si>
  <si>
    <t>SODIUM NITRITE</t>
  </si>
  <si>
    <t>1500</t>
  </si>
  <si>
    <t>CHM-1084</t>
  </si>
  <si>
    <t>TETRAMETİL SÜKSİNONİTRİL</t>
  </si>
  <si>
    <t>3333-52-6</t>
  </si>
  <si>
    <t>1121</t>
  </si>
  <si>
    <t>TETRAMETHYL SUCCINONITRILE</t>
  </si>
  <si>
    <t>CHM-1085</t>
  </si>
  <si>
    <t>2,4,6-TRİKLOROFENOL</t>
  </si>
  <si>
    <t>88-06-2</t>
  </si>
  <si>
    <t>H302, H315, H319, H335, H351, H400, H410</t>
  </si>
  <si>
    <t>1122</t>
  </si>
  <si>
    <t>2,4,6-TRICHLOROPHENOL</t>
  </si>
  <si>
    <t>CHM-1086</t>
  </si>
  <si>
    <t>TRİETİLENTETRAMİN</t>
  </si>
  <si>
    <t>112-24-3</t>
  </si>
  <si>
    <t>H302, H311, H314, H317, H334, H400, H411, H412</t>
  </si>
  <si>
    <t>TRIETHYLENETETRAMINE</t>
  </si>
  <si>
    <t>2259</t>
  </si>
  <si>
    <t>CHM-1087</t>
  </si>
  <si>
    <t>TRİFENİL FOSFİT</t>
  </si>
  <si>
    <t>101-02-0</t>
  </si>
  <si>
    <t>1124</t>
  </si>
  <si>
    <t>TRIPHENYL PHOSPHITE</t>
  </si>
  <si>
    <t>CHM-1088</t>
  </si>
  <si>
    <t>ALÜMİNYUM KLORİD (ANHİDROZ)</t>
  </si>
  <si>
    <t>7446-70-0</t>
  </si>
  <si>
    <t>230 °F at 760 mmHg (USCG, 1999)</t>
  </si>
  <si>
    <t>ALUMINIUM CHLORIDE (ANHYDROUS)</t>
  </si>
  <si>
    <t>1726</t>
  </si>
  <si>
    <t>CHM-1089</t>
  </si>
  <si>
    <t>KALSİYUM FOSFİD</t>
  </si>
  <si>
    <t>1305-99-3</t>
  </si>
  <si>
    <t>1126</t>
  </si>
  <si>
    <t>CALCIUM PHOSPHIDE</t>
  </si>
  <si>
    <t>1360</t>
  </si>
  <si>
    <t>CHM-1090</t>
  </si>
  <si>
    <t>KOBALT SÜLFAT</t>
  </si>
  <si>
    <t>10124-43-3</t>
  </si>
  <si>
    <t>H302, H317, H319, H334, H335, H340, H341, H351, H360, H361, H373, H400, H411, H412</t>
  </si>
  <si>
    <t>COBALT SULFATE</t>
  </si>
  <si>
    <t>CHM-1091</t>
  </si>
  <si>
    <t>KOBALT(II) ASETAT TETRAHİDRAT</t>
  </si>
  <si>
    <t>6147-53-1</t>
  </si>
  <si>
    <t>COBALT(II) ACETATE TETRAHYDRATE</t>
  </si>
  <si>
    <t>CHM-1092</t>
  </si>
  <si>
    <t>DİSODYUM HİDROJEN FOSFAT</t>
  </si>
  <si>
    <t>7558-79-4</t>
  </si>
  <si>
    <t>H315, H319</t>
  </si>
  <si>
    <t>DISODIUM HYDROGEN PHOSPHATE</t>
  </si>
  <si>
    <t>CHM-1093</t>
  </si>
  <si>
    <t>FENİL İZOSİYANAT</t>
  </si>
  <si>
    <t>103-71-9</t>
  </si>
  <si>
    <t>PHENYL ISOCYANATE</t>
  </si>
  <si>
    <t>2487</t>
  </si>
  <si>
    <t>CHM-1094</t>
  </si>
  <si>
    <t>POTASYUM FERRİSİYANÜR</t>
  </si>
  <si>
    <t>13746-66-2</t>
  </si>
  <si>
    <t>1132</t>
  </si>
  <si>
    <t>POTASSIUM FERRICYANIDE</t>
  </si>
  <si>
    <t>CHM-1095</t>
  </si>
  <si>
    <t>POTASYUM PERSÜLFAT</t>
  </si>
  <si>
    <t>7727-21-1</t>
  </si>
  <si>
    <t>1133</t>
  </si>
  <si>
    <t>POTASSIUM PERSULFATE</t>
  </si>
  <si>
    <t>1492</t>
  </si>
  <si>
    <t>CHM-1096</t>
  </si>
  <si>
    <t>SODYUM BİSÜLFİT %38-40 SULU ÇÖZELTI</t>
  </si>
  <si>
    <t>7631-90-5</t>
  </si>
  <si>
    <t>SODIUM BISULFITE 38-40 % AQUEOUS SOLUTION</t>
  </si>
  <si>
    <t>CHM-1097</t>
  </si>
  <si>
    <t>SODYUM KARBONAT (ANHİDROZ)</t>
  </si>
  <si>
    <t>497-19-8</t>
  </si>
  <si>
    <t>Decomposes on heating by CO2 loss</t>
  </si>
  <si>
    <t>SODIUM CARBONATE (ANHYDROUS)</t>
  </si>
  <si>
    <t>CHM-1098</t>
  </si>
  <si>
    <t>SODYUM PERSÜLFAT</t>
  </si>
  <si>
    <t>7775-27-1</t>
  </si>
  <si>
    <t>1136</t>
  </si>
  <si>
    <t>SODIUM PERSULFATE</t>
  </si>
  <si>
    <t>1505</t>
  </si>
  <si>
    <t>CHM-1099</t>
  </si>
  <si>
    <t>SODYUM SİLİKAT (ÇÖZELTI %25-50)</t>
  </si>
  <si>
    <t>1344-09-8</t>
  </si>
  <si>
    <t>BOILING POINT: 100 °C -6H20 /NONAHYDRATE/</t>
  </si>
  <si>
    <t>1137</t>
  </si>
  <si>
    <t>SODIUM SILICATE (solution 25-50%)</t>
  </si>
  <si>
    <t>CHM-1100</t>
  </si>
  <si>
    <t>SODYUM TİYOSÜLFAT</t>
  </si>
  <si>
    <t>7772-98-7</t>
  </si>
  <si>
    <t>1138</t>
  </si>
  <si>
    <t>SODIUM THIOSULFATE</t>
  </si>
  <si>
    <t>CHM-1101</t>
  </si>
  <si>
    <t>SODYUM TRİKLOROASETAT</t>
  </si>
  <si>
    <t>650-51-1</t>
  </si>
  <si>
    <t>1139</t>
  </si>
  <si>
    <t>SODIUM TRICHLOROACETATE</t>
  </si>
  <si>
    <t>CHM-1102</t>
  </si>
  <si>
    <t>TETRASODYUM PİROFOSFAT</t>
  </si>
  <si>
    <t>7722-88-5</t>
  </si>
  <si>
    <t>1140</t>
  </si>
  <si>
    <t>TETRASODIUM PYROPHOSPHATE</t>
  </si>
  <si>
    <t>CHM-1103</t>
  </si>
  <si>
    <t>PERLİT</t>
  </si>
  <si>
    <t>93763-70-3</t>
  </si>
  <si>
    <t>1141</t>
  </si>
  <si>
    <t>PERLITE</t>
  </si>
  <si>
    <t>CHM-1104</t>
  </si>
  <si>
    <t>DİSUL-SODYUM</t>
  </si>
  <si>
    <t>136-78-7</t>
  </si>
  <si>
    <t>1142</t>
  </si>
  <si>
    <t>DISUL-SODIUM</t>
  </si>
  <si>
    <t>CHM-1105</t>
  </si>
  <si>
    <t>KRUFOMAT (OBSOLETE)</t>
  </si>
  <si>
    <t>299-86-5</t>
  </si>
  <si>
    <t>CRUFOMATE (OBSOLETE)</t>
  </si>
  <si>
    <t>CHM-1106</t>
  </si>
  <si>
    <t>KAOLİN</t>
  </si>
  <si>
    <t>1332-58-7</t>
  </si>
  <si>
    <t>1144</t>
  </si>
  <si>
    <t>KAOLIN</t>
  </si>
  <si>
    <t>CHM-1107</t>
  </si>
  <si>
    <t>PLATİN TETRAKLORÜR</t>
  </si>
  <si>
    <t>13454-96-1</t>
  </si>
  <si>
    <t>PLATINUM TETRACHLORIDE</t>
  </si>
  <si>
    <t>CHM-1108</t>
  </si>
  <si>
    <t>p-(METİLAMİNO)FENOL</t>
  </si>
  <si>
    <t>150-75-4</t>
  </si>
  <si>
    <t>209-211 °C at 1.6 kPa</t>
  </si>
  <si>
    <t>p-(METHYLAMINO)PHENOL</t>
  </si>
  <si>
    <t>CHM-1109</t>
  </si>
  <si>
    <t>TRİETOKSİSİLAN</t>
  </si>
  <si>
    <t>998-30-1</t>
  </si>
  <si>
    <t>1147</t>
  </si>
  <si>
    <t>TRIETHOXYSILANE</t>
  </si>
  <si>
    <t>CHM-1110</t>
  </si>
  <si>
    <t>2-MERKAPTOİMİDAZOLİN</t>
  </si>
  <si>
    <t>96-45-7</t>
  </si>
  <si>
    <t>H302, H360, H361, H402</t>
  </si>
  <si>
    <t>446 to 595 °F at 760 mmHg (NIOSH, 2024)</t>
  </si>
  <si>
    <t>2-MERCAPTOIMIDAZOLINE</t>
  </si>
  <si>
    <t>cancer; excl mark</t>
  </si>
  <si>
    <t>Kanserojen/Mutajen/Repro; Sağlık Tehlikesi (hafif)</t>
  </si>
  <si>
    <t>CHM-1111</t>
  </si>
  <si>
    <t>ETİLEN GLİKOL DİBÜTİL ETER</t>
  </si>
  <si>
    <t>112-48-1</t>
  </si>
  <si>
    <t>1149</t>
  </si>
  <si>
    <t>ETHYLENE GLYCOL DIBUTYL ETHER</t>
  </si>
  <si>
    <t>CHM-1112</t>
  </si>
  <si>
    <t>n-BÜTİL ETER</t>
  </si>
  <si>
    <t>142-96-1</t>
  </si>
  <si>
    <t>H226, H302, H319, H335, H402, H412</t>
  </si>
  <si>
    <t>n-BUTYL ETHER</t>
  </si>
  <si>
    <t>CHM-1113</t>
  </si>
  <si>
    <t>DİETİLEN GLİKOL DİETİL ETER</t>
  </si>
  <si>
    <t>112-36-7</t>
  </si>
  <si>
    <t>1151</t>
  </si>
  <si>
    <t>DIETHYLENE GLYCOL DIETHYL ETHER</t>
  </si>
  <si>
    <t>CHM-1114</t>
  </si>
  <si>
    <t>METİLAL</t>
  </si>
  <si>
    <t>109-87-5</t>
  </si>
  <si>
    <t>1152</t>
  </si>
  <si>
    <t>METHYLAL</t>
  </si>
  <si>
    <t>1234</t>
  </si>
  <si>
    <t>CHM-1115</t>
  </si>
  <si>
    <t>İZOPENTAN</t>
  </si>
  <si>
    <t>78-78-4</t>
  </si>
  <si>
    <t>H224, H226, H300, H336, H400</t>
  </si>
  <si>
    <t>1153</t>
  </si>
  <si>
    <t>ISOPENTANE</t>
  </si>
  <si>
    <t>CHM-1116</t>
  </si>
  <si>
    <t>MELAMİN</t>
  </si>
  <si>
    <t>108-78-1</t>
  </si>
  <si>
    <t>MELAMINE</t>
  </si>
  <si>
    <t>CHM-1117</t>
  </si>
  <si>
    <t>1,3,5-TRİMETİLBENZEN</t>
  </si>
  <si>
    <t>108-67-8</t>
  </si>
  <si>
    <t>1,3,5-TRIMETHYLBENZENE</t>
  </si>
  <si>
    <t>2325</t>
  </si>
  <si>
    <t>CHM-1118</t>
  </si>
  <si>
    <t>ASETOFENON</t>
  </si>
  <si>
    <t>98-86-2</t>
  </si>
  <si>
    <t>H302, H312, H319</t>
  </si>
  <si>
    <t>ACETOPHENONE</t>
  </si>
  <si>
    <t>CHM-1119</t>
  </si>
  <si>
    <t>FORON</t>
  </si>
  <si>
    <t>504-20-1</t>
  </si>
  <si>
    <t>PHORONE</t>
  </si>
  <si>
    <t>CHM-1120</t>
  </si>
  <si>
    <t>TETRAETİL PİROFOSFAT</t>
  </si>
  <si>
    <t>107-49-3</t>
  </si>
  <si>
    <t>280 °F at 2.3 mmHg (EPA, 1998)</t>
  </si>
  <si>
    <t>TETRAETHYL PYROPHOSPHATE</t>
  </si>
  <si>
    <t>CHM-1121</t>
  </si>
  <si>
    <t>TETRAHİDROFURFURİL ALKOL</t>
  </si>
  <si>
    <t>97-99-4</t>
  </si>
  <si>
    <t>H227, H319, H361</t>
  </si>
  <si>
    <t>TETRAHYDROFURFURYL ALCOHOL</t>
  </si>
  <si>
    <t>CHM-1122</t>
  </si>
  <si>
    <t>TRİETİLEN GLİKOL</t>
  </si>
  <si>
    <t>112-27-6</t>
  </si>
  <si>
    <t>1160</t>
  </si>
  <si>
    <t>TRIETHYLENE GLYCOL</t>
  </si>
  <si>
    <t>CHM-1123</t>
  </si>
  <si>
    <t>2-(TİYOSİYANOMETİLTİYO)BENZOTİYAZOL</t>
  </si>
  <si>
    <t>21564-17-0</t>
  </si>
  <si>
    <t>191 °C (decomposes)</t>
  </si>
  <si>
    <t>2-(THIOCYANOMETHYLTHIO)BENZOTHIAZOLE</t>
  </si>
  <si>
    <t>CHM-1124</t>
  </si>
  <si>
    <t>GLİOKSAL (%40 ÇÖZELTI)</t>
  </si>
  <si>
    <t>107-22-2</t>
  </si>
  <si>
    <t>GLYOXAL (40% solution)</t>
  </si>
  <si>
    <t>CHM-1125</t>
  </si>
  <si>
    <t>METANSÜLFONİL KLORİD</t>
  </si>
  <si>
    <t>124-63-0</t>
  </si>
  <si>
    <t>H290, H300, H301, H314, H317, H330, H335, H402</t>
  </si>
  <si>
    <t>METHANESULFONYL CHLORIDE</t>
  </si>
  <si>
    <t>3246</t>
  </si>
  <si>
    <t>CHM-1126</t>
  </si>
  <si>
    <t>METİL TERT-BÜTİL ETER</t>
  </si>
  <si>
    <t>1634-04-4</t>
  </si>
  <si>
    <t>METHYL TERT-BUTYL ETHER</t>
  </si>
  <si>
    <t>2398</t>
  </si>
  <si>
    <t>CHM-1127</t>
  </si>
  <si>
    <t>SODYUM FORMAT</t>
  </si>
  <si>
    <t>141-53-7</t>
  </si>
  <si>
    <t>BOILING POINT: DECOMPOSES; DELIQUESCENT</t>
  </si>
  <si>
    <t>SODIUM FORMATE</t>
  </si>
  <si>
    <t>CHM-1128</t>
  </si>
  <si>
    <t>KÜKÜRT</t>
  </si>
  <si>
    <t>7704-34-9</t>
  </si>
  <si>
    <t>1166</t>
  </si>
  <si>
    <t>SULFUR</t>
  </si>
  <si>
    <t>1350</t>
  </si>
  <si>
    <t>CHM-1129</t>
  </si>
  <si>
    <t>HEKSANOIK ASİT</t>
  </si>
  <si>
    <t>142-62-1</t>
  </si>
  <si>
    <t>1167</t>
  </si>
  <si>
    <t>HEXANOIC ACID</t>
  </si>
  <si>
    <t>2829</t>
  </si>
  <si>
    <t>CHM-1130</t>
  </si>
  <si>
    <t>2,3-BÜTANDİYON</t>
  </si>
  <si>
    <t>431-03-8</t>
  </si>
  <si>
    <t>H225, H226, H302, H315, H319, H331, H373, H402</t>
  </si>
  <si>
    <t>1168</t>
  </si>
  <si>
    <t>2,3-BUTANEDIONE</t>
  </si>
  <si>
    <t>2346</t>
  </si>
  <si>
    <t>CHM-1131</t>
  </si>
  <si>
    <t>METİLSİKLOPENTADİENİL MANGAN TRİKARBONİL</t>
  </si>
  <si>
    <t>12108-13-3</t>
  </si>
  <si>
    <t>1169</t>
  </si>
  <si>
    <t>METHYLCYCLOPENTADIENYL MANGANESE TRICARBONYL</t>
  </si>
  <si>
    <t>CHM-1132</t>
  </si>
  <si>
    <t>2-OKTANOL</t>
  </si>
  <si>
    <t>123-96-6</t>
  </si>
  <si>
    <t>2-OCTANOL</t>
  </si>
  <si>
    <t>CHM-1133</t>
  </si>
  <si>
    <t>DİBÜTİLKALAY DİLAURAT</t>
  </si>
  <si>
    <t>77-58-7</t>
  </si>
  <si>
    <t>H319, H340, H341, H360, H361, H373, H400, H411, H412</t>
  </si>
  <si>
    <t>DIBUTYLTIN DILAURATE</t>
  </si>
  <si>
    <t>CHM-1134</t>
  </si>
  <si>
    <t>2,4-DİNONİL FENOL (OBSOLETE)</t>
  </si>
  <si>
    <t>1323-65-5</t>
  </si>
  <si>
    <t>H302, H314, H317, H361, H400, H410, H411, H412</t>
  </si>
  <si>
    <t>2,4-DINONYL PHENOL (OBSOLETE)</t>
  </si>
  <si>
    <t>expl; cancer; excl mark; enviro</t>
  </si>
  <si>
    <t>expl; Kanserojen/Mutajen/Repro; Sağlık Tehlikesi (hafif); Çevre için Tehlikeli</t>
  </si>
  <si>
    <t>CHM-1135</t>
  </si>
  <si>
    <t>FUMARİK ASİT</t>
  </si>
  <si>
    <t>110-17-8</t>
  </si>
  <si>
    <t>H319, H402</t>
  </si>
  <si>
    <t>329 °F at 1.7 mmHg ; sublimes (NTP, 1992)</t>
  </si>
  <si>
    <t>FUMARIC ACID</t>
  </si>
  <si>
    <t>CHM-1136</t>
  </si>
  <si>
    <t>GALLİK ASİT</t>
  </si>
  <si>
    <t>149-91-7</t>
  </si>
  <si>
    <t>1174</t>
  </si>
  <si>
    <t>GALLIC ACID</t>
  </si>
  <si>
    <t>CHM-1137</t>
  </si>
  <si>
    <t>POTASYUM METABİSÜLFİT</t>
  </si>
  <si>
    <t>16731-55-8</t>
  </si>
  <si>
    <t>H318</t>
  </si>
  <si>
    <t>POTASSIUM METABISULFITE</t>
  </si>
  <si>
    <t>CHM-1138</t>
  </si>
  <si>
    <t>1-TRİDEKANOL</t>
  </si>
  <si>
    <t>112-70-9</t>
  </si>
  <si>
    <t>1176</t>
  </si>
  <si>
    <t>1-TRIDECANOL</t>
  </si>
  <si>
    <t>CHM-1139</t>
  </si>
  <si>
    <t>4-VİNİLSİKLOHEKSEN</t>
  </si>
  <si>
    <t>100-40-3</t>
  </si>
  <si>
    <t>H225, H226, H300, H315, H351, H400, H411, H412</t>
  </si>
  <si>
    <t>1177</t>
  </si>
  <si>
    <t>4-VINYLCYCLOHEXENE</t>
  </si>
  <si>
    <t>CHM-1140</t>
  </si>
  <si>
    <t>TRİSODYUM FOSFAT (ANHİDROZ)</t>
  </si>
  <si>
    <t>7601-54-9</t>
  </si>
  <si>
    <t>The hydrate loses 11 moles of water at 212 °F. (USCG, 1999)</t>
  </si>
  <si>
    <t>1178</t>
  </si>
  <si>
    <t>TRISODIUM PHOSPHATE (ANHYDROUS)</t>
  </si>
  <si>
    <t>3262</t>
  </si>
  <si>
    <t>CHM-1141</t>
  </si>
  <si>
    <t>n-HEPTANOIK ASİT</t>
  </si>
  <si>
    <t>111-14-8</t>
  </si>
  <si>
    <t>H314, H332, H335</t>
  </si>
  <si>
    <t>1179</t>
  </si>
  <si>
    <t>n-HEPTANOIC ACID</t>
  </si>
  <si>
    <t>CHM-1142</t>
  </si>
  <si>
    <t>PARA-KRESİDİN</t>
  </si>
  <si>
    <t>120-71-8</t>
  </si>
  <si>
    <t>1180</t>
  </si>
  <si>
    <t>para-CRESIDINE</t>
  </si>
  <si>
    <t>CHM-1143</t>
  </si>
  <si>
    <t>N,N'-DİFENİL-PARA-FENİLENDİAMİN</t>
  </si>
  <si>
    <t>74-31-7</t>
  </si>
  <si>
    <t>H317</t>
  </si>
  <si>
    <t>428 to 437 °F at 0.5 mmHg (NTP, 1992)</t>
  </si>
  <si>
    <t>N,N'-DIPHENYL-para-PHENYLENEDIAMINE</t>
  </si>
  <si>
    <t>CHM-1144</t>
  </si>
  <si>
    <t>1,3-BÜTANDİYOL</t>
  </si>
  <si>
    <t>107-88-0</t>
  </si>
  <si>
    <t>1,3-BUTANEDIOL</t>
  </si>
  <si>
    <t>CHM-1145</t>
  </si>
  <si>
    <t>2-MERKAPTOBENZOTİYAZOL</t>
  </si>
  <si>
    <t>149-30-4</t>
  </si>
  <si>
    <t>H317, H351, H400, H410, H411, H412</t>
  </si>
  <si>
    <t>1183</t>
  </si>
  <si>
    <t>2-MERCAPTOBENZOTHIAZOLE</t>
  </si>
  <si>
    <t>CHM-1146</t>
  </si>
  <si>
    <t>KALSİYUM KLORİD (ANHİDROZ)</t>
  </si>
  <si>
    <t>10043-52-4</t>
  </si>
  <si>
    <t>CALCIUM CHLORIDE (ANHYDROUS)</t>
  </si>
  <si>
    <t>CHM-1147</t>
  </si>
  <si>
    <t>MALEİK ASİT</t>
  </si>
  <si>
    <t>110-16-7</t>
  </si>
  <si>
    <t>H290, H302, H317, H319, H335, H400</t>
  </si>
  <si>
    <t>275 °F at 760 mmHg (decomposes) (NTP, 1992)</t>
  </si>
  <si>
    <t>1186</t>
  </si>
  <si>
    <t>MALEIC ACID</t>
  </si>
  <si>
    <t>CHM-1148</t>
  </si>
  <si>
    <t>METİL BENZOAT</t>
  </si>
  <si>
    <t>93-58-3</t>
  </si>
  <si>
    <t>H227, H402</t>
  </si>
  <si>
    <t>1187</t>
  </si>
  <si>
    <t>METHYL BENZOATE</t>
  </si>
  <si>
    <t>CHM-1149</t>
  </si>
  <si>
    <t>METİL SİLİKAT</t>
  </si>
  <si>
    <t>681-84-5</t>
  </si>
  <si>
    <t>METHYL SILICATE</t>
  </si>
  <si>
    <t>2606</t>
  </si>
  <si>
    <t>CHM-1150</t>
  </si>
  <si>
    <t>SODYUM DODESİLBENZEN SULFONAT</t>
  </si>
  <si>
    <t>25155-30-0</t>
  </si>
  <si>
    <t>Foams as water boils. 212 °F (USCG, 1999)</t>
  </si>
  <si>
    <t>SODIUM DODECYLBENZENE SULPHONATE</t>
  </si>
  <si>
    <t>CHM-1151</t>
  </si>
  <si>
    <t>TİYOFEN</t>
  </si>
  <si>
    <t>110-02-1</t>
  </si>
  <si>
    <t>THIOPHENE</t>
  </si>
  <si>
    <t>2414</t>
  </si>
  <si>
    <t>CHM-1152</t>
  </si>
  <si>
    <t>ALÜMİNYUM SÜLFAT</t>
  </si>
  <si>
    <t>10043-01-3</t>
  </si>
  <si>
    <t>H319, H335, H400</t>
  </si>
  <si>
    <t>214 °F at 760 mmHg (USCG, 1999)</t>
  </si>
  <si>
    <t>ALUMINIUM SULFATE</t>
  </si>
  <si>
    <t>CHM-1153</t>
  </si>
  <si>
    <t>KALSİYUM TOZU (PIROFORIK)</t>
  </si>
  <si>
    <t>7440-70-2</t>
  </si>
  <si>
    <t>1192</t>
  </si>
  <si>
    <t>CALCIUM POWDER (pyrophoric)</t>
  </si>
  <si>
    <t>1855</t>
  </si>
  <si>
    <t>CHM-1154</t>
  </si>
  <si>
    <t>KALSİYUM KARBONAT</t>
  </si>
  <si>
    <t>471-34-1</t>
  </si>
  <si>
    <t>CALCIUM CARBONATE</t>
  </si>
  <si>
    <t>CHM-1155</t>
  </si>
  <si>
    <t>KROM(VI) OKSİT</t>
  </si>
  <si>
    <t>1333-82-0</t>
  </si>
  <si>
    <t>H300, H301, H310, H314, H317, H334, H340, H341, H351, H360, H361, H373, H400, H410, H411, H412</t>
  </si>
  <si>
    <t>482 °F at 760 mmHg (decomposes) (NTP, 1992)</t>
  </si>
  <si>
    <t>1194</t>
  </si>
  <si>
    <t>CHROMIUM(VI) OXIDE</t>
  </si>
  <si>
    <t>1463</t>
  </si>
  <si>
    <t>flam circle; skull; corr; cancer; enviro</t>
  </si>
  <si>
    <t>flam circle; Akut Toksisite; corr; Kanserojen/Mutajen/Repro; Çevre için Tehlikeli</t>
  </si>
  <si>
    <t>CHM-1156</t>
  </si>
  <si>
    <t>MAGNEZYUM SÜLFAT</t>
  </si>
  <si>
    <t>7487-88-9</t>
  </si>
  <si>
    <t>1197</t>
  </si>
  <si>
    <t>MAGNESIUM SULFATE</t>
  </si>
  <si>
    <t>CHM-1157</t>
  </si>
  <si>
    <t>AZOT (BASINÇLI GAZ)</t>
  </si>
  <si>
    <t>7727-37-9</t>
  </si>
  <si>
    <t>1198</t>
  </si>
  <si>
    <t>NITROGEN (COMPRESSED GAS)</t>
  </si>
  <si>
    <t>CHM-1158</t>
  </si>
  <si>
    <t>AZOT (SIVILAŞTIRILMIŞ)</t>
  </si>
  <si>
    <t>NITROGEN (LIQUIFIED)</t>
  </si>
  <si>
    <t>1977</t>
  </si>
  <si>
    <t>CHM-1159</t>
  </si>
  <si>
    <t>SODYUM SÜLFİT</t>
  </si>
  <si>
    <t>7757-83-7</t>
  </si>
  <si>
    <t>H302, H317, H334, H402</t>
  </si>
  <si>
    <t>1200</t>
  </si>
  <si>
    <t>SODIUM SULFITE</t>
  </si>
  <si>
    <t>CHM-1160</t>
  </si>
  <si>
    <t>STİREN OKSİT</t>
  </si>
  <si>
    <t>96-09-3</t>
  </si>
  <si>
    <t>H227, H302, H315, H319, H340, H341, H351</t>
  </si>
  <si>
    <t>1201</t>
  </si>
  <si>
    <t>STYRENE OXIDE</t>
  </si>
  <si>
    <t>CHM-1161</t>
  </si>
  <si>
    <t>KÜKÜRT TRİOKSİT</t>
  </si>
  <si>
    <t>7446-11-9</t>
  </si>
  <si>
    <t>1202</t>
  </si>
  <si>
    <t>SULFUR TRIOXIDE</t>
  </si>
  <si>
    <t>1829</t>
  </si>
  <si>
    <t>CHM-1162</t>
  </si>
  <si>
    <t>TRİASETİN</t>
  </si>
  <si>
    <t>102-76-1</t>
  </si>
  <si>
    <t>1203</t>
  </si>
  <si>
    <t>TRIACETIN</t>
  </si>
  <si>
    <t>CHM-1163</t>
  </si>
  <si>
    <t>ÇİNKO TOZU (PIROFORIK)</t>
  </si>
  <si>
    <t>7440-66-6</t>
  </si>
  <si>
    <t>H221, H260, H261, H400, H410, H411, H412</t>
  </si>
  <si>
    <t>1205</t>
  </si>
  <si>
    <t>ZINC POWDER (pyrophoric)</t>
  </si>
  <si>
    <t>1436</t>
  </si>
  <si>
    <t>flam; enviro</t>
  </si>
  <si>
    <t>Yanıcı; Çevre için Tehlikeli</t>
  </si>
  <si>
    <t>CHM-1164</t>
  </si>
  <si>
    <t>ÇİNKO NİTRAT</t>
  </si>
  <si>
    <t>7779-88-6</t>
  </si>
  <si>
    <t>H302, H319, H335, H400, H410, H411, H412</t>
  </si>
  <si>
    <t>ZINC NITRATE</t>
  </si>
  <si>
    <t>1514</t>
  </si>
  <si>
    <t>CHM-1165</t>
  </si>
  <si>
    <t>DİAMONYUM HİDROJEN ARSENAT</t>
  </si>
  <si>
    <t>7784-44-3</t>
  </si>
  <si>
    <t>H301, H319, H351, H361, H370, H372, H373, H400, H411, H412</t>
  </si>
  <si>
    <t>1207</t>
  </si>
  <si>
    <t>DIAMMONIUM HYDROGEN ARSENATE</t>
  </si>
  <si>
    <t>1546</t>
  </si>
  <si>
    <t>CHM-1166</t>
  </si>
  <si>
    <t>SODYUM ARSENAT DİBAZİK</t>
  </si>
  <si>
    <t>7778-43-0</t>
  </si>
  <si>
    <t>H300, H319, H351, H361, H370, H372, H373, H402, H412</t>
  </si>
  <si>
    <t>SODIUM ARSENATE DIBASIC</t>
  </si>
  <si>
    <t>CHM-1167</t>
  </si>
  <si>
    <t>MAGNEZYUM ARSENAT</t>
  </si>
  <si>
    <t>10103-50-1</t>
  </si>
  <si>
    <t>H302, H319, H351, H361, H370, H372, H373</t>
  </si>
  <si>
    <t>1209</t>
  </si>
  <si>
    <t>MAGNESIUM ARSENATE</t>
  </si>
  <si>
    <t>1622</t>
  </si>
  <si>
    <t>CHM-1168</t>
  </si>
  <si>
    <t>POTASYUM ARSENAT</t>
  </si>
  <si>
    <t>7784-41-0</t>
  </si>
  <si>
    <t>H300, H319, H351, H361, H370, H372, H373, H400, H411, H412</t>
  </si>
  <si>
    <t>1210</t>
  </si>
  <si>
    <t>POTASSIUM ARSENATE</t>
  </si>
  <si>
    <t>1677</t>
  </si>
  <si>
    <t>CHM-1169</t>
  </si>
  <si>
    <t>BAKIR(II) ARSENİT</t>
  </si>
  <si>
    <t>10290-12-7</t>
  </si>
  <si>
    <t>H300, H319, H351, H361, H370, H372, H373, H400, H410, H411, H412</t>
  </si>
  <si>
    <t>1211</t>
  </si>
  <si>
    <t>COPPER(II) ARSENITE</t>
  </si>
  <si>
    <t>1586</t>
  </si>
  <si>
    <t>CHM-1170</t>
  </si>
  <si>
    <t>KURŞUN(II) ARSENİT</t>
  </si>
  <si>
    <t>10031-13-7</t>
  </si>
  <si>
    <t>H301, H319, H351, H361, H370, H372, H373, H402, H412</t>
  </si>
  <si>
    <t>LEAD(II) ARSENITE</t>
  </si>
  <si>
    <t>1618</t>
  </si>
  <si>
    <t>CHM-1171</t>
  </si>
  <si>
    <t>POTASYUM ARSENİT</t>
  </si>
  <si>
    <t>10124-50-2</t>
  </si>
  <si>
    <t>POTASSIUM ARSENITE</t>
  </si>
  <si>
    <t>1678</t>
  </si>
  <si>
    <t>CHM-1172</t>
  </si>
  <si>
    <t>BENZOİN</t>
  </si>
  <si>
    <t>119-53-9</t>
  </si>
  <si>
    <t>1214</t>
  </si>
  <si>
    <t>BENZOIN</t>
  </si>
  <si>
    <t>CHM-1173</t>
  </si>
  <si>
    <t>JİPS (MİNERAL)</t>
  </si>
  <si>
    <t>13397-24-5</t>
  </si>
  <si>
    <t>1215</t>
  </si>
  <si>
    <t>GYPSUM (MINERAL)</t>
  </si>
  <si>
    <t>CHM-1174</t>
  </si>
  <si>
    <t>PERFLÜOROİZOBÜTİLEN</t>
  </si>
  <si>
    <t>382-21-8</t>
  </si>
  <si>
    <t>1216</t>
  </si>
  <si>
    <t>PERFLUOROISOBUTYLENE</t>
  </si>
  <si>
    <t>CHM-1175</t>
  </si>
  <si>
    <t>ALÇİ</t>
  </si>
  <si>
    <t>26499-65-0</t>
  </si>
  <si>
    <t>1217</t>
  </si>
  <si>
    <t>PLASTER OF PARIS</t>
  </si>
  <si>
    <t>CHM-1176</t>
  </si>
  <si>
    <t>SODYUM SİTRAT, ANHİDROZ</t>
  </si>
  <si>
    <t>68-04-2</t>
  </si>
  <si>
    <t>BP: Decomposes at red heat /Dihydrate/</t>
  </si>
  <si>
    <t>SODIUM CITRATE, ANHYDROUS</t>
  </si>
  <si>
    <t>CHM-1177</t>
  </si>
  <si>
    <t>SODYUM SİTRAT DİHİDRAT</t>
  </si>
  <si>
    <t>6132-04-3</t>
  </si>
  <si>
    <t>SODIUM CITRATE DIHYDRATE</t>
  </si>
  <si>
    <t>CHM-1178</t>
  </si>
  <si>
    <t>SODYUM SİTRAT PENTAHİDRAT</t>
  </si>
  <si>
    <t>6858-44-2</t>
  </si>
  <si>
    <t>SODIUM CITRATE PENTAHYDRATE</t>
  </si>
  <si>
    <t>CHM-1179</t>
  </si>
  <si>
    <t>TALYUM KARBONAT</t>
  </si>
  <si>
    <t>6533-73-9</t>
  </si>
  <si>
    <t>H300, H370, H373, H400, H410, H411, H412</t>
  </si>
  <si>
    <t>THALLIUM CARBONATE</t>
  </si>
  <si>
    <t>CHM-1180</t>
  </si>
  <si>
    <t>1,2,3-TRİKLOROBENZEN</t>
  </si>
  <si>
    <t>87-61-6</t>
  </si>
  <si>
    <t>1222</t>
  </si>
  <si>
    <t>1,2,3-TRICHLOROBENZENE</t>
  </si>
  <si>
    <t>CHM-1181</t>
  </si>
  <si>
    <t>AMONYUM FLORÜR</t>
  </si>
  <si>
    <t>12125-01-8</t>
  </si>
  <si>
    <t>212 °F at 760 mmHg (USCG, 1999)</t>
  </si>
  <si>
    <t>AMMONIUM FLUORIDE</t>
  </si>
  <si>
    <t>2505</t>
  </si>
  <si>
    <t>CHM-1182</t>
  </si>
  <si>
    <t>ANTİMON TRİKLORÜR</t>
  </si>
  <si>
    <t>10025-91-9</t>
  </si>
  <si>
    <t>ANTIMONY TRICHLORIDE</t>
  </si>
  <si>
    <t>1733</t>
  </si>
  <si>
    <t>CHM-1183</t>
  </si>
  <si>
    <t>BENZİL BROMÜR</t>
  </si>
  <si>
    <t>100-39-0</t>
  </si>
  <si>
    <t>1225</t>
  </si>
  <si>
    <t>BENZYL BROMIDE</t>
  </si>
  <si>
    <t>1737</t>
  </si>
  <si>
    <t>CHM-1184</t>
  </si>
  <si>
    <t>4-BROMOANİLİN</t>
  </si>
  <si>
    <t>106-40-1</t>
  </si>
  <si>
    <t>1226</t>
  </si>
  <si>
    <t>4-BROMOANILINE</t>
  </si>
  <si>
    <t>CHM-1185</t>
  </si>
  <si>
    <t>3-DİMETİLAMİNOPROPİLAMİN</t>
  </si>
  <si>
    <t>109-55-7</t>
  </si>
  <si>
    <t>1227</t>
  </si>
  <si>
    <t>3-DIMETHYLAMINOPROPYLAMINE</t>
  </si>
  <si>
    <t>2734</t>
  </si>
  <si>
    <t>CHM-1186</t>
  </si>
  <si>
    <t>HEKSAMETİLENTETRAMİN</t>
  </si>
  <si>
    <t>100-97-0</t>
  </si>
  <si>
    <t>1228</t>
  </si>
  <si>
    <t>HEXAMETHYLENETETRAMINE</t>
  </si>
  <si>
    <t>1328</t>
  </si>
  <si>
    <t>CHM-1187</t>
  </si>
  <si>
    <t>SODYUM TETRABORAT</t>
  </si>
  <si>
    <t>1330-43-4</t>
  </si>
  <si>
    <t>1,575 °C (decomposes)</t>
  </si>
  <si>
    <t>SODIUM TETRABORATE</t>
  </si>
  <si>
    <t>CHM-1188</t>
  </si>
  <si>
    <t>TİTANYUM TETRAKLORÜR</t>
  </si>
  <si>
    <t>7550-45-0</t>
  </si>
  <si>
    <t>TITANIUM TETRACHLORIDE</t>
  </si>
  <si>
    <t>1838</t>
  </si>
  <si>
    <t>CHM-1189</t>
  </si>
  <si>
    <t>SİYANÜRİK KLORİD</t>
  </si>
  <si>
    <t>108-77-0</t>
  </si>
  <si>
    <t>CYANURIC CHLORIDE</t>
  </si>
  <si>
    <t>2670</t>
  </si>
  <si>
    <t>CHM-1190</t>
  </si>
  <si>
    <t>2-VİNİLPİRİDİN</t>
  </si>
  <si>
    <t>100-69-6</t>
  </si>
  <si>
    <t>1232</t>
  </si>
  <si>
    <t>2-VINYLPYRIDINE</t>
  </si>
  <si>
    <t>3073</t>
  </si>
  <si>
    <t>CHM-1191</t>
  </si>
  <si>
    <t>FLUOROSİLİSİK ASİT</t>
  </si>
  <si>
    <t>16961-83-4</t>
  </si>
  <si>
    <t>212 °F at 760 mmHg (water) approx. (USCG, 1999)</t>
  </si>
  <si>
    <t>1233</t>
  </si>
  <si>
    <t>FLUOROSILICIC ACID</t>
  </si>
  <si>
    <t>1778</t>
  </si>
  <si>
    <t>CHM-1192</t>
  </si>
  <si>
    <t>AZOT TRİFLORÜR</t>
  </si>
  <si>
    <t>7783-54-2</t>
  </si>
  <si>
    <t>NITROGEN TRIFLUORIDE</t>
  </si>
  <si>
    <t>2451</t>
  </si>
  <si>
    <t>CHM-1193</t>
  </si>
  <si>
    <t>1,1,2,2-TETRABROMOETAN</t>
  </si>
  <si>
    <t>79-27-6</t>
  </si>
  <si>
    <t>1235</t>
  </si>
  <si>
    <t>1,1,2,2-TETRABROMOETHANE</t>
  </si>
  <si>
    <t>2504</t>
  </si>
  <si>
    <t>CHM-1194</t>
  </si>
  <si>
    <t>FLORESAN BEYAZLATMA AJANI 1</t>
  </si>
  <si>
    <t>16090-02-1</t>
  </si>
  <si>
    <t>1236</t>
  </si>
  <si>
    <t>FLUORESCENT WHITENING AGENT 1</t>
  </si>
  <si>
    <t>CHM-1195</t>
  </si>
  <si>
    <t>TİNER (OBSOLETE)</t>
  </si>
  <si>
    <t>H226, H302, H315, H317, H319, H400, H411, H412</t>
  </si>
  <si>
    <t>1237</t>
  </si>
  <si>
    <t>THINNER (OBSOLETE)</t>
  </si>
  <si>
    <t>1263</t>
  </si>
  <si>
    <t>CHM-1196</t>
  </si>
  <si>
    <t>NİTRİLOTRİASETİK ASİT</t>
  </si>
  <si>
    <t>139-13-9</t>
  </si>
  <si>
    <t>Solid decomposes (NTP, 1992)</t>
  </si>
  <si>
    <t>NITRILOTRIACETIC ACID</t>
  </si>
  <si>
    <t>CHM-1197</t>
  </si>
  <si>
    <t>NİTRİLOTRİASETİK ASİT TRİSODYUM TUZU MONOHİDRAT</t>
  </si>
  <si>
    <t>18662-53-8</t>
  </si>
  <si>
    <t>NITRILOTRIACETIC ACID TRISODIUM SALT MONOHYDRATE</t>
  </si>
  <si>
    <t>CHM-1198</t>
  </si>
  <si>
    <t>NİTRİLOTRİASETİK ASİT TRİSODYUM TUZU</t>
  </si>
  <si>
    <t>5064-31-3</t>
  </si>
  <si>
    <t>1240</t>
  </si>
  <si>
    <t>NITRILOTRIACETIC ACID TRISODIUM SALT</t>
  </si>
  <si>
    <t>CHM-1199</t>
  </si>
  <si>
    <t>DEMİR(III)-O-ARSENİT, PENTAHİDRAT</t>
  </si>
  <si>
    <t>63989-69-5</t>
  </si>
  <si>
    <t>H300, H319, H351, H370, H372, H373</t>
  </si>
  <si>
    <t>1241</t>
  </si>
  <si>
    <t>IRON (III)-o-ARSENITE, PENTAHYDRATE</t>
  </si>
  <si>
    <t>1607</t>
  </si>
  <si>
    <t>CHM-1200</t>
  </si>
  <si>
    <t>POTASYUM HEKSAFLUOROSİLİKAT</t>
  </si>
  <si>
    <t>16871-90-2</t>
  </si>
  <si>
    <t>H301, H373</t>
  </si>
  <si>
    <t>POTASSIUM HEXAFLUOROSILICATE</t>
  </si>
  <si>
    <t>2655</t>
  </si>
  <si>
    <t>CHM-1201</t>
  </si>
  <si>
    <t>SODYUM HEKSAFLUOROSİLİKAT</t>
  </si>
  <si>
    <t>16893-85-9</t>
  </si>
  <si>
    <t>SODIUM HEXAFLUOROSILICATE</t>
  </si>
  <si>
    <t>2674</t>
  </si>
  <si>
    <t>CHM-1202</t>
  </si>
  <si>
    <t>GERMAN</t>
  </si>
  <si>
    <t>7782-65-2</t>
  </si>
  <si>
    <t>H220, H221, H280, H300, H330</t>
  </si>
  <si>
    <t>GERMANE</t>
  </si>
  <si>
    <t>2192</t>
  </si>
  <si>
    <t>CHM-1203</t>
  </si>
  <si>
    <t>NONAN</t>
  </si>
  <si>
    <t>111-84-2</t>
  </si>
  <si>
    <t>H226, H300, H332, H336</t>
  </si>
  <si>
    <t>NONANE</t>
  </si>
  <si>
    <t>1920</t>
  </si>
  <si>
    <t>CHM-1204</t>
  </si>
  <si>
    <t>PİKLORAM</t>
  </si>
  <si>
    <t>1918-02-1</t>
  </si>
  <si>
    <t>H302, H373, H402</t>
  </si>
  <si>
    <t>1246</t>
  </si>
  <si>
    <t>PICLORAM</t>
  </si>
  <si>
    <t>CHM-1205</t>
  </si>
  <si>
    <t>RODYUM</t>
  </si>
  <si>
    <t>7440-16-6</t>
  </si>
  <si>
    <t>RHODIUM</t>
  </si>
  <si>
    <t>CHM-1206</t>
  </si>
  <si>
    <t>SULPROFOS</t>
  </si>
  <si>
    <t>35400-43-2</t>
  </si>
  <si>
    <t>H300, H301, H330, H373, H400, H410, H411, H412</t>
  </si>
  <si>
    <t>CHM-1207</t>
  </si>
  <si>
    <t>HİDROJENLENMİŞ TERFENİLLER (%40 HİDROJENLENMİŞ)</t>
  </si>
  <si>
    <t>61788-32-7</t>
  </si>
  <si>
    <t>HYDROGENATED TERPHENYLS (40% HYDROGENATED)</t>
  </si>
  <si>
    <t>CHM-1208</t>
  </si>
  <si>
    <t>URANYUM HEKSAFLORÜR</t>
  </si>
  <si>
    <t>7783-81-5</t>
  </si>
  <si>
    <t>56.5 °C sublimation point</t>
  </si>
  <si>
    <t>URANIUM HEXAFLUORIDE</t>
  </si>
  <si>
    <t>2978</t>
  </si>
  <si>
    <t>CHM-1209</t>
  </si>
  <si>
    <t>URANYUM DİOKSİT (OBSOLETE)</t>
  </si>
  <si>
    <t>1344-57-6</t>
  </si>
  <si>
    <t>H370, H371, H373, H400, H410, H411, H412</t>
  </si>
  <si>
    <t>1251</t>
  </si>
  <si>
    <t>URANIUM DIOXIDE (OBSOLETE)</t>
  </si>
  <si>
    <t>CHM-1210</t>
  </si>
  <si>
    <t>TRİFLÜMİZOL</t>
  </si>
  <si>
    <t>99387-89-0</t>
  </si>
  <si>
    <t>H302, H317, H361, H373, H400, H410, H411, H412</t>
  </si>
  <si>
    <t>1252</t>
  </si>
  <si>
    <t>TRIFLUMIZOLE</t>
  </si>
  <si>
    <t>CHM-1211</t>
  </si>
  <si>
    <t>İZOBÜTİLAMİN</t>
  </si>
  <si>
    <t>78-81-9</t>
  </si>
  <si>
    <t>1253</t>
  </si>
  <si>
    <t>ISOBUTYLAMINE</t>
  </si>
  <si>
    <t>CHM-1212</t>
  </si>
  <si>
    <t>10192-30-0</t>
  </si>
  <si>
    <t>H302, H402</t>
  </si>
  <si>
    <t>1254</t>
  </si>
  <si>
    <t>AMMMONIUM BISULFITE</t>
  </si>
  <si>
    <t>2693</t>
  </si>
  <si>
    <t>CHM-1213</t>
  </si>
  <si>
    <t>AMONYUM PERKLORAT</t>
  </si>
  <si>
    <t>7790-98-9</t>
  </si>
  <si>
    <t>1255</t>
  </si>
  <si>
    <t>AMMONIUM PERCHLORATE</t>
  </si>
  <si>
    <t>1442</t>
  </si>
  <si>
    <t>CHM-1214</t>
  </si>
  <si>
    <t>DİAZOMETAN</t>
  </si>
  <si>
    <t>334-88-3</t>
  </si>
  <si>
    <t>H300, H314, H330, H351</t>
  </si>
  <si>
    <t>1256</t>
  </si>
  <si>
    <t>DIAZOMETHANE</t>
  </si>
  <si>
    <t>CHM-1215</t>
  </si>
  <si>
    <t>FURAN</t>
  </si>
  <si>
    <t>110-00-9</t>
  </si>
  <si>
    <t>H224, H226, H331, H340, H341, H351, H373, H402, H412</t>
  </si>
  <si>
    <t>1257</t>
  </si>
  <si>
    <t>2389</t>
  </si>
  <si>
    <t>CHM-1216</t>
  </si>
  <si>
    <t>İZONİAZİD (OBSOLETE)</t>
  </si>
  <si>
    <t>54-85-3</t>
  </si>
  <si>
    <t>H302, H315</t>
  </si>
  <si>
    <t>1258</t>
  </si>
  <si>
    <t>ISONIAZID (OBSOLETE)</t>
  </si>
  <si>
    <t>CHM-1217</t>
  </si>
  <si>
    <t>METAKRİLALDEHİT</t>
  </si>
  <si>
    <t>78-85-3</t>
  </si>
  <si>
    <t>H225, H226, H300, H301, H315, H319, H330, H400, H410</t>
  </si>
  <si>
    <t>METHACRYLALDEHYDE</t>
  </si>
  <si>
    <t>2396</t>
  </si>
  <si>
    <t>CHM-1218</t>
  </si>
  <si>
    <t>FENİLASETİK ASİT</t>
  </si>
  <si>
    <t>103-82-2</t>
  </si>
  <si>
    <t>1260</t>
  </si>
  <si>
    <t>PHENYLACETIC ACID</t>
  </si>
  <si>
    <t>CHM-1219</t>
  </si>
  <si>
    <t>VİNİL ETİL ETER</t>
  </si>
  <si>
    <t>109-92-2</t>
  </si>
  <si>
    <t>H225, H226, H302</t>
  </si>
  <si>
    <t>VINYL ETHYL ETHER</t>
  </si>
  <si>
    <t>1302</t>
  </si>
  <si>
    <t>CHM-1220</t>
  </si>
  <si>
    <t>2-METİLPENTAN</t>
  </si>
  <si>
    <t>107-83-5</t>
  </si>
  <si>
    <t>H225, H226, H300, H315, H336, H400, H411, H412</t>
  </si>
  <si>
    <t>2-METHYLPENTANE</t>
  </si>
  <si>
    <t>CHM-1221</t>
  </si>
  <si>
    <t>3-METİLPENTAN</t>
  </si>
  <si>
    <t>96-14-0</t>
  </si>
  <si>
    <t>3-METHYLPENTANE</t>
  </si>
  <si>
    <t>CHM-1222</t>
  </si>
  <si>
    <t>BROMUKONAZOL</t>
  </si>
  <si>
    <t>116255-48-2</t>
  </si>
  <si>
    <t>H302, H361, H373, H400, H410</t>
  </si>
  <si>
    <t>BROMUCONAZOLE</t>
  </si>
  <si>
    <t>CHM-1223</t>
  </si>
  <si>
    <t>FLUTOLANİL</t>
  </si>
  <si>
    <t>66332-96-5</t>
  </si>
  <si>
    <t>FLUTOLANIL</t>
  </si>
  <si>
    <t>CHM-1224</t>
  </si>
  <si>
    <t>HEKSAFLÜMÜROİN</t>
  </si>
  <si>
    <t>86479-06-3</t>
  </si>
  <si>
    <t>H400, H411, H412</t>
  </si>
  <si>
    <t>1266</t>
  </si>
  <si>
    <t>HEXAFLUMURON</t>
  </si>
  <si>
    <t>CHM-1225</t>
  </si>
  <si>
    <t>FLOKUMAFEN</t>
  </si>
  <si>
    <t>90035-08-8</t>
  </si>
  <si>
    <t>H300, H361, H373, H400, H410, H411, H412</t>
  </si>
  <si>
    <t>1267</t>
  </si>
  <si>
    <t>FLOCOUMAFEN</t>
  </si>
  <si>
    <t>CHM-1226</t>
  </si>
  <si>
    <t>TRİNEKSAPAK-ETİL</t>
  </si>
  <si>
    <t>95266-40-3</t>
  </si>
  <si>
    <t>TRINEXAPAC-ETHYL</t>
  </si>
  <si>
    <t>CHM-1227</t>
  </si>
  <si>
    <t>PİRİPROKSİFEN</t>
  </si>
  <si>
    <t>95737-68-1</t>
  </si>
  <si>
    <t>1269</t>
  </si>
  <si>
    <t>PYRIPROXYFEN</t>
  </si>
  <si>
    <t>CHM-1228</t>
  </si>
  <si>
    <t>ETİLEN GLİKOL DİMETAKRİLAT</t>
  </si>
  <si>
    <t>97-90-5</t>
  </si>
  <si>
    <t>H317, H402</t>
  </si>
  <si>
    <t>1270</t>
  </si>
  <si>
    <t>ETHYLENE GLYCOL DIMETHACRYLATE</t>
  </si>
  <si>
    <t>CHM-1229</t>
  </si>
  <si>
    <t>PROPAKİZAFOP</t>
  </si>
  <si>
    <t>111479-05-1</t>
  </si>
  <si>
    <t>H302, H332, H400, H410, H411, H412</t>
  </si>
  <si>
    <t>1271</t>
  </si>
  <si>
    <t>PROPAQUIZAFOP</t>
  </si>
  <si>
    <t>CHM-1230</t>
  </si>
  <si>
    <t>METİL 2-SİYANOAKRİLAT</t>
  </si>
  <si>
    <t>137-05-3</t>
  </si>
  <si>
    <t>1272</t>
  </si>
  <si>
    <t>METHYL 2-CYANOACRYLATE</t>
  </si>
  <si>
    <t>CHM-1231</t>
  </si>
  <si>
    <t>MONOLİNÜRON</t>
  </si>
  <si>
    <t>1746-81-2</t>
  </si>
  <si>
    <t>1273</t>
  </si>
  <si>
    <t>MONOLINURON</t>
  </si>
  <si>
    <t>CHM-1232</t>
  </si>
  <si>
    <t>TRİGLİSİDİL İZOSİYANURAT</t>
  </si>
  <si>
    <t>2451-62-9</t>
  </si>
  <si>
    <t>&gt; 240 °C, decomposition</t>
  </si>
  <si>
    <t>TRIGLYCIDYL ISOCYANURATE</t>
  </si>
  <si>
    <t>CHM-1233</t>
  </si>
  <si>
    <t>1-METİLNAFTALEN</t>
  </si>
  <si>
    <t>90-12-0</t>
  </si>
  <si>
    <t>1-METHYLNAPHTHALENE</t>
  </si>
  <si>
    <t>CHM-1234</t>
  </si>
  <si>
    <t>2-METİLNAFTALEN</t>
  </si>
  <si>
    <t>91-57-6</t>
  </si>
  <si>
    <t>2-METHYLNAPHTHALENE</t>
  </si>
  <si>
    <t>CHM-1235</t>
  </si>
  <si>
    <t>KARBENDAZİM</t>
  </si>
  <si>
    <t>10605-21-7</t>
  </si>
  <si>
    <t>CARBENDAZIM</t>
  </si>
  <si>
    <t>CHM-1236</t>
  </si>
  <si>
    <t>DİBÜTİL FOSFAT</t>
  </si>
  <si>
    <t>107-66-4</t>
  </si>
  <si>
    <t>1278</t>
  </si>
  <si>
    <t>DIBUTYL PHOSPHATE</t>
  </si>
  <si>
    <t>CHM-1237</t>
  </si>
  <si>
    <t>İZOBÜTİLİDENDİÜRE</t>
  </si>
  <si>
    <t>6104-30-9</t>
  </si>
  <si>
    <t>ISOBUTYLIDENEDIUREA</t>
  </si>
  <si>
    <t>CHM-1238</t>
  </si>
  <si>
    <t>DİKETEN</t>
  </si>
  <si>
    <t>674-82-8</t>
  </si>
  <si>
    <t>DIKETENE</t>
  </si>
  <si>
    <t>2521</t>
  </si>
  <si>
    <t>CHM-1239</t>
  </si>
  <si>
    <t>1,1,1,2-TETRAFLÜOROETAN</t>
  </si>
  <si>
    <t>811-97-2</t>
  </si>
  <si>
    <t>1281</t>
  </si>
  <si>
    <t>1,1,1,2-TETRAFLUOROETHANE</t>
  </si>
  <si>
    <t>3159</t>
  </si>
  <si>
    <t>CHM-1240</t>
  </si>
  <si>
    <t>TRİBÜTİLKALAY OKSİT</t>
  </si>
  <si>
    <t>56-35-9</t>
  </si>
  <si>
    <t>H300, H301, H319, H330, H400, H410, H411, H412</t>
  </si>
  <si>
    <t>TRIBUTYLTIN OXIDE</t>
  </si>
  <si>
    <t>3020</t>
  </si>
  <si>
    <t>CHM-1241</t>
  </si>
  <si>
    <t>TRİFENİLKALAY HİDROKSİT</t>
  </si>
  <si>
    <t>76-87-9</t>
  </si>
  <si>
    <t>1283</t>
  </si>
  <si>
    <t>TRIPHENYLTIN HYDROXIDE</t>
  </si>
  <si>
    <t>2786</t>
  </si>
  <si>
    <t>CHM-1242</t>
  </si>
  <si>
    <t>SORBİK ASİT</t>
  </si>
  <si>
    <t>110-44-1</t>
  </si>
  <si>
    <t>442 °F at 760 mmHg (decomposes) (NTP, 1992)</t>
  </si>
  <si>
    <t>1284</t>
  </si>
  <si>
    <t>SORBIC ACID</t>
  </si>
  <si>
    <t>CHM-1243</t>
  </si>
  <si>
    <t>4,4'-OKSİBİS(BENZENSÜLFONİL HİDRAZİD)</t>
  </si>
  <si>
    <t>80-51-3</t>
  </si>
  <si>
    <t>1285</t>
  </si>
  <si>
    <t>4,4'-OXYBIS(BENZENESULPHONYL HYDRAZIDE)</t>
  </si>
  <si>
    <t>CHM-1244</t>
  </si>
  <si>
    <t>NEOPENTİL GLİKOL DİAKRİLAT</t>
  </si>
  <si>
    <t>2223-82-7</t>
  </si>
  <si>
    <t>1286</t>
  </si>
  <si>
    <t>NEOPENTYL GLYCOL DIACRYLATE</t>
  </si>
  <si>
    <t>CHM-1245</t>
  </si>
  <si>
    <t>METİLEN BİS(TİYOSİYANAT)</t>
  </si>
  <si>
    <t>6317-18-6</t>
  </si>
  <si>
    <t>1287</t>
  </si>
  <si>
    <t>METHYLENE BIS(THIOCYANATE)</t>
  </si>
  <si>
    <t>CHM-1246</t>
  </si>
  <si>
    <t>n-HEKSİL AKRİLAT</t>
  </si>
  <si>
    <t>2499-95-8</t>
  </si>
  <si>
    <t>H227, H317, H319, H400</t>
  </si>
  <si>
    <t>1288</t>
  </si>
  <si>
    <t>n-HEXYL ACRYLATE</t>
  </si>
  <si>
    <t>CHM-1247</t>
  </si>
  <si>
    <t>2-ETİLHEKSİL METAKRİLAT</t>
  </si>
  <si>
    <t>688-84-6</t>
  </si>
  <si>
    <t>1289</t>
  </si>
  <si>
    <t>2-ETHYLHEXYL METHACRYLATE</t>
  </si>
  <si>
    <t>CHM-1248</t>
  </si>
  <si>
    <t>Dİ(2-ETİLHEKSİL) SEBASAT</t>
  </si>
  <si>
    <t>122-62-3</t>
  </si>
  <si>
    <t>1290</t>
  </si>
  <si>
    <t>DI(2-ETHYLHEXYL) SEBACATE</t>
  </si>
  <si>
    <t>CHM-1249</t>
  </si>
  <si>
    <t>2-(2-(2-METOKSİETOKSİ)ETOKSİ)ETANOL</t>
  </si>
  <si>
    <t>112-35-6</t>
  </si>
  <si>
    <t>1291</t>
  </si>
  <si>
    <t>2-(2-(2-METHOXYETHOXY)ETHOXY)ETHANOL</t>
  </si>
  <si>
    <t>CHM-1250</t>
  </si>
  <si>
    <t>DİOKTİL ADİPAT</t>
  </si>
  <si>
    <t>103-23-1</t>
  </si>
  <si>
    <t>DIOCTYL ADIPATE</t>
  </si>
  <si>
    <t>CHM-1251</t>
  </si>
  <si>
    <t>İNDİYUM</t>
  </si>
  <si>
    <t>7440-74-6</t>
  </si>
  <si>
    <t>1293</t>
  </si>
  <si>
    <t>INDIUM</t>
  </si>
  <si>
    <t>CHM-1252</t>
  </si>
  <si>
    <t>3-METİL-2-BÜTENAL</t>
  </si>
  <si>
    <t>107-86-8</t>
  </si>
  <si>
    <t>H226, H302, H312, H314, H317, H331, H402</t>
  </si>
  <si>
    <t>3-METHYL-2-BUTENAL</t>
  </si>
  <si>
    <t>1989</t>
  </si>
  <si>
    <t>CHM-1253</t>
  </si>
  <si>
    <t>ANTRANİLİK ASİT</t>
  </si>
  <si>
    <t>118-92-3</t>
  </si>
  <si>
    <t>H302, H319, H402</t>
  </si>
  <si>
    <t>ANTHRANILIC ACID</t>
  </si>
  <si>
    <t>CHM-1254</t>
  </si>
  <si>
    <t>DİMETİLDİOKTADESİLAMONYUM KLORİD</t>
  </si>
  <si>
    <t>107-64-2</t>
  </si>
  <si>
    <t>DIMETHYLDIOCTADECYLAMMONIUM CHLORIDE</t>
  </si>
  <si>
    <t>CHM-1255</t>
  </si>
  <si>
    <t>1,4-DİMETOKSİBENZEN</t>
  </si>
  <si>
    <t>150-78-7</t>
  </si>
  <si>
    <t>1297</t>
  </si>
  <si>
    <t>1,4-DIMETHOXYBENZENE</t>
  </si>
  <si>
    <t>CHM-1256</t>
  </si>
  <si>
    <t>2',4'-DİMETİLASETOASETANİLİD</t>
  </si>
  <si>
    <t>97-36-9</t>
  </si>
  <si>
    <t>2',4' -DIMETHYLACETOACETANILIDE</t>
  </si>
  <si>
    <t>CHM-1257</t>
  </si>
  <si>
    <t>KLOROTRİFLÜOROETAN</t>
  </si>
  <si>
    <t>75-88-7</t>
  </si>
  <si>
    <t>CHLOROTRIFLUOROETHANE</t>
  </si>
  <si>
    <t>1983</t>
  </si>
  <si>
    <t>CHM-1258</t>
  </si>
  <si>
    <t>LİNURON</t>
  </si>
  <si>
    <t>330-55-2</t>
  </si>
  <si>
    <t>1300</t>
  </si>
  <si>
    <t>LINURON</t>
  </si>
  <si>
    <t>CHM-1259</t>
  </si>
  <si>
    <t>TOLUEN-DİİZOSİYANAT, 2,4-TDI VE 2,6-TDI %80/20 KARIŞIMI (OBSOLETE)</t>
  </si>
  <si>
    <t>26471-62-5</t>
  </si>
  <si>
    <t>TOLUENE-DIISOCYANATE, 80/20 mixture of 2,4-TDI and 2,6-TDI (OBSOLETE)</t>
  </si>
  <si>
    <t>CHM-1260</t>
  </si>
  <si>
    <t>m-FENİLENDİAMİN</t>
  </si>
  <si>
    <t>108-45-2</t>
  </si>
  <si>
    <t>m-PHENYLENEDIAMINE</t>
  </si>
  <si>
    <t>CHM-1261</t>
  </si>
  <si>
    <t>İMAZALİL</t>
  </si>
  <si>
    <t>35554-44-0</t>
  </si>
  <si>
    <t>IMAZALIL</t>
  </si>
  <si>
    <t>CHM-1262</t>
  </si>
  <si>
    <t>DİMETİL CİVA</t>
  </si>
  <si>
    <t>593-74-8</t>
  </si>
  <si>
    <t>H225, H226, H300, H351, H360, H361, H373, H400, H410, H411, H412</t>
  </si>
  <si>
    <t>1304</t>
  </si>
  <si>
    <t>DIMETHYL MERCURY</t>
  </si>
  <si>
    <t>CHM-1263</t>
  </si>
  <si>
    <t>KLORFENVİNFOS</t>
  </si>
  <si>
    <t>470-90-6</t>
  </si>
  <si>
    <t>1305</t>
  </si>
  <si>
    <t>CHLORFENVINPHOS</t>
  </si>
  <si>
    <t>CHM-1264</t>
  </si>
  <si>
    <t>METOKSİKLOR</t>
  </si>
  <si>
    <t>72-43-5</t>
  </si>
  <si>
    <t>1306</t>
  </si>
  <si>
    <t>METHOXYCHLOR</t>
  </si>
  <si>
    <t>CHM-1265</t>
  </si>
  <si>
    <t>KROM HİDROKSİT SÜLFAT</t>
  </si>
  <si>
    <t>12336-95-7</t>
  </si>
  <si>
    <t>1309</t>
  </si>
  <si>
    <t>CHROMIUM HYDROXIDE SULFATE</t>
  </si>
  <si>
    <t>CHM-1266</t>
  </si>
  <si>
    <t>KROM DİOKSİT</t>
  </si>
  <si>
    <t>12018-01-8</t>
  </si>
  <si>
    <t>1310</t>
  </si>
  <si>
    <t>CHROMIUM DIOXIDE</t>
  </si>
  <si>
    <t>CHM-1267</t>
  </si>
  <si>
    <t>NİTRİK OKSİT</t>
  </si>
  <si>
    <t>10102-43-9</t>
  </si>
  <si>
    <t>H280, H331, H373</t>
  </si>
  <si>
    <t>1311</t>
  </si>
  <si>
    <t>NITRIC OXIDE</t>
  </si>
  <si>
    <t>1660</t>
  </si>
  <si>
    <t>flam circle; cylinder; skull; cancer</t>
  </si>
  <si>
    <t>flam circle; Basınçlı Gaz; Akut Toksisite; Kanserojen/Mutajen/Repro</t>
  </si>
  <si>
    <t>CHM-1268</t>
  </si>
  <si>
    <t>SÜKSİNİK ANHİDRİT</t>
  </si>
  <si>
    <t>108-30-5</t>
  </si>
  <si>
    <t>1312</t>
  </si>
  <si>
    <t>SUCCINIC ANHYDRIDE</t>
  </si>
  <si>
    <t>CHM-1269</t>
  </si>
  <si>
    <t>SİYANÜRİK ASİT</t>
  </si>
  <si>
    <t>108-80-5</t>
  </si>
  <si>
    <t>DECOMPOSES (NTP, 1992)</t>
  </si>
  <si>
    <t>1313</t>
  </si>
  <si>
    <t>CYANURIC ACID</t>
  </si>
  <si>
    <t>CHM-1270</t>
  </si>
  <si>
    <t>KROSİDOLİT</t>
  </si>
  <si>
    <t>12001-28-4</t>
  </si>
  <si>
    <t>1314</t>
  </si>
  <si>
    <t>CROCIDOLITE</t>
  </si>
  <si>
    <t>2212</t>
  </si>
  <si>
    <t>CHM-1271</t>
  </si>
  <si>
    <t>PİROLİDİN</t>
  </si>
  <si>
    <t>123-75-1</t>
  </si>
  <si>
    <t>1315</t>
  </si>
  <si>
    <t>PYRROLIDINE</t>
  </si>
  <si>
    <t>1922</t>
  </si>
  <si>
    <t>CHM-1272</t>
  </si>
  <si>
    <t>KROM(III) KLORİD (ANHİDROZ)</t>
  </si>
  <si>
    <t>10025-73-7</t>
  </si>
  <si>
    <t>Dissociates above 1300C (EPA, 1998)</t>
  </si>
  <si>
    <t>1316</t>
  </si>
  <si>
    <t>CHROMIUM(III) CHLORIDE (ANHYDROUS)</t>
  </si>
  <si>
    <t>CHM-1273</t>
  </si>
  <si>
    <t>KROM(II) KLORİD</t>
  </si>
  <si>
    <t>10049-05-5</t>
  </si>
  <si>
    <t>1317</t>
  </si>
  <si>
    <t>CHROMOUS CHLORIDE</t>
  </si>
  <si>
    <t>CHM-1274</t>
  </si>
  <si>
    <t>KADMIYUM SÜLFAT</t>
  </si>
  <si>
    <t>10124-36-4</t>
  </si>
  <si>
    <t>H301, H340, H341, H351, H373, H400, H410, H411, H412</t>
  </si>
  <si>
    <t>1318</t>
  </si>
  <si>
    <t>CADMIUM SULFATE</t>
  </si>
  <si>
    <t>CHM-1275</t>
  </si>
  <si>
    <t>TİTANYUM KARBÜR</t>
  </si>
  <si>
    <t>12070-08-5</t>
  </si>
  <si>
    <t>1319</t>
  </si>
  <si>
    <t>TITANIUM CARBIDE</t>
  </si>
  <si>
    <t>CHM-1276</t>
  </si>
  <si>
    <t>TUNGSTEN KARBİD</t>
  </si>
  <si>
    <t>12070-12-1</t>
  </si>
  <si>
    <t>TUNGSTEN CARBIDE</t>
  </si>
  <si>
    <t>CHM-1277</t>
  </si>
  <si>
    <t>ATAPULJİT</t>
  </si>
  <si>
    <t>12174-11-7</t>
  </si>
  <si>
    <t>1321</t>
  </si>
  <si>
    <t>ATTAPULGITE</t>
  </si>
  <si>
    <t>CHM-1278</t>
  </si>
  <si>
    <t>RADON</t>
  </si>
  <si>
    <t>10043-92-2</t>
  </si>
  <si>
    <t>1322</t>
  </si>
  <si>
    <t>CHM-1279</t>
  </si>
  <si>
    <t>KALSİYUM FLORÜR</t>
  </si>
  <si>
    <t>7789-75-5</t>
  </si>
  <si>
    <t>1323</t>
  </si>
  <si>
    <t>CALCIUM FLUORIDE</t>
  </si>
  <si>
    <t>CHM-1280</t>
  </si>
  <si>
    <t>ALÜMİNYUM FLORÜR (ANHİDROZ)</t>
  </si>
  <si>
    <t>7784-18-1</t>
  </si>
  <si>
    <t>1324</t>
  </si>
  <si>
    <t>ALUMINIUM FLUORIDE (ANHYDROUS)</t>
  </si>
  <si>
    <t>CHM-1281</t>
  </si>
  <si>
    <t>BERİLYUM OKSİT</t>
  </si>
  <si>
    <t>1304-56-9</t>
  </si>
  <si>
    <t>H300, H317, H319, H330, H334, H335, H351, H373</t>
  </si>
  <si>
    <t>BERYLLIUM OXIDE</t>
  </si>
  <si>
    <t>1566</t>
  </si>
  <si>
    <t>CHM-1282</t>
  </si>
  <si>
    <t>HİDROJEN İYODÜR</t>
  </si>
  <si>
    <t>10034-85-2</t>
  </si>
  <si>
    <t>H280, H314, H335</t>
  </si>
  <si>
    <t>1326</t>
  </si>
  <si>
    <t>HYDROGEN IODIDE</t>
  </si>
  <si>
    <t>2197</t>
  </si>
  <si>
    <t>cylinder; corr</t>
  </si>
  <si>
    <t>Basınçlı Gaz; corr</t>
  </si>
  <si>
    <t>CHM-1283</t>
  </si>
  <si>
    <t>KLOROTOLÜROİN</t>
  </si>
  <si>
    <t>15545-48-9</t>
  </si>
  <si>
    <t>1327</t>
  </si>
  <si>
    <t>CHLOROTOLURON</t>
  </si>
  <si>
    <t>CHM-1284</t>
  </si>
  <si>
    <t>PARASETAMOL</t>
  </si>
  <si>
    <t>103-90-2</t>
  </si>
  <si>
    <t>H373, H400</t>
  </si>
  <si>
    <t>&gt;500</t>
  </si>
  <si>
    <t>1330</t>
  </si>
  <si>
    <t>PARACETAMOL</t>
  </si>
  <si>
    <t>CHM-1285</t>
  </si>
  <si>
    <t>BENZİL ASETAT</t>
  </si>
  <si>
    <t>140-11-4</t>
  </si>
  <si>
    <t>1331</t>
  </si>
  <si>
    <t>BENZYL ACETATE</t>
  </si>
  <si>
    <t>CHM-1286</t>
  </si>
  <si>
    <t>1-BROMOPROPAN</t>
  </si>
  <si>
    <t>106-94-5</t>
  </si>
  <si>
    <t>H225, H226, H319, H335, H336, H351, H360, H361, H373, H402</t>
  </si>
  <si>
    <t>1332</t>
  </si>
  <si>
    <t>1-BROMOPROPANE</t>
  </si>
  <si>
    <t>2344</t>
  </si>
  <si>
    <t>CHM-1287</t>
  </si>
  <si>
    <t>AMONYUM HİDROJEN KARBONAT</t>
  </si>
  <si>
    <t>1066-33-7</t>
  </si>
  <si>
    <t>1333</t>
  </si>
  <si>
    <t>AMMONIUM HYDROGEN CARBONATE</t>
  </si>
  <si>
    <t>CHM-1288</t>
  </si>
  <si>
    <t>BÜTİRİK ASİT</t>
  </si>
  <si>
    <t>107-92-6</t>
  </si>
  <si>
    <t>BUTYRIC ACID</t>
  </si>
  <si>
    <t>2820</t>
  </si>
  <si>
    <t>CHM-1289</t>
  </si>
  <si>
    <t>sec-HEKSİL ASETAT</t>
  </si>
  <si>
    <t>108-84-9</t>
  </si>
  <si>
    <t>1335</t>
  </si>
  <si>
    <t>sec-HEXYL ACETATE</t>
  </si>
  <si>
    <t>CHM-1290</t>
  </si>
  <si>
    <t>N-METİLETANOLAMİN</t>
  </si>
  <si>
    <t>109-83-1</t>
  </si>
  <si>
    <t>1336</t>
  </si>
  <si>
    <t>N-METHYLETHANOLAMINE</t>
  </si>
  <si>
    <t>CHM-1291</t>
  </si>
  <si>
    <t>DI-N-BÜTİLAMİN</t>
  </si>
  <si>
    <t>111-92-2</t>
  </si>
  <si>
    <t>H226, H300, H301, H314, H330, H335, H400</t>
  </si>
  <si>
    <t>1337</t>
  </si>
  <si>
    <t>DI-n-BUTYLAMINE</t>
  </si>
  <si>
    <t>2248</t>
  </si>
  <si>
    <t>CHM-1292</t>
  </si>
  <si>
    <t>BENZİLAMİN</t>
  </si>
  <si>
    <t>100-46-9</t>
  </si>
  <si>
    <t>1338</t>
  </si>
  <si>
    <t>BENZYLAMINE</t>
  </si>
  <si>
    <t>CHM-1293</t>
  </si>
  <si>
    <t>DİSİKLOHEKSİLAMİN</t>
  </si>
  <si>
    <t>101-83-7</t>
  </si>
  <si>
    <t>1339</t>
  </si>
  <si>
    <t>DICYCLOHEXYLAMINE</t>
  </si>
  <si>
    <t>2565</t>
  </si>
  <si>
    <t>CHM-1294</t>
  </si>
  <si>
    <t>BENZİLDİMETİLAMİN</t>
  </si>
  <si>
    <t>103-83-3</t>
  </si>
  <si>
    <t>1340</t>
  </si>
  <si>
    <t>BENZYLDIMETHYLAMINE</t>
  </si>
  <si>
    <t>2619</t>
  </si>
  <si>
    <t>CHM-1295</t>
  </si>
  <si>
    <t>3-KLORO-2-METİL-1-PROPEN</t>
  </si>
  <si>
    <t>563-47-3</t>
  </si>
  <si>
    <t>H225, H226, H302, H317, H319, H332, H402</t>
  </si>
  <si>
    <t>1341</t>
  </si>
  <si>
    <t>3-CHLORO-2-METHYL-1-PROPENE</t>
  </si>
  <si>
    <t>2554</t>
  </si>
  <si>
    <t>CHM-1296</t>
  </si>
  <si>
    <t>MONONİTROFENOLLER</t>
  </si>
  <si>
    <t>25154-55-6</t>
  </si>
  <si>
    <t>1342</t>
  </si>
  <si>
    <t>MONONITROPHENOLS</t>
  </si>
  <si>
    <t>CHM-1297</t>
  </si>
  <si>
    <t>2,2-DİKLORO-1,1,1-TRİFLÜOROETAN</t>
  </si>
  <si>
    <t>306-83-2</t>
  </si>
  <si>
    <t>1343</t>
  </si>
  <si>
    <t>2,2-DICHLORO-1,1,1-TRIFLUOROETHANE</t>
  </si>
  <si>
    <t>CHM-1298</t>
  </si>
  <si>
    <t>2-ETİLBÜTİL AKRİLAT</t>
  </si>
  <si>
    <t>3953-10-4</t>
  </si>
  <si>
    <t>1344</t>
  </si>
  <si>
    <t>2-ETHYLBUTYL ACRYLATE</t>
  </si>
  <si>
    <t>CHM-1299</t>
  </si>
  <si>
    <t>p-OKTİLFENOL</t>
  </si>
  <si>
    <t>1806-26-4</t>
  </si>
  <si>
    <t>1345</t>
  </si>
  <si>
    <t>p-OCTYLPHENOL</t>
  </si>
  <si>
    <t>CHM-1300</t>
  </si>
  <si>
    <t>DİKUMİL PEROKSİT</t>
  </si>
  <si>
    <t>80-43-3</t>
  </si>
  <si>
    <t>266 °F at 760 mmHg (decomposes) (NTP, 1992)</t>
  </si>
  <si>
    <t>1346</t>
  </si>
  <si>
    <t>DICUMYL PEROXIDE</t>
  </si>
  <si>
    <t>3110</t>
  </si>
  <si>
    <t>CHM-1301</t>
  </si>
  <si>
    <t>PİPERONİL BÜTOKSİD</t>
  </si>
  <si>
    <t>51-03-6</t>
  </si>
  <si>
    <t>1347</t>
  </si>
  <si>
    <t>PIPERONYL BUTOXIDE</t>
  </si>
  <si>
    <t>CHM-1302</t>
  </si>
  <si>
    <t>TRİPROPİLEN GLİKOL</t>
  </si>
  <si>
    <t>24800-44-0</t>
  </si>
  <si>
    <t>1348</t>
  </si>
  <si>
    <t>TRIPROPYLENE GLYCOL</t>
  </si>
  <si>
    <t>CHM-1303</t>
  </si>
  <si>
    <t>DİBÜTİL SEBASAT</t>
  </si>
  <si>
    <t>109-43-3</t>
  </si>
  <si>
    <t>1349</t>
  </si>
  <si>
    <t>DIBUTYL SEBACATE</t>
  </si>
  <si>
    <t>CHM-1304</t>
  </si>
  <si>
    <t>TRİETİL SİTRAT</t>
  </si>
  <si>
    <t>77-93-0</t>
  </si>
  <si>
    <t>TRIETHYL CITRATE</t>
  </si>
  <si>
    <t>CHM-1305</t>
  </si>
  <si>
    <t>BERİLYUM SÜLFAT</t>
  </si>
  <si>
    <t>13510-49-1</t>
  </si>
  <si>
    <t>H300, H302, H317, H319, H330, H334, H335, H351, H373, H400</t>
  </si>
  <si>
    <t>1351</t>
  </si>
  <si>
    <t>BERYLLIUM SULFATE</t>
  </si>
  <si>
    <t>CHM-1306</t>
  </si>
  <si>
    <t>BERİLYUM NİTRAT</t>
  </si>
  <si>
    <t>13597-99-4</t>
  </si>
  <si>
    <t>1352</t>
  </si>
  <si>
    <t>BERYLLIUM NITRATE</t>
  </si>
  <si>
    <t>2464</t>
  </si>
  <si>
    <t>CHM-1307</t>
  </si>
  <si>
    <t>BERİLYUM KARBONAT</t>
  </si>
  <si>
    <t>66104-24-3</t>
  </si>
  <si>
    <t>1353</t>
  </si>
  <si>
    <t>BERYLLIUM CARBONATE</t>
  </si>
  <si>
    <t>CHM-1308</t>
  </si>
  <si>
    <t>BERİLYUM KLORİD</t>
  </si>
  <si>
    <t>7787-47-5</t>
  </si>
  <si>
    <t>H300, H302, H317, H319, H330, H334, H335, H351, H373, H400, H402, H412</t>
  </si>
  <si>
    <t>1354</t>
  </si>
  <si>
    <t>BERYLLIUM CHLORIDE</t>
  </si>
  <si>
    <t>CHM-1309</t>
  </si>
  <si>
    <t>BERİLYUM FLORÜR</t>
  </si>
  <si>
    <t>7787-49-7</t>
  </si>
  <si>
    <t>H300, H301, H317, H319, H330, H334, H335, H351, H373, H400, H411, H412</t>
  </si>
  <si>
    <t>1355</t>
  </si>
  <si>
    <t>BERYLLIUM FLUORIDE</t>
  </si>
  <si>
    <t>CHM-1310</t>
  </si>
  <si>
    <t>3,5-KSİLENOL</t>
  </si>
  <si>
    <t>108-68-9</t>
  </si>
  <si>
    <t>1356</t>
  </si>
  <si>
    <t>3,5-XYLENOL</t>
  </si>
  <si>
    <t>CHM-1311</t>
  </si>
  <si>
    <t>DİETİLEN GLİKOL DİMETİL ETER</t>
  </si>
  <si>
    <t>111-96-6</t>
  </si>
  <si>
    <t>1357</t>
  </si>
  <si>
    <t>DIETHYLENE GLYCOL DIMETHYL ETHER</t>
  </si>
  <si>
    <t>CHM-1312</t>
  </si>
  <si>
    <t>ETİL 2-SİYANOAKRİLAT</t>
  </si>
  <si>
    <t>7085-85-0</t>
  </si>
  <si>
    <t>1358</t>
  </si>
  <si>
    <t>ETHYL 2-CYANOACRYLATE</t>
  </si>
  <si>
    <t>CHM-1313</t>
  </si>
  <si>
    <t>TRİBENÜRON-METİL</t>
  </si>
  <si>
    <t>101200-48-0</t>
  </si>
  <si>
    <t>1359</t>
  </si>
  <si>
    <t>TRIBENURON-METHYL</t>
  </si>
  <si>
    <t>CHM-1314</t>
  </si>
  <si>
    <t>METOLAKLOR</t>
  </si>
  <si>
    <t>51218-45-2</t>
  </si>
  <si>
    <t>212 °F at 0.001 mmHg (USCG, 1999)</t>
  </si>
  <si>
    <t>METOLACHLOR</t>
  </si>
  <si>
    <t>CHM-1315</t>
  </si>
  <si>
    <t>METAMİTRON</t>
  </si>
  <si>
    <t>41394-05-2</t>
  </si>
  <si>
    <t>METAMITRON</t>
  </si>
  <si>
    <t>CHM-1316</t>
  </si>
  <si>
    <t>1,2,3-TRİMETİLBENZEN</t>
  </si>
  <si>
    <t>526-73-8</t>
  </si>
  <si>
    <t>1362</t>
  </si>
  <si>
    <t>1,2,3-TRIMETHYLBENZENE</t>
  </si>
  <si>
    <t>CHM-1317</t>
  </si>
  <si>
    <t>DİKVAT DİBROMÜR</t>
  </si>
  <si>
    <t>85-00-7</t>
  </si>
  <si>
    <t>1363</t>
  </si>
  <si>
    <t>DIQUAT DIBROMIDE</t>
  </si>
  <si>
    <t>CHM-1318</t>
  </si>
  <si>
    <t>DODESİLAMİN</t>
  </si>
  <si>
    <t>124-22-1</t>
  </si>
  <si>
    <t>1364</t>
  </si>
  <si>
    <t>DODECYLAMINE</t>
  </si>
  <si>
    <t>CHM-1319</t>
  </si>
  <si>
    <t>OKTADESİLAMİN</t>
  </si>
  <si>
    <t>124-30-1</t>
  </si>
  <si>
    <t>1365</t>
  </si>
  <si>
    <t>OCTADECYLAMINE</t>
  </si>
  <si>
    <t>CHM-1320</t>
  </si>
  <si>
    <t>TRİFENİLAMİN</t>
  </si>
  <si>
    <t>603-34-9</t>
  </si>
  <si>
    <t>1366</t>
  </si>
  <si>
    <t>TRIPHENYLAMINE</t>
  </si>
  <si>
    <t>CHM-1321</t>
  </si>
  <si>
    <t>GLÜTARİK ASİT</t>
  </si>
  <si>
    <t>110-94-1</t>
  </si>
  <si>
    <t>576 to 579 °F at 760 mmHg (decomposes) (NTP, 1992)</t>
  </si>
  <si>
    <t>1367</t>
  </si>
  <si>
    <t>GLUTARIC ACID</t>
  </si>
  <si>
    <t>CHM-1322</t>
  </si>
  <si>
    <t>AMONYUM DİKROMAT</t>
  </si>
  <si>
    <t>7789-09-5</t>
  </si>
  <si>
    <t>H300, H301, H312, H314, H317, H330, H334, H340, H341, H351, H360, H361, H373, H400, H410, H411, H412</t>
  </si>
  <si>
    <t>1368</t>
  </si>
  <si>
    <t>AMMONIUM DICHROMATE</t>
  </si>
  <si>
    <t>1439</t>
  </si>
  <si>
    <t>CHM-1323</t>
  </si>
  <si>
    <t>SODYUM DİKROMAT (ANHİDROZ)</t>
  </si>
  <si>
    <t>10588-01-9</t>
  </si>
  <si>
    <t>1369</t>
  </si>
  <si>
    <t>SODIUM DICHROMATE (ANHYDROUS)</t>
  </si>
  <si>
    <t>CHM-1324</t>
  </si>
  <si>
    <t>SODYUM KROMAT</t>
  </si>
  <si>
    <t>7775-11-3</t>
  </si>
  <si>
    <t>1370</t>
  </si>
  <si>
    <t>SODIUM CHROMATE</t>
  </si>
  <si>
    <t>CHM-1325</t>
  </si>
  <si>
    <t>POTASYUM DİKROMAT</t>
  </si>
  <si>
    <t>7778-50-9</t>
  </si>
  <si>
    <t>Decomposes at 932 °F (NTP, 1992)</t>
  </si>
  <si>
    <t>1371</t>
  </si>
  <si>
    <t>POTASSIUM DICHROMATE</t>
  </si>
  <si>
    <t>CHM-1326</t>
  </si>
  <si>
    <t>TETRAHİDROFTALİK ANHİDRİT</t>
  </si>
  <si>
    <t>85-43-8</t>
  </si>
  <si>
    <t>H317, H318, H334, H402</t>
  </si>
  <si>
    <t>1372</t>
  </si>
  <si>
    <t>TETRAHYDROPHTHALIC ANHYDRIDE</t>
  </si>
  <si>
    <t>2698</t>
  </si>
  <si>
    <t>cancer; corr</t>
  </si>
  <si>
    <t>Kanserojen/Mutajen/Repro; corr</t>
  </si>
  <si>
    <t>CHM-1327</t>
  </si>
  <si>
    <t>KLORENDİK ANHİDRİT</t>
  </si>
  <si>
    <t>115-27-5</t>
  </si>
  <si>
    <t>1373</t>
  </si>
  <si>
    <t>CHLORENDIC ANHYDRIDE</t>
  </si>
  <si>
    <t>CHM-1328</t>
  </si>
  <si>
    <t>TETRAKLOROFTALİK ANHİDRİT</t>
  </si>
  <si>
    <t>117-08-8</t>
  </si>
  <si>
    <t>1374</t>
  </si>
  <si>
    <t>TETRACHLOROPHTHALIC ANHYDRIDE</t>
  </si>
  <si>
    <t>CHM-1329</t>
  </si>
  <si>
    <t>PİROMELLİTİK DİANHİDRİT</t>
  </si>
  <si>
    <t>89-32-7</t>
  </si>
  <si>
    <t>1375</t>
  </si>
  <si>
    <t>PYROMELLITIC DIANHYDRIDE</t>
  </si>
  <si>
    <t>CHM-1330</t>
  </si>
  <si>
    <t>HEKSAHİDRO-4-METİLFTALİK ANHİDRİT</t>
  </si>
  <si>
    <t>19438-60-9</t>
  </si>
  <si>
    <t>H317, H318, H334</t>
  </si>
  <si>
    <t>1376</t>
  </si>
  <si>
    <t>HEXAHYDRO-4-METHYLPHTHALIC ANHYDRIDE</t>
  </si>
  <si>
    <t>CHM-1331</t>
  </si>
  <si>
    <t>İNDİYUM TRİKLORÜR</t>
  </si>
  <si>
    <t>10025-82-8</t>
  </si>
  <si>
    <t>Sublimes at 5 °C</t>
  </si>
  <si>
    <t>1377</t>
  </si>
  <si>
    <t>INDIUM TRICHLORIDE</t>
  </si>
  <si>
    <t>CHM-1332</t>
  </si>
  <si>
    <t>BROMOETAN</t>
  </si>
  <si>
    <t>74-96-4</t>
  </si>
  <si>
    <t>1378</t>
  </si>
  <si>
    <t>BROMOETHANE</t>
  </si>
  <si>
    <t>1891</t>
  </si>
  <si>
    <t>CHM-1333</t>
  </si>
  <si>
    <t>DISTİLATLAR (PETROL), HAFİF HİDROMUAMELE EDİLMİŞ</t>
  </si>
  <si>
    <t>64742-47-8</t>
  </si>
  <si>
    <t>H227, H300, H315, H336, H400, H411, H412</t>
  </si>
  <si>
    <t>1379</t>
  </si>
  <si>
    <t>DISTILLATES (PETROLEUM), HYDROTREATED LIGHT</t>
  </si>
  <si>
    <t>CHM-1334</t>
  </si>
  <si>
    <t>NAFT (PETROL), SUYLA İŞLENMİŞ AĞIR</t>
  </si>
  <si>
    <t>64742-48-9</t>
  </si>
  <si>
    <t>H226, H300, H400</t>
  </si>
  <si>
    <t>NAPHTHA (PETROLEUM), HYDROTREATED HEAVY (&lt;0.1% w/w BENZENE)</t>
  </si>
  <si>
    <t>3295</t>
  </si>
  <si>
    <t>CHM-1335</t>
  </si>
  <si>
    <t>ORTA ALİFATİK ÇÖZÜCÜ NAFTA (PETROL) (OBSOLETE)</t>
  </si>
  <si>
    <t>64742-88-7</t>
  </si>
  <si>
    <t>H226, H300, H315, H319, H336, H370, H372, H373</t>
  </si>
  <si>
    <t>MEDIUM ALIPHATIC SOLVENT NAPHTHA (PETROLEUM) (OBSOLETE)</t>
  </si>
  <si>
    <t>CHM-1336</t>
  </si>
  <si>
    <t>NAFTA (PETROL), AĞIR ALKİLAT (OBSOLETE)</t>
  </si>
  <si>
    <t>64741-65-7</t>
  </si>
  <si>
    <t>H226, H300, H315, H336, H340, H341, H351</t>
  </si>
  <si>
    <t>NAPHTHA (PETROLEUM), HEAVY ALKYLATE (OBSOLETE)</t>
  </si>
  <si>
    <t>flam; enviro; cancer; excl mark</t>
  </si>
  <si>
    <t>Yanıcı; Çevre için Tehlikeli; Kanserojen/Mutajen/Repro; Sağlık Tehlikesi (hafif)</t>
  </si>
  <si>
    <t>CHM-1337</t>
  </si>
  <si>
    <t>PENTAERİTRİTOL</t>
  </si>
  <si>
    <t>115-77-5</t>
  </si>
  <si>
    <t>1383</t>
  </si>
  <si>
    <t>PENTAERYTHRITOL</t>
  </si>
  <si>
    <t>CHM-1338</t>
  </si>
  <si>
    <t>N-ETİLANİLİN</t>
  </si>
  <si>
    <t>103-69-5</t>
  </si>
  <si>
    <t>N-ETHYLANILINE</t>
  </si>
  <si>
    <t>2272</t>
  </si>
  <si>
    <t>CHM-1339</t>
  </si>
  <si>
    <t>4-KLOROTOLUEN</t>
  </si>
  <si>
    <t>106-43-4</t>
  </si>
  <si>
    <t>1386</t>
  </si>
  <si>
    <t>4-CHLOROTOLUENE</t>
  </si>
  <si>
    <t>2238</t>
  </si>
  <si>
    <t>CHM-1340</t>
  </si>
  <si>
    <t>TETRAKLORONAFTALEN</t>
  </si>
  <si>
    <t>1335-88-2</t>
  </si>
  <si>
    <t>1387</t>
  </si>
  <si>
    <t>TETRACHLORONAPHTHALENE</t>
  </si>
  <si>
    <t>CHM-1341</t>
  </si>
  <si>
    <t>O-KLOROSTİREN</t>
  </si>
  <si>
    <t>2039-87-4</t>
  </si>
  <si>
    <t>1388</t>
  </si>
  <si>
    <t>O-CHLOROSTYRENE</t>
  </si>
  <si>
    <t>CHM-1342</t>
  </si>
  <si>
    <t>TRİMETİLBENZEN (KARIŞIK İZOMERLER)</t>
  </si>
  <si>
    <t>25551-13-7</t>
  </si>
  <si>
    <t>1389</t>
  </si>
  <si>
    <t>TRIMETHYL BENZENE (MIXED ISOMERS)</t>
  </si>
  <si>
    <t>CHM-1343</t>
  </si>
  <si>
    <t>SİYANOJEN</t>
  </si>
  <si>
    <t>460-19-5</t>
  </si>
  <si>
    <t>1390</t>
  </si>
  <si>
    <t>CYANOGEN</t>
  </si>
  <si>
    <t>CHM-1344</t>
  </si>
  <si>
    <t>5-METİL-3-HEPTANON</t>
  </si>
  <si>
    <t>541-85-5</t>
  </si>
  <si>
    <t>1391</t>
  </si>
  <si>
    <t>5-METHYL-3-HEPTANONE</t>
  </si>
  <si>
    <t>2271</t>
  </si>
  <si>
    <t>CHM-1345</t>
  </si>
  <si>
    <t>PROPİLEN GLİKOL DİNİTRAT</t>
  </si>
  <si>
    <t>6423-43-4</t>
  </si>
  <si>
    <t>121 °C (decomposes)</t>
  </si>
  <si>
    <t>1392</t>
  </si>
  <si>
    <t>PROPYLENE GLYCOL DINITRATE</t>
  </si>
  <si>
    <t>CHM-1346</t>
  </si>
  <si>
    <t>PLATİN TOZU</t>
  </si>
  <si>
    <t>7440-06-4</t>
  </si>
  <si>
    <t>1393</t>
  </si>
  <si>
    <t>PLATINUM POWDER</t>
  </si>
  <si>
    <t>CHM-1347</t>
  </si>
  <si>
    <t>PENTAKLOROETAN</t>
  </si>
  <si>
    <t>76-01-7</t>
  </si>
  <si>
    <t>1394</t>
  </si>
  <si>
    <t>PENTACHLOROETHANE</t>
  </si>
  <si>
    <t>1669</t>
  </si>
  <si>
    <t>CHM-1348</t>
  </si>
  <si>
    <t>4-NİTROBİFENİL</t>
  </si>
  <si>
    <t>92-93-3</t>
  </si>
  <si>
    <t>1395</t>
  </si>
  <si>
    <t>4-NITROBIPHENYL</t>
  </si>
  <si>
    <t>CHM-1349</t>
  </si>
  <si>
    <t>KOBALT(II) SÜLFAT HEPTAHİDRAT</t>
  </si>
  <si>
    <t>10026-24-1</t>
  </si>
  <si>
    <t>COBALT(II) SULFATE HEPTAHYDRATE</t>
  </si>
  <si>
    <t>CHM-1350</t>
  </si>
  <si>
    <t>KOBALT(II) NİTRAT</t>
  </si>
  <si>
    <t>10141-05-6</t>
  </si>
  <si>
    <t>COBALT(II) NITRATE</t>
  </si>
  <si>
    <t>CHM-1351</t>
  </si>
  <si>
    <t>MANGAN OKSİT</t>
  </si>
  <si>
    <t>1317-35-7</t>
  </si>
  <si>
    <t>1398</t>
  </si>
  <si>
    <t>MANGANESE OXIDE</t>
  </si>
  <si>
    <t>CHM-1352</t>
  </si>
  <si>
    <t>GAZOLİN</t>
  </si>
  <si>
    <t>86290-81-5</t>
  </si>
  <si>
    <t>GASOLINE</t>
  </si>
  <si>
    <t>CHM-1353</t>
  </si>
  <si>
    <t>SİLİSİK ASİT, KALSİYUM TUZU (lifsiz, &lt;%1 kristal silika)</t>
  </si>
  <si>
    <t>1344-95-2</t>
  </si>
  <si>
    <t>1401</t>
  </si>
  <si>
    <t>SILICIC ACID, CALCIUM SALT (non-fibrous, &lt;1% crystalline silica)</t>
  </si>
  <si>
    <t>CHM-1354</t>
  </si>
  <si>
    <t>SÜLFÜRİL FLORÜR</t>
  </si>
  <si>
    <t>2699-79-8</t>
  </si>
  <si>
    <t>H280, H331, H335, H400, H410</t>
  </si>
  <si>
    <t>SULFURYL FLUORIDE</t>
  </si>
  <si>
    <t>2191</t>
  </si>
  <si>
    <t>cylinder; skull; enviro</t>
  </si>
  <si>
    <t>Basınçlı Gaz; Akut Toksisite; Çevre için Tehlikeli</t>
  </si>
  <si>
    <t>CHM-1355</t>
  </si>
  <si>
    <t>MAGNEZYUM STEARAT</t>
  </si>
  <si>
    <t>557-04-0</t>
  </si>
  <si>
    <t>1403</t>
  </si>
  <si>
    <t>MAGNESIUM STEARATE</t>
  </si>
  <si>
    <t>CHM-1356</t>
  </si>
  <si>
    <t>TUNGSTEN (toz)</t>
  </si>
  <si>
    <t>7440-33-7</t>
  </si>
  <si>
    <t>H228, H252</t>
  </si>
  <si>
    <t>1404</t>
  </si>
  <si>
    <t>TUNGSTEN (powder)</t>
  </si>
  <si>
    <t>CHM-1357</t>
  </si>
  <si>
    <t>ZİRKONYUM</t>
  </si>
  <si>
    <t>7440-67-7</t>
  </si>
  <si>
    <t>1405</t>
  </si>
  <si>
    <t>ZIRCONIUM</t>
  </si>
  <si>
    <t>2008</t>
  </si>
  <si>
    <t>CHM-1358</t>
  </si>
  <si>
    <t>FENSÜLFOTYON</t>
  </si>
  <si>
    <t>115-90-2</t>
  </si>
  <si>
    <t>1406</t>
  </si>
  <si>
    <t>FENSULFOTHION</t>
  </si>
  <si>
    <t>CHM-1359</t>
  </si>
  <si>
    <t>FOSFOR PENTASÜLFİT</t>
  </si>
  <si>
    <t>1314-80-3</t>
  </si>
  <si>
    <t>1407</t>
  </si>
  <si>
    <t>PHOSPHORUS PENTASULFIDE</t>
  </si>
  <si>
    <t>CHM-1360</t>
  </si>
  <si>
    <t>DİSULFOTON</t>
  </si>
  <si>
    <t>298-04-4</t>
  </si>
  <si>
    <t>1408</t>
  </si>
  <si>
    <t>DISULFOTON</t>
  </si>
  <si>
    <t>CHM-1361</t>
  </si>
  <si>
    <t>TİYONİL KLORÜR</t>
  </si>
  <si>
    <t>7719-09-7</t>
  </si>
  <si>
    <t>1409</t>
  </si>
  <si>
    <t>THIONYL CHLORIDE</t>
  </si>
  <si>
    <t>1836</t>
  </si>
  <si>
    <t>CHM-1362</t>
  </si>
  <si>
    <t>METİL KLOROASETAT</t>
  </si>
  <si>
    <t>96-34-4</t>
  </si>
  <si>
    <t>1410</t>
  </si>
  <si>
    <t>METHYL CHLOROACETATE</t>
  </si>
  <si>
    <t>2295</t>
  </si>
  <si>
    <t>CHM-1363</t>
  </si>
  <si>
    <t>m-NİTROTOLÜEN</t>
  </si>
  <si>
    <t>99-08-1</t>
  </si>
  <si>
    <t>1411</t>
  </si>
  <si>
    <t>m-NITROTOLUENE</t>
  </si>
  <si>
    <t>CHM-1364</t>
  </si>
  <si>
    <t>BIS(2-ETİLHEKZİL)FOSFAT</t>
  </si>
  <si>
    <t>298-07-7</t>
  </si>
  <si>
    <t>155 °C at 0.015 mm Hg</t>
  </si>
  <si>
    <t>1412</t>
  </si>
  <si>
    <t>BIS(2-ETHYLHEXYL)PHOSPHATE</t>
  </si>
  <si>
    <t>1902</t>
  </si>
  <si>
    <t>CHM-1365</t>
  </si>
  <si>
    <t>HEKZABROMOSİKLODODEKAN (İZOMER KARIŞIMI)</t>
  </si>
  <si>
    <t>25637-99-4</t>
  </si>
  <si>
    <t>H361, H400, H410, H411, H412</t>
  </si>
  <si>
    <t>Decomposes &gt;190 °C</t>
  </si>
  <si>
    <t>1413</t>
  </si>
  <si>
    <t>HEXABROMOCYCLODODECANE (MIXTURE OF ISOMERS)</t>
  </si>
  <si>
    <t>CHM-1366</t>
  </si>
  <si>
    <t>DİPROPİL KETON</t>
  </si>
  <si>
    <t>123-19-3</t>
  </si>
  <si>
    <t>DIPROPYL KETONE</t>
  </si>
  <si>
    <t>2710</t>
  </si>
  <si>
    <t>CHM-1367</t>
  </si>
  <si>
    <t>KÖMÜR KATRANI ZİFTİ</t>
  </si>
  <si>
    <t>65996-93-2</t>
  </si>
  <si>
    <t>COAL-TAR PITCH</t>
  </si>
  <si>
    <t>CHM-1368</t>
  </si>
  <si>
    <t>BAKIR(II) SÜLFAT, PENTAHİDRAT</t>
  </si>
  <si>
    <t>7758-99-8</t>
  </si>
  <si>
    <t>1207 °F at 760 mmHg (decomposes) (NTP, 1992)</t>
  </si>
  <si>
    <t>1416</t>
  </si>
  <si>
    <t>COPPER(II) SULFATE, PENTAHYDRATE</t>
  </si>
  <si>
    <t>CHM-1369</t>
  </si>
  <si>
    <t>VALERALDEHİT</t>
  </si>
  <si>
    <t>110-62-3</t>
  </si>
  <si>
    <t>1417</t>
  </si>
  <si>
    <t>VALERALDEHYDE</t>
  </si>
  <si>
    <t>2058</t>
  </si>
  <si>
    <t>CHM-1370</t>
  </si>
  <si>
    <t>2-N-DİBÜTİLAMİNOETANOL</t>
  </si>
  <si>
    <t>102-81-8</t>
  </si>
  <si>
    <t>2-N-DIBUTYLAMINOETHANOL</t>
  </si>
  <si>
    <t>2873</t>
  </si>
  <si>
    <t>CHM-1371</t>
  </si>
  <si>
    <t>DİBROMODİFLOROMETAN</t>
  </si>
  <si>
    <t>75-61-6</t>
  </si>
  <si>
    <t>1419</t>
  </si>
  <si>
    <t>DIBROMODIFLUOROMETHANE</t>
  </si>
  <si>
    <t>1941</t>
  </si>
  <si>
    <t>CHM-1372</t>
  </si>
  <si>
    <t>1,1,1,2-TETRAKLORO-2,2-DİFLOROETAN</t>
  </si>
  <si>
    <t>76-11-9</t>
  </si>
  <si>
    <t>1420</t>
  </si>
  <si>
    <t>1,1,1,2-TETRACHLORO-2,2-DIFLUOROETHANE</t>
  </si>
  <si>
    <t>CHM-1373</t>
  </si>
  <si>
    <t>1,1,2,2-TETRAKLORO-1,2-DİFLOROETAN</t>
  </si>
  <si>
    <t>76-12-0</t>
  </si>
  <si>
    <t>1421</t>
  </si>
  <si>
    <t>1,1,2,2-TETRACHLORO-1,2-DIFLUOROETHANE</t>
  </si>
  <si>
    <t>CHM-1374</t>
  </si>
  <si>
    <t>ALİL PROPİL DİSÜLFÜR</t>
  </si>
  <si>
    <t>2179-59-1</t>
  </si>
  <si>
    <t>1422</t>
  </si>
  <si>
    <t>ALLYL PROPYL DISULFIDE</t>
  </si>
  <si>
    <t>CHM-1375</t>
  </si>
  <si>
    <t>1-KLORO-1-NİTROPROPAN</t>
  </si>
  <si>
    <t>600-25-9</t>
  </si>
  <si>
    <t>1423</t>
  </si>
  <si>
    <t>1-CHLORO-1-NITROPROPANE</t>
  </si>
  <si>
    <t>CHM-1376</t>
  </si>
  <si>
    <t>FENİLFOSFİN</t>
  </si>
  <si>
    <t>638-21-1</t>
  </si>
  <si>
    <t>1424</t>
  </si>
  <si>
    <t>PHENYLPHOSPHINE</t>
  </si>
  <si>
    <t>CHM-1377</t>
  </si>
  <si>
    <t>PORTLAND ÇİMENTO</t>
  </si>
  <si>
    <t>65997-15-1</t>
  </si>
  <si>
    <t>1425</t>
  </si>
  <si>
    <t>PORTLAND CEMENT</t>
  </si>
  <si>
    <t>CHM-1378</t>
  </si>
  <si>
    <t>DİKLOROASETİLEN</t>
  </si>
  <si>
    <t>7572-29-4</t>
  </si>
  <si>
    <t>1426</t>
  </si>
  <si>
    <t>DICHLOROACETYLENE</t>
  </si>
  <si>
    <t>CHM-1379</t>
  </si>
  <si>
    <t>GLİKOLONİTRİL</t>
  </si>
  <si>
    <t>107-16-4</t>
  </si>
  <si>
    <t>1427</t>
  </si>
  <si>
    <t>GLYCOLONITRILE</t>
  </si>
  <si>
    <t>CHM-1380</t>
  </si>
  <si>
    <t>2-PENTANOL (RASEMİK KARIŞIM)</t>
  </si>
  <si>
    <t>6032-29-7</t>
  </si>
  <si>
    <t>2-PENTANOL (RACEMIC MIXTURE)</t>
  </si>
  <si>
    <t>CHM-1381</t>
  </si>
  <si>
    <t>POLİAKRİLİK ASİT, SODYUM TUZU</t>
  </si>
  <si>
    <t>9003-04-7</t>
  </si>
  <si>
    <t>1429</t>
  </si>
  <si>
    <t>POLYACRYLIC ACID, SODIUM SALT</t>
  </si>
  <si>
    <t>CHM-1382</t>
  </si>
  <si>
    <t>DISTİLATLAR, PETROL, solventle rafine edilmiş hafif naftenik</t>
  </si>
  <si>
    <t>64741-97-5</t>
  </si>
  <si>
    <t>1430</t>
  </si>
  <si>
    <t>DISTILLATES, PETROLEUM, solvent-refined light naphthenic</t>
  </si>
  <si>
    <t>CHM-1383</t>
  </si>
  <si>
    <t>DISTİLATLAR, PETROL, solventle rafine edilmiş ağır parafinik</t>
  </si>
  <si>
    <t>64741-88-4</t>
  </si>
  <si>
    <t>DISTILLATES, PETROLEUM, solvent-refined heavy paraffinic</t>
  </si>
  <si>
    <t>CHM-1384</t>
  </si>
  <si>
    <t>KLORDEKON</t>
  </si>
  <si>
    <t>143-50-0</t>
  </si>
  <si>
    <t>Sublimes with decomposition at 662.0 °F (USCG, 1999)</t>
  </si>
  <si>
    <t>1432</t>
  </si>
  <si>
    <t>CHLORDECONE</t>
  </si>
  <si>
    <t>CHM-1385</t>
  </si>
  <si>
    <t>1,2,4-TRİMETİLBENZEN</t>
  </si>
  <si>
    <t>95-63-6</t>
  </si>
  <si>
    <t>1433</t>
  </si>
  <si>
    <t>1,2,4-TRIMETHYLBENZENE</t>
  </si>
  <si>
    <t>CHM-1386</t>
  </si>
  <si>
    <t>FLOROASETAMİT</t>
  </si>
  <si>
    <t>640-19-7</t>
  </si>
  <si>
    <t>Sublimes on heating (EPA, 1998)</t>
  </si>
  <si>
    <t>1434</t>
  </si>
  <si>
    <t>FLUOROACETAMIDE</t>
  </si>
  <si>
    <t>CHM-1387</t>
  </si>
  <si>
    <t>İZOFLURAN</t>
  </si>
  <si>
    <t>26675-46-7</t>
  </si>
  <si>
    <t>1435</t>
  </si>
  <si>
    <t>ISOFLURANE</t>
  </si>
  <si>
    <t>CHM-1388</t>
  </si>
  <si>
    <t>SEVOFLURAN</t>
  </si>
  <si>
    <t>28523-86-6</t>
  </si>
  <si>
    <t>SEVOFLURANE</t>
  </si>
  <si>
    <t>CHM-1389</t>
  </si>
  <si>
    <t>DESFLURAN</t>
  </si>
  <si>
    <t>57041-67-5</t>
  </si>
  <si>
    <t>1437</t>
  </si>
  <si>
    <t>DESFLURANE</t>
  </si>
  <si>
    <t>CHM-1390</t>
  </si>
  <si>
    <t>DİSÜLFİRAM</t>
  </si>
  <si>
    <t>97-77-8</t>
  </si>
  <si>
    <t>1438</t>
  </si>
  <si>
    <t>DISULFIRAM</t>
  </si>
  <si>
    <t>CHM-1391</t>
  </si>
  <si>
    <t>L-ASPARTİK ASİT</t>
  </si>
  <si>
    <t>56-84-8</t>
  </si>
  <si>
    <t>L-ASPARTIC ACID</t>
  </si>
  <si>
    <t>CHM-1392</t>
  </si>
  <si>
    <t>PETROLAT (BEYAZ)</t>
  </si>
  <si>
    <t>8009-03-8</t>
  </si>
  <si>
    <t>1440</t>
  </si>
  <si>
    <t>PETROLATUM (WHITE)</t>
  </si>
  <si>
    <t>CHM-1393</t>
  </si>
  <si>
    <t>o-FENİLENDİAMİN</t>
  </si>
  <si>
    <t>95-54-5</t>
  </si>
  <si>
    <t>1441</t>
  </si>
  <si>
    <t>o-PHENYLENEDIAMINE</t>
  </si>
  <si>
    <t>CHM-1394</t>
  </si>
  <si>
    <t>DİİZOBUTİLAMİN</t>
  </si>
  <si>
    <t>110-96-3</t>
  </si>
  <si>
    <t>DIISOBUTYLAMINE</t>
  </si>
  <si>
    <t>2361</t>
  </si>
  <si>
    <t>CHM-1395</t>
  </si>
  <si>
    <t>HEKSİLAMİN</t>
  </si>
  <si>
    <t>111-26-2</t>
  </si>
  <si>
    <t>1443</t>
  </si>
  <si>
    <t>HEXYLAMINE</t>
  </si>
  <si>
    <t>CHM-1396</t>
  </si>
  <si>
    <t>N,N-DİMETİLSİKLOHEKSİLAMİN</t>
  </si>
  <si>
    <t>98-94-2</t>
  </si>
  <si>
    <t>N,N-DIMETHYLCYCLOHEXYLAMINE</t>
  </si>
  <si>
    <t>2264</t>
  </si>
  <si>
    <t>CHM-1397</t>
  </si>
  <si>
    <t>tert-BÜTİL ASETAT</t>
  </si>
  <si>
    <t>540-88-5</t>
  </si>
  <si>
    <t>tert-BUTYL ACETATE</t>
  </si>
  <si>
    <t>CHM-1398</t>
  </si>
  <si>
    <t>N-FENİL-1,4-BENZENDİAMİN</t>
  </si>
  <si>
    <t>101-54-2</t>
  </si>
  <si>
    <t>1446</t>
  </si>
  <si>
    <t>N-PHENYL-1,4-BENZENEDIAMINE</t>
  </si>
  <si>
    <t>CHM-1399</t>
  </si>
  <si>
    <t>OLEUM</t>
  </si>
  <si>
    <t>8014-95-7</t>
  </si>
  <si>
    <t>1447</t>
  </si>
  <si>
    <t>1831</t>
  </si>
  <si>
    <t>CHM-1400</t>
  </si>
  <si>
    <t>BROMASİL</t>
  </si>
  <si>
    <t>314-40-9</t>
  </si>
  <si>
    <t>1448</t>
  </si>
  <si>
    <t>BROMACIL</t>
  </si>
  <si>
    <t>CHM-1401</t>
  </si>
  <si>
    <t>SODYUM KLOROASETAT</t>
  </si>
  <si>
    <t>3926-62-3</t>
  </si>
  <si>
    <t>H301, H319, H370, H400, H410, H411, H412</t>
  </si>
  <si>
    <t>SODIUM CHLOROACETATE</t>
  </si>
  <si>
    <t>2659</t>
  </si>
  <si>
    <t>CHM-1402</t>
  </si>
  <si>
    <t>POTASYUM KLORÜR</t>
  </si>
  <si>
    <t>7447-40-7</t>
  </si>
  <si>
    <t>Sublimes at 2732 °F (NTP, 1992)</t>
  </si>
  <si>
    <t>1450</t>
  </si>
  <si>
    <t>POTASSIUM CHLORIDE</t>
  </si>
  <si>
    <t>CHM-1403</t>
  </si>
  <si>
    <t>POTASYUM SÜLFAT</t>
  </si>
  <si>
    <t>7778-80-5</t>
  </si>
  <si>
    <t>1451</t>
  </si>
  <si>
    <t>POTASSIUM SULFATE</t>
  </si>
  <si>
    <t>CHM-1404</t>
  </si>
  <si>
    <t>HİNT YAĞI</t>
  </si>
  <si>
    <t>8001-79-4</t>
  </si>
  <si>
    <t>1452</t>
  </si>
  <si>
    <t>CASTOR OIL</t>
  </si>
  <si>
    <t>CHM-1405</t>
  </si>
  <si>
    <t>BENZO(a)FLOREN</t>
  </si>
  <si>
    <t>238-84-6</t>
  </si>
  <si>
    <t>1453</t>
  </si>
  <si>
    <t>BENZO(a)FLUORENE</t>
  </si>
  <si>
    <t>CHM-1406</t>
  </si>
  <si>
    <t>RİBOFLAVİN</t>
  </si>
  <si>
    <t>83-88-5</t>
  </si>
  <si>
    <t>RIBOFLAVIN</t>
  </si>
  <si>
    <t>CHM-1407</t>
  </si>
  <si>
    <t>KROM (III) HİDROKSİT HİDRAT</t>
  </si>
  <si>
    <t>1308-14-1</t>
  </si>
  <si>
    <t>1455</t>
  </si>
  <si>
    <t>CHROMIUM (III) HYDROXIDE HYDRATE</t>
  </si>
  <si>
    <t>CHM-1408</t>
  </si>
  <si>
    <t>SÜLFÜR TETRAFLORÜR</t>
  </si>
  <si>
    <t>7783-60-0</t>
  </si>
  <si>
    <t>1456</t>
  </si>
  <si>
    <t>SULFUR TETRAFLUORIDE</t>
  </si>
  <si>
    <t>2418</t>
  </si>
  <si>
    <t>CHM-1409</t>
  </si>
  <si>
    <t>PARAFİN MUMU</t>
  </si>
  <si>
    <t>8002-74-2</t>
  </si>
  <si>
    <t>1457</t>
  </si>
  <si>
    <t>PARAFFIN WAX</t>
  </si>
  <si>
    <t>CHM-1410</t>
  </si>
  <si>
    <t>2-KLOROTOLÜEN</t>
  </si>
  <si>
    <t>95-49-8</t>
  </si>
  <si>
    <t>1458</t>
  </si>
  <si>
    <t>2-CHLOROTOLUENE</t>
  </si>
  <si>
    <t>CHM-1411</t>
  </si>
  <si>
    <t>SODYUM METABİSÜLFİT</t>
  </si>
  <si>
    <t>7681-57-4</t>
  </si>
  <si>
    <t>H302, H318, H402</t>
  </si>
  <si>
    <t>1461</t>
  </si>
  <si>
    <t>SODIUM METABISULFITE</t>
  </si>
  <si>
    <t>CHM-1412</t>
  </si>
  <si>
    <t>1,3-BIS(AMİNOMETİL)BENZEN</t>
  </si>
  <si>
    <t>1477-55-0</t>
  </si>
  <si>
    <t>1462</t>
  </si>
  <si>
    <t>1,3-BIS(AMINOMETHYL)BENZENE</t>
  </si>
  <si>
    <t>CHM-1413</t>
  </si>
  <si>
    <t>2,2'-DİMETİL-4,4'-METİLENEBİS(SİKLOHEKZİLAMİN)</t>
  </si>
  <si>
    <t>6864-37-5</t>
  </si>
  <si>
    <t>1464</t>
  </si>
  <si>
    <t>2,2'-DIMETHYL-4,4'-METHYLENEBIS(CYCLOHEXYLAMINE)</t>
  </si>
  <si>
    <t>CHM-1414</t>
  </si>
  <si>
    <t>n-BÜTİRONİTRİL</t>
  </si>
  <si>
    <t>109-74-0</t>
  </si>
  <si>
    <t>1465</t>
  </si>
  <si>
    <t>n-BUTYRONITRILE</t>
  </si>
  <si>
    <t>2411</t>
  </si>
  <si>
    <t>CHM-1415</t>
  </si>
  <si>
    <t>MALONONİTRİL</t>
  </si>
  <si>
    <t>109-77-3</t>
  </si>
  <si>
    <t>1466</t>
  </si>
  <si>
    <t>MALONONITRILE</t>
  </si>
  <si>
    <t>2647</t>
  </si>
  <si>
    <t>CHM-1416</t>
  </si>
  <si>
    <t>2,3,7,8-TETRAKLORODİBENZO-p-DİOKSİN</t>
  </si>
  <si>
    <t>1746-01-6</t>
  </si>
  <si>
    <t>2,3,7,8-TETRACHLORODIBENZO-p-DIOXIN</t>
  </si>
  <si>
    <t>CHM-1417</t>
  </si>
  <si>
    <t>TETRANİTROMETAN</t>
  </si>
  <si>
    <t>509-14-8</t>
  </si>
  <si>
    <t>1468</t>
  </si>
  <si>
    <t>TETRANITROMETHANE</t>
  </si>
  <si>
    <t>1510</t>
  </si>
  <si>
    <t>CHM-1418</t>
  </si>
  <si>
    <t>PENTASODYUM TRİFOSFAT</t>
  </si>
  <si>
    <t>7758-29-4</t>
  </si>
  <si>
    <t>PENTASODIUM TRIPHOSPHATE</t>
  </si>
  <si>
    <t>CHM-1419</t>
  </si>
  <si>
    <t>DODESİL BENZENSÜLFONİK ASİT</t>
  </si>
  <si>
    <t>27176-87-0</t>
  </si>
  <si>
    <t>1470</t>
  </si>
  <si>
    <t>DODECYL BENZENESULFONIC ACID</t>
  </si>
  <si>
    <t>2586</t>
  </si>
  <si>
    <t>CHM-1420</t>
  </si>
  <si>
    <t>POVİDON-İYOT</t>
  </si>
  <si>
    <t>25655-41-8</t>
  </si>
  <si>
    <t>1471</t>
  </si>
  <si>
    <t>POVIDONE-IODINE</t>
  </si>
  <si>
    <t>CHM-1421</t>
  </si>
  <si>
    <t>o-sec-BUTİLFENOL</t>
  </si>
  <si>
    <t>89-72-5</t>
  </si>
  <si>
    <t>1472</t>
  </si>
  <si>
    <t>o-sec-BUTYLPHENOL</t>
  </si>
  <si>
    <t>CHM-1422</t>
  </si>
  <si>
    <t>DİETİLEN GLİKOL DİNİTRAT</t>
  </si>
  <si>
    <t>693-21-0</t>
  </si>
  <si>
    <t>1473</t>
  </si>
  <si>
    <t>DIETHYLENE GLYCOL DINITRATE</t>
  </si>
  <si>
    <t>CHM-1423</t>
  </si>
  <si>
    <t>PİREN</t>
  </si>
  <si>
    <t>129-00-0</t>
  </si>
  <si>
    <t>PYRENE</t>
  </si>
  <si>
    <t>CHM-1424</t>
  </si>
  <si>
    <t>PİRETRUM</t>
  </si>
  <si>
    <t>8003-34-7</t>
  </si>
  <si>
    <t>BP: 170 °C (0.1 mm Hg), decomposes</t>
  </si>
  <si>
    <t>1475</t>
  </si>
  <si>
    <t>PYRETHRUM</t>
  </si>
  <si>
    <t>CHM-1425</t>
  </si>
  <si>
    <t>p-KLORO-o-KRESOL</t>
  </si>
  <si>
    <t>1570-64-5</t>
  </si>
  <si>
    <t>1476</t>
  </si>
  <si>
    <t>p-CHLORO-o-CRESOL</t>
  </si>
  <si>
    <t>CHM-1426</t>
  </si>
  <si>
    <t>1-DEKEN</t>
  </si>
  <si>
    <t>872-05-9</t>
  </si>
  <si>
    <t>1477</t>
  </si>
  <si>
    <t>1-DECENE</t>
  </si>
  <si>
    <t>CHM-1427</t>
  </si>
  <si>
    <t>1-VİNİL-2-PİROLİDON</t>
  </si>
  <si>
    <t>88-12-0</t>
  </si>
  <si>
    <t>1478</t>
  </si>
  <si>
    <t>1-VINYL-2-PYRROLIDONE</t>
  </si>
  <si>
    <t>CHM-1428</t>
  </si>
  <si>
    <t>BARYUM NİTRAT</t>
  </si>
  <si>
    <t>10022-31-8</t>
  </si>
  <si>
    <t>1480</t>
  </si>
  <si>
    <t>BARIUM NITRATE</t>
  </si>
  <si>
    <t>CHM-1429</t>
  </si>
  <si>
    <t>ETİLAMİN (%50-70 sulu çözelti)</t>
  </si>
  <si>
    <t>1482</t>
  </si>
  <si>
    <t>ETHYLAMINE (50-70% aqueous solution)</t>
  </si>
  <si>
    <t>2270</t>
  </si>
  <si>
    <t>CHM-1430</t>
  </si>
  <si>
    <t>METİLAMİN (%40 sulu çözelti)</t>
  </si>
  <si>
    <t>1483</t>
  </si>
  <si>
    <t>METHYLAMINE (40% aqueous solution)</t>
  </si>
  <si>
    <t>CHM-1431</t>
  </si>
  <si>
    <t>TRİMETİLAMİN (%40 sulu çözelti)</t>
  </si>
  <si>
    <t>TRIMETHYLAMINE (40% aqueous solution)</t>
  </si>
  <si>
    <t>CHM-1432</t>
  </si>
  <si>
    <t>DİMETİLAMİN (sulu çözelti)</t>
  </si>
  <si>
    <t>H226, H302, H314, H317, H335, H402</t>
  </si>
  <si>
    <t>DIMETHYLAMINE (aqueous solution)</t>
  </si>
  <si>
    <t>CHM-1433</t>
  </si>
  <si>
    <t>1,1,1,2-TETRAKLOROETAN</t>
  </si>
  <si>
    <t>630-20-6</t>
  </si>
  <si>
    <t>1,1,1,2-TETRACHLOROETHANE</t>
  </si>
  <si>
    <t>CHM-1434</t>
  </si>
  <si>
    <t>POLİVİNİL KLORÜR</t>
  </si>
  <si>
    <t>9002-86-2</t>
  </si>
  <si>
    <t>1487</t>
  </si>
  <si>
    <t>POLYVINYL CHLORIDE</t>
  </si>
  <si>
    <t>CHM-1435</t>
  </si>
  <si>
    <t>POLİETİLEN</t>
  </si>
  <si>
    <t>9002-88-4</t>
  </si>
  <si>
    <t>POLYETHYLENE</t>
  </si>
  <si>
    <t>CHM-1436</t>
  </si>
  <si>
    <t>POLİVİNİL ALKOL</t>
  </si>
  <si>
    <t>9002-89-5</t>
  </si>
  <si>
    <t>POLYVINYL ALCOHOL</t>
  </si>
  <si>
    <t>CHM-1437</t>
  </si>
  <si>
    <t>1-DEKANOL</t>
  </si>
  <si>
    <t>112-30-1</t>
  </si>
  <si>
    <t>1-DECANOL</t>
  </si>
  <si>
    <t>CHM-1438</t>
  </si>
  <si>
    <t>ETİLEN GLİKOL İZOPROPİL ETER</t>
  </si>
  <si>
    <t>109-59-1</t>
  </si>
  <si>
    <t>1491</t>
  </si>
  <si>
    <t>ETHYLENE GLYCOL ISOPROPYL ETHER</t>
  </si>
  <si>
    <t>CHM-1439</t>
  </si>
  <si>
    <t>1-PROPANETİOL</t>
  </si>
  <si>
    <t>107-03-9</t>
  </si>
  <si>
    <t>1-PROPANETHIOL</t>
  </si>
  <si>
    <t>2402</t>
  </si>
  <si>
    <t>CHM-1440</t>
  </si>
  <si>
    <t>n-OKTİL  MERKAPTAN</t>
  </si>
  <si>
    <t>111-88-6</t>
  </si>
  <si>
    <t>n-OCTYL MERCAPTAN</t>
  </si>
  <si>
    <t>CHM-1441</t>
  </si>
  <si>
    <t>tert-OKTİL MERKAPTAN</t>
  </si>
  <si>
    <t>141-59-3</t>
  </si>
  <si>
    <t>tert-OCTYL MERCAPTAN</t>
  </si>
  <si>
    <t>3023</t>
  </si>
  <si>
    <t>CHM-1442</t>
  </si>
  <si>
    <t>METİL VİNİL KETON</t>
  </si>
  <si>
    <t>78-94-4</t>
  </si>
  <si>
    <t>METHYL VINYL KETONE</t>
  </si>
  <si>
    <t>CHM-1443</t>
  </si>
  <si>
    <t>2-METOKSİ-2-METİLBÜTAN</t>
  </si>
  <si>
    <t>994-05-8</t>
  </si>
  <si>
    <t>2-METHOXY-2-METHYLBUTANE</t>
  </si>
  <si>
    <t>3271</t>
  </si>
  <si>
    <t>CHM-1444</t>
  </si>
  <si>
    <t>SÜKSİNONİTRİL</t>
  </si>
  <si>
    <t>110-61-2</t>
  </si>
  <si>
    <t>1497</t>
  </si>
  <si>
    <t>SUCCINONITRILE</t>
  </si>
  <si>
    <t>CHM-1445</t>
  </si>
  <si>
    <t>4-DİMETİLAMİNOAZOBENZEN</t>
  </si>
  <si>
    <t>60-11-7</t>
  </si>
  <si>
    <t>4-DIMETHYLAMINOAZOBENZENE</t>
  </si>
  <si>
    <t>3143</t>
  </si>
  <si>
    <t>CHM-1446</t>
  </si>
  <si>
    <t>DEMİR KLORÜR (SUSUZ)</t>
  </si>
  <si>
    <t>7705-08-0</t>
  </si>
  <si>
    <t>599 °F at 760 mmHg (Decomposes) (NTP, 1992)</t>
  </si>
  <si>
    <t>1499</t>
  </si>
  <si>
    <t>FERRIC CHLORIDE (ANHYDROUS)</t>
  </si>
  <si>
    <t>1773</t>
  </si>
  <si>
    <t>CHM-1447</t>
  </si>
  <si>
    <t>KLORPROFAM</t>
  </si>
  <si>
    <t>101-21-3</t>
  </si>
  <si>
    <t>477 °F at 760 mmHg (decomposition) (NTP, 1992)</t>
  </si>
  <si>
    <t>CHLORPROPHAM</t>
  </si>
  <si>
    <t>CHM-1448</t>
  </si>
  <si>
    <t>İMİDAKLOPRİD</t>
  </si>
  <si>
    <t>138261-41-3</t>
  </si>
  <si>
    <t>1501</t>
  </si>
  <si>
    <t>IMIDACLOPRID</t>
  </si>
  <si>
    <t>CHM-1449</t>
  </si>
  <si>
    <t>SPİNOSAD</t>
  </si>
  <si>
    <t>168316-95-8</t>
  </si>
  <si>
    <t>801.5±65,0</t>
  </si>
  <si>
    <t>SPINOSAD</t>
  </si>
  <si>
    <t>CHM-1450</t>
  </si>
  <si>
    <t>FİPRONİL</t>
  </si>
  <si>
    <t>120068-37-3</t>
  </si>
  <si>
    <t>1503</t>
  </si>
  <si>
    <t>FIPRONIL</t>
  </si>
  <si>
    <t>CHM-1451</t>
  </si>
  <si>
    <t>2-NİTRONAFTALİN</t>
  </si>
  <si>
    <t>581-89-5</t>
  </si>
  <si>
    <t>1504</t>
  </si>
  <si>
    <t>2-NITRONAPHTHALENE</t>
  </si>
  <si>
    <t>2538</t>
  </si>
  <si>
    <t>CHM-1452</t>
  </si>
  <si>
    <t>METİL SALİSİLAT</t>
  </si>
  <si>
    <t>119-36-8</t>
  </si>
  <si>
    <t>H302, H317, H361, H402</t>
  </si>
  <si>
    <t>METHYL SALICYLATE</t>
  </si>
  <si>
    <t>CHM-1453</t>
  </si>
  <si>
    <t>KALSİYUM STEARAT</t>
  </si>
  <si>
    <t>1592-23-0</t>
  </si>
  <si>
    <t>1506</t>
  </si>
  <si>
    <t>CALCIUM STEARATE</t>
  </si>
  <si>
    <t>CHM-1454</t>
  </si>
  <si>
    <t>SAKKAROZ</t>
  </si>
  <si>
    <t>57-50-1</t>
  </si>
  <si>
    <t>1507</t>
  </si>
  <si>
    <t>SUCROSE</t>
  </si>
  <si>
    <t>CHM-1455</t>
  </si>
  <si>
    <t>SİLİSYUM</t>
  </si>
  <si>
    <t>7440-21-3</t>
  </si>
  <si>
    <t>1508</t>
  </si>
  <si>
    <t>SILICON</t>
  </si>
  <si>
    <t>CHM-1456</t>
  </si>
  <si>
    <t>2,2-DİKLOROPROPİYONİK ASİT</t>
  </si>
  <si>
    <t>75-99-0</t>
  </si>
  <si>
    <t>1509</t>
  </si>
  <si>
    <t>2,2-DICHLOROPROPIONIC ACID</t>
  </si>
  <si>
    <t>CHM-1457</t>
  </si>
  <si>
    <t>KARBADOKS</t>
  </si>
  <si>
    <t>6804-07-5</t>
  </si>
  <si>
    <t>CARBADOX</t>
  </si>
  <si>
    <t>CHM-1458</t>
  </si>
  <si>
    <t>SODYUM SEKSİKARBONAT DİHİDRAT</t>
  </si>
  <si>
    <t>6106-20-3</t>
  </si>
  <si>
    <t>1511</t>
  </si>
  <si>
    <t>SODIUM SESQUICARBONATE DIHYDRATE</t>
  </si>
  <si>
    <t>CHM-1459</t>
  </si>
  <si>
    <t>FEROSEN</t>
  </si>
  <si>
    <t>102-54-5</t>
  </si>
  <si>
    <t>1512</t>
  </si>
  <si>
    <t>FERROCENE</t>
  </si>
  <si>
    <t>CHM-1460</t>
  </si>
  <si>
    <t>n-PROPİL NİTRAT</t>
  </si>
  <si>
    <t>627-13-4</t>
  </si>
  <si>
    <t>1513</t>
  </si>
  <si>
    <t>n-PROPYL NITRATE</t>
  </si>
  <si>
    <t>1865</t>
  </si>
  <si>
    <t>CHM-1461</t>
  </si>
  <si>
    <t>SODYUM KSİLENSÜLFONAT</t>
  </si>
  <si>
    <t>1300-72-7</t>
  </si>
  <si>
    <t>SODIUM XYLENESULFONATE</t>
  </si>
  <si>
    <t>CHM-1462</t>
  </si>
  <si>
    <t>PİNDON</t>
  </si>
  <si>
    <t>83-26-1</t>
  </si>
  <si>
    <t>1515</t>
  </si>
  <si>
    <t>PINDONE</t>
  </si>
  <si>
    <t>CHM-1463</t>
  </si>
  <si>
    <t>ESFENVALERAT</t>
  </si>
  <si>
    <t>66230-04-4</t>
  </si>
  <si>
    <t>151-167 °C</t>
  </si>
  <si>
    <t>1516</t>
  </si>
  <si>
    <t>ESFENVALERATE</t>
  </si>
  <si>
    <t>CHM-1464</t>
  </si>
  <si>
    <t>POLİETİLEN GLİKOL (200-600)</t>
  </si>
  <si>
    <t>25322-68-3</t>
  </si>
  <si>
    <t>1517</t>
  </si>
  <si>
    <t>POLYETHYLENE GLYCOL (200-600)</t>
  </si>
  <si>
    <t>CHM-1465</t>
  </si>
  <si>
    <t>DHTDMAC (%15 İzopropanol ile)</t>
  </si>
  <si>
    <t>61789-80-8</t>
  </si>
  <si>
    <t>1518</t>
  </si>
  <si>
    <t>DHTDMAC (with 15% Isopropanol)</t>
  </si>
  <si>
    <t>CHM-1466</t>
  </si>
  <si>
    <t>2,6-KSİLİDİN</t>
  </si>
  <si>
    <t>87-62-7</t>
  </si>
  <si>
    <t>1519</t>
  </si>
  <si>
    <t>2,6-XYLIDINE</t>
  </si>
  <si>
    <t>CHM-1467</t>
  </si>
  <si>
    <t>2-NİTROANİZOL</t>
  </si>
  <si>
    <t>91-23-6</t>
  </si>
  <si>
    <t>1520</t>
  </si>
  <si>
    <t>2-NITROANISOLE</t>
  </si>
  <si>
    <t>2730</t>
  </si>
  <si>
    <t>CHM-1468</t>
  </si>
  <si>
    <t>1-PENTANTİYOL</t>
  </si>
  <si>
    <t>110-66-7</t>
  </si>
  <si>
    <t>1521</t>
  </si>
  <si>
    <t>1-PENTANETHIOL</t>
  </si>
  <si>
    <t>CHM-1469</t>
  </si>
  <si>
    <t>AMONYUM VANADYUM OKSİT</t>
  </si>
  <si>
    <t>11115-67-6</t>
  </si>
  <si>
    <t>1522</t>
  </si>
  <si>
    <t>AMMONIUM VANADIUM OXIDE</t>
  </si>
  <si>
    <t>CHM-1470</t>
  </si>
  <si>
    <t>n-HEKSANTİYOL</t>
  </si>
  <si>
    <t>111-31-9</t>
  </si>
  <si>
    <t>1523</t>
  </si>
  <si>
    <t>n-HEXANETHIOL</t>
  </si>
  <si>
    <t>3336</t>
  </si>
  <si>
    <t>CHM-1471</t>
  </si>
  <si>
    <t>1,3-PROPAN SULTON</t>
  </si>
  <si>
    <t>1120-71-4</t>
  </si>
  <si>
    <t>H301, H319, H340, H341, H351</t>
  </si>
  <si>
    <t>180 °C at 0.039 atm.</t>
  </si>
  <si>
    <t>1524</t>
  </si>
  <si>
    <t>1,3-PROPANE SULTONE</t>
  </si>
  <si>
    <t>CHM-1472</t>
  </si>
  <si>
    <t>o-TERFENİL</t>
  </si>
  <si>
    <t>84-15-1</t>
  </si>
  <si>
    <t>1525</t>
  </si>
  <si>
    <t>o-TERPHENYL</t>
  </si>
  <si>
    <t>CHM-1473</t>
  </si>
  <si>
    <t>KLORODİFENİLARSİN</t>
  </si>
  <si>
    <t>712-48-1</t>
  </si>
  <si>
    <t>1526</t>
  </si>
  <si>
    <t>CHLORODIPHENYLARSINE</t>
  </si>
  <si>
    <t>1699</t>
  </si>
  <si>
    <t>CHM-1474</t>
  </si>
  <si>
    <t>1,2,3,4-TETRAHİDRONAFTALEN</t>
  </si>
  <si>
    <t>119-64-2</t>
  </si>
  <si>
    <t>1527</t>
  </si>
  <si>
    <t>1,2,3,4-TETRAHYDRONAPHTHALENE</t>
  </si>
  <si>
    <t>CHM-1475</t>
  </si>
  <si>
    <t>p-(METİLAMİNO)FENOL SÜLFAT</t>
  </si>
  <si>
    <t>55-55-0</t>
  </si>
  <si>
    <t>1528</t>
  </si>
  <si>
    <t>p-(METHYLAMINO)PHENOL SULFATE</t>
  </si>
  <si>
    <t>CHM-1476</t>
  </si>
  <si>
    <t>KOBALT SÜLFİD</t>
  </si>
  <si>
    <t>1317-42-6</t>
  </si>
  <si>
    <t>1529</t>
  </si>
  <si>
    <t>COBALT SULFIDE</t>
  </si>
  <si>
    <t>CHM-1477</t>
  </si>
  <si>
    <t>KROM(III) NİTRAT NONAHİDRAT</t>
  </si>
  <si>
    <t>7789-02-8</t>
  </si>
  <si>
    <t>1530</t>
  </si>
  <si>
    <t>CHROMIUM(III) NITRATE NONAHYDRATE</t>
  </si>
  <si>
    <t>2720</t>
  </si>
  <si>
    <t>CHM-1478</t>
  </si>
  <si>
    <t>KROM(III) OKSİT</t>
  </si>
  <si>
    <t>1308-38-9</t>
  </si>
  <si>
    <t>1531</t>
  </si>
  <si>
    <t>CHROMIUM(III) OXIDE</t>
  </si>
  <si>
    <t>CHM-1479</t>
  </si>
  <si>
    <t>KROM(III) KLORİD HEKSAHİDRAT</t>
  </si>
  <si>
    <t>10060-12-5</t>
  </si>
  <si>
    <t>1532</t>
  </si>
  <si>
    <t>CHROMIUM(III) CHLORIDE HEXAHYDRATE</t>
  </si>
  <si>
    <t>CHM-1480</t>
  </si>
  <si>
    <t>tert-BÜTİL KROMAT</t>
  </si>
  <si>
    <t>1189-85-1</t>
  </si>
  <si>
    <t>1533</t>
  </si>
  <si>
    <t>tert-BUTYL CHROMATE</t>
  </si>
  <si>
    <t>CHM-1481</t>
  </si>
  <si>
    <t>STRONSIYUM</t>
  </si>
  <si>
    <t>7440-24-6</t>
  </si>
  <si>
    <t>1534</t>
  </si>
  <si>
    <t>STRONTIUM</t>
  </si>
  <si>
    <t>CHM-1482</t>
  </si>
  <si>
    <t>KALAY</t>
  </si>
  <si>
    <t>7440-31-5</t>
  </si>
  <si>
    <t>1535</t>
  </si>
  <si>
    <t>TIN</t>
  </si>
  <si>
    <t>CHM-1483</t>
  </si>
  <si>
    <t>SODYUM BENZOAT</t>
  </si>
  <si>
    <t>532-32-1</t>
  </si>
  <si>
    <t>&gt;450 °C to &lt;475 °C, decomposes with no boiling (OECD Guideline 103 (Boiling point/boiling range))</t>
  </si>
  <si>
    <t>1536</t>
  </si>
  <si>
    <t>SODIUM BENZOATE</t>
  </si>
  <si>
    <t>CHM-1484</t>
  </si>
  <si>
    <t>HİDROKSİASETİK ASİT</t>
  </si>
  <si>
    <t>79-14-1</t>
  </si>
  <si>
    <t>100 °C</t>
  </si>
  <si>
    <t>1537</t>
  </si>
  <si>
    <t>HYDROXYACETIC ACID</t>
  </si>
  <si>
    <t>CHM-1485</t>
  </si>
  <si>
    <t>ALÜMİNYUM FOSFAT TRİBAZİK</t>
  </si>
  <si>
    <t>7784-30-7</t>
  </si>
  <si>
    <t>1538</t>
  </si>
  <si>
    <t>ALUMINIUM PHOSPHATE TRIBASIC</t>
  </si>
  <si>
    <t>CHM-1486</t>
  </si>
  <si>
    <t>UNDESİL ALKOL</t>
  </si>
  <si>
    <t>30207-98-8</t>
  </si>
  <si>
    <t>1539</t>
  </si>
  <si>
    <t>UNDECYL ALCOHOL</t>
  </si>
  <si>
    <t>CHM-1487</t>
  </si>
  <si>
    <t>PİGMENT KIRMIZI 53, BARYUM TUZU (2:1)</t>
  </si>
  <si>
    <t>5160-02-1</t>
  </si>
  <si>
    <t>1540</t>
  </si>
  <si>
    <t>PIGMENT RED 53, BARIUM SALT (2:1)</t>
  </si>
  <si>
    <t>CHM-1488</t>
  </si>
  <si>
    <t>2-NİTRO-P-FENİLENDİAMİN</t>
  </si>
  <si>
    <t>5307-14-2</t>
  </si>
  <si>
    <t>1542</t>
  </si>
  <si>
    <t>2-NITRO-p-PHENYLENEDIAMINE</t>
  </si>
  <si>
    <t>CHM-1489</t>
  </si>
  <si>
    <t>4-NİTRO-O-FENİLENDİAMİN</t>
  </si>
  <si>
    <t>99-56-9</t>
  </si>
  <si>
    <t>1543</t>
  </si>
  <si>
    <t>4-NITRO-o-PHENYLENEDIAMINE</t>
  </si>
  <si>
    <t>CHM-1490</t>
  </si>
  <si>
    <t>2,5-TOLUENDİAMİN SÜLFAT (1:1)</t>
  </si>
  <si>
    <t>615-50-9</t>
  </si>
  <si>
    <t>2,5-TOLUENEDIAMINE SULFATE (1:1)</t>
  </si>
  <si>
    <t>CHM-1491</t>
  </si>
  <si>
    <t>KURŞUN BİS(DİMETİLDİTİYOKARBAMAT)</t>
  </si>
  <si>
    <t>19010-66-3</t>
  </si>
  <si>
    <t>LEAD BIS(DIMETHYLDITHIOCARBAMATE)</t>
  </si>
  <si>
    <t>CHM-1492</t>
  </si>
  <si>
    <t>METİLDİBROMOGLUTARONİTRİL</t>
  </si>
  <si>
    <t>35691-65-7</t>
  </si>
  <si>
    <t>METHYLDIBROMOGLUTARONITRILE</t>
  </si>
  <si>
    <t>CHM-1493</t>
  </si>
  <si>
    <t>1,4-NAFTOKİNON</t>
  </si>
  <si>
    <t>130-15-4</t>
  </si>
  <si>
    <t>Sublimes below 212 °F (NTP, 1992)</t>
  </si>
  <si>
    <t>1,4-NAPHTHOQUINONE</t>
  </si>
  <si>
    <t>CHM-1494</t>
  </si>
  <si>
    <t>DEKAHİDRONAFTALEN (CIS/TRANS IZOMER KARIŞIMI)</t>
  </si>
  <si>
    <t>91-17-8</t>
  </si>
  <si>
    <t>DECAHYDRONAPHTHALENE (cis/trans isomer mixture)</t>
  </si>
  <si>
    <t>CHM-1495</t>
  </si>
  <si>
    <t>2-TERT-BÜTİLFENOL</t>
  </si>
  <si>
    <t>88-18-6</t>
  </si>
  <si>
    <t>1549</t>
  </si>
  <si>
    <t>2-TERT-BUTYLPHENOL</t>
  </si>
  <si>
    <t>CHM-1496</t>
  </si>
  <si>
    <t>N-ETİL-N-BENZİLANİLİN</t>
  </si>
  <si>
    <t>92-59-1</t>
  </si>
  <si>
    <t>545 to 547 °F at 760 mmHg (NTP, 1992)</t>
  </si>
  <si>
    <t>1550</t>
  </si>
  <si>
    <t>N-ETHYL-N-BENZYLANILINE</t>
  </si>
  <si>
    <t>2274</t>
  </si>
  <si>
    <t>CHM-1497</t>
  </si>
  <si>
    <t>KOBALT(II) OKSİT</t>
  </si>
  <si>
    <t>1307-96-6</t>
  </si>
  <si>
    <t>1551</t>
  </si>
  <si>
    <t>COBALT(II) OXIDE</t>
  </si>
  <si>
    <t>CHM-1498</t>
  </si>
  <si>
    <t>DİNİTOLMİD</t>
  </si>
  <si>
    <t>148-01-6</t>
  </si>
  <si>
    <t>1552</t>
  </si>
  <si>
    <t>DINITOLMIDE</t>
  </si>
  <si>
    <t>CHM-1499</t>
  </si>
  <si>
    <t>NİŞASTA</t>
  </si>
  <si>
    <t>9005-25-8</t>
  </si>
  <si>
    <t>1553</t>
  </si>
  <si>
    <t>STARCH</t>
  </si>
  <si>
    <t>CHM-1500</t>
  </si>
  <si>
    <t>FRUKTOZ</t>
  </si>
  <si>
    <t>57-48-7</t>
  </si>
  <si>
    <t>1554</t>
  </si>
  <si>
    <t>FRUCTOSE</t>
  </si>
  <si>
    <t>CHM-1501</t>
  </si>
  <si>
    <t>AMONYUM SÜLFAMAT</t>
  </si>
  <si>
    <t>7773-06-0</t>
  </si>
  <si>
    <t>Decomposes above 392.0 °F (USCG, 1999)</t>
  </si>
  <si>
    <t>1555</t>
  </si>
  <si>
    <t>AMMONIUM SULFAMATE</t>
  </si>
  <si>
    <t>CHM-1502</t>
  </si>
  <si>
    <t>TRİMETİL FOSFİT</t>
  </si>
  <si>
    <t>121-45-9</t>
  </si>
  <si>
    <t>1556</t>
  </si>
  <si>
    <t>TRIMETHYL PHOSPHITE</t>
  </si>
  <si>
    <t>2329</t>
  </si>
  <si>
    <t>CHM-1503</t>
  </si>
  <si>
    <t>p-TOLUENSÜLFONAMİD</t>
  </si>
  <si>
    <t>70-55-3</t>
  </si>
  <si>
    <t>BP: 214 °C at 10 mm Hg</t>
  </si>
  <si>
    <t>p-TOLUENESULFONAMIDE</t>
  </si>
  <si>
    <t>CHM-1504</t>
  </si>
  <si>
    <t>NONOKSİNOL-9</t>
  </si>
  <si>
    <t>26571-11-9</t>
  </si>
  <si>
    <t>NONOXYNOL-9</t>
  </si>
  <si>
    <t>CHM-1505</t>
  </si>
  <si>
    <t>HİDROKSİETİLSELÜLOZ</t>
  </si>
  <si>
    <t>9004-62-0</t>
  </si>
  <si>
    <t>HYDROXYETHYLCELLULOSE</t>
  </si>
  <si>
    <t>CHM-1506</t>
  </si>
  <si>
    <t>NİTROSELÜLOZ, KURU, %12,6'DAN AZ AZOT</t>
  </si>
  <si>
    <t>9004-70-0</t>
  </si>
  <si>
    <t>H228</t>
  </si>
  <si>
    <t>NITROCELLULOSE, dry, less than 12.6% nitrogen</t>
  </si>
  <si>
    <t>CHM-1507</t>
  </si>
  <si>
    <t>DİZEL YAKIT No.2</t>
  </si>
  <si>
    <t>68476-34-6</t>
  </si>
  <si>
    <t>DIESEL FUEL No. 2</t>
  </si>
  <si>
    <t>CHM-1508</t>
  </si>
  <si>
    <t>2,4-KSİLİDİN</t>
  </si>
  <si>
    <t>95-68-1</t>
  </si>
  <si>
    <t>H302, H315, H319, H373, H400</t>
  </si>
  <si>
    <t>1562</t>
  </si>
  <si>
    <t>2,4-XYLIDINE</t>
  </si>
  <si>
    <t>CHM-1509</t>
  </si>
  <si>
    <t>2,4,6-TRİBROMOFENOL</t>
  </si>
  <si>
    <t>118-79-6</t>
  </si>
  <si>
    <t>1563</t>
  </si>
  <si>
    <t>2,4,6-TRIBROMOPHENOL</t>
  </si>
  <si>
    <t>CHM-1510</t>
  </si>
  <si>
    <t>PENTABROMOFENOL</t>
  </si>
  <si>
    <t>608-71-9</t>
  </si>
  <si>
    <t>PENTABROMOPHENOL</t>
  </si>
  <si>
    <t>CHM-1511</t>
  </si>
  <si>
    <t>KRİYOLİT</t>
  </si>
  <si>
    <t>15096-52-3</t>
  </si>
  <si>
    <t>1565</t>
  </si>
  <si>
    <t>CRYOLITE</t>
  </si>
  <si>
    <t>CHM-1512</t>
  </si>
  <si>
    <t>1-TETRADEKEN</t>
  </si>
  <si>
    <t>1120-36-1</t>
  </si>
  <si>
    <t>1-TETRADECENE</t>
  </si>
  <si>
    <t>CHM-1513</t>
  </si>
  <si>
    <t>1-DODEKEN</t>
  </si>
  <si>
    <t>112-41-4</t>
  </si>
  <si>
    <t>1-DODECENE</t>
  </si>
  <si>
    <t>CHM-1514</t>
  </si>
  <si>
    <t>ETİLEN GLİKOL DİMETİL ETER</t>
  </si>
  <si>
    <t>110-71-4</t>
  </si>
  <si>
    <t>1568</t>
  </si>
  <si>
    <t>ETHYLENE GLYCOL DIMETHYL ETHER</t>
  </si>
  <si>
    <t>2252</t>
  </si>
  <si>
    <t>CHM-1515</t>
  </si>
  <si>
    <t>ETİLEN GLİKOL DİETİL ETER</t>
  </si>
  <si>
    <t>629-14-1</t>
  </si>
  <si>
    <t>ETHYLENE GLYCOL DIETHYL ETHER</t>
  </si>
  <si>
    <t>CHM-1516</t>
  </si>
  <si>
    <t>TRİETİLEN GLİKOL DİMETİL ETER</t>
  </si>
  <si>
    <t>112-49-2</t>
  </si>
  <si>
    <t>TRIETHYLENE GLYCOL DIMETHYL ETHER</t>
  </si>
  <si>
    <t>CHM-1517</t>
  </si>
  <si>
    <t>ETİLEN GLİKOL MONOHEKSİL ETER</t>
  </si>
  <si>
    <t>112-25-4</t>
  </si>
  <si>
    <t>1571</t>
  </si>
  <si>
    <t>ETHYLENE GLYCOL MONOHEXYL ETHER</t>
  </si>
  <si>
    <t>CHM-1518</t>
  </si>
  <si>
    <t>DİETİLEN GLİKOL MONOHEKSİL ETER</t>
  </si>
  <si>
    <t>112-59-4</t>
  </si>
  <si>
    <t>1572</t>
  </si>
  <si>
    <t>DIETHYLENE GLYCOL MONOHEXYL ETHER</t>
  </si>
  <si>
    <t>CHM-1519</t>
  </si>
  <si>
    <t>PROPİLEN GLİKOL MONOETİL ETER</t>
  </si>
  <si>
    <t>1569-02-4</t>
  </si>
  <si>
    <t>PROPYLENE GLYCOL MONOETHYL ETHER</t>
  </si>
  <si>
    <t>CHM-1520</t>
  </si>
  <si>
    <t>2-PROPİLENGLİKOL1-ETİL ETER ASETAT</t>
  </si>
  <si>
    <t>54839-24-6</t>
  </si>
  <si>
    <t>1574</t>
  </si>
  <si>
    <t>2-PROPYLENEGLYCOL1-ETHYL ETHER ACETATE</t>
  </si>
  <si>
    <t>3272</t>
  </si>
  <si>
    <t>CHM-1521</t>
  </si>
  <si>
    <t>SİKLOTETRAMETİLEN TETRANİTRAMİN</t>
  </si>
  <si>
    <t>2691-41-0</t>
  </si>
  <si>
    <t>Decomposition temperature = 280 °C</t>
  </si>
  <si>
    <t>CYCLOTETRAMETHYLENE TETRANITRAMINE</t>
  </si>
  <si>
    <t>CHM-1522</t>
  </si>
  <si>
    <t>PENTAERİTRİTOL TETRANİTRAT</t>
  </si>
  <si>
    <t>78-11-5</t>
  </si>
  <si>
    <t>Explodes at 205-215 °C</t>
  </si>
  <si>
    <t>1576</t>
  </si>
  <si>
    <t>PENTAERYTHRITOL TETRANITRATE</t>
  </si>
  <si>
    <t>CHM-1523</t>
  </si>
  <si>
    <t>DEMİR(III) OKSİT</t>
  </si>
  <si>
    <t>1309-37-1</t>
  </si>
  <si>
    <t>1577</t>
  </si>
  <si>
    <t>FERRIC OXIDE</t>
  </si>
  <si>
    <t>CHM-1524</t>
  </si>
  <si>
    <t>2,4-DİAMİNOANİZOL</t>
  </si>
  <si>
    <t>615-05-4</t>
  </si>
  <si>
    <t>2,4-DIAMINOANISOLE</t>
  </si>
  <si>
    <t>CHM-1525</t>
  </si>
  <si>
    <t>2-AMİNOANTRAKİNON</t>
  </si>
  <si>
    <t>117-79-3</t>
  </si>
  <si>
    <t>1579</t>
  </si>
  <si>
    <t>2-AMINOANTHRAQUINONE</t>
  </si>
  <si>
    <t>CHM-1526</t>
  </si>
  <si>
    <t>NİTROSİL KLORİD</t>
  </si>
  <si>
    <t>2696-92-6</t>
  </si>
  <si>
    <t>NITROSYL CHLORIDE</t>
  </si>
  <si>
    <t>CHM-1527</t>
  </si>
  <si>
    <t>o-TOLUENSÜLFONAMİD</t>
  </si>
  <si>
    <t>88-19-7</t>
  </si>
  <si>
    <t>214 °C at 10 mm Hg</t>
  </si>
  <si>
    <t>1581</t>
  </si>
  <si>
    <t>o-TOLUENESULFONAMIDE</t>
  </si>
  <si>
    <t>CHM-1528</t>
  </si>
  <si>
    <t>o-DİANİZİDİN</t>
  </si>
  <si>
    <t>119-90-4</t>
  </si>
  <si>
    <t>1582</t>
  </si>
  <si>
    <t>o-DIANISIDINE</t>
  </si>
  <si>
    <t>CHM-1529</t>
  </si>
  <si>
    <t>iso-FTALONİTRİL</t>
  </si>
  <si>
    <t>626-17-5</t>
  </si>
  <si>
    <t>1583</t>
  </si>
  <si>
    <t>iso-PHTHALONITRILE</t>
  </si>
  <si>
    <t>CHM-1530</t>
  </si>
  <si>
    <t>BENZALKONİYUM KLORİD</t>
  </si>
  <si>
    <t>63449-41-2</t>
  </si>
  <si>
    <t>H302, H314, H400, H410</t>
  </si>
  <si>
    <t>1584</t>
  </si>
  <si>
    <t>BENZALKONIUM CHLORIDE</t>
  </si>
  <si>
    <t>2928</t>
  </si>
  <si>
    <t>CHM-1531</t>
  </si>
  <si>
    <t>POTASYUM HİDROJEN SÜLFAT</t>
  </si>
  <si>
    <t>7646-93-7</t>
  </si>
  <si>
    <t>H314, H335</t>
  </si>
  <si>
    <t>1585</t>
  </si>
  <si>
    <t>POTASSIUM HYDROGEN SULFATE</t>
  </si>
  <si>
    <t>2509</t>
  </si>
  <si>
    <t>CHM-1532</t>
  </si>
  <si>
    <t>DİMETİL DİSÜLFİD</t>
  </si>
  <si>
    <t>624-92-0</t>
  </si>
  <si>
    <t>H225, H226, H302, H319, H331, H335, H336, H400, H410, H411, H412</t>
  </si>
  <si>
    <t>DIMETHYL DISULFIDE</t>
  </si>
  <si>
    <t>2381</t>
  </si>
  <si>
    <t>CHM-1533</t>
  </si>
  <si>
    <t>METİLKLOROSİLAN</t>
  </si>
  <si>
    <t>993-00-0</t>
  </si>
  <si>
    <t>1587</t>
  </si>
  <si>
    <t>METHYLCHLOROSILANE</t>
  </si>
  <si>
    <t>2534</t>
  </si>
  <si>
    <t>CHM-1534</t>
  </si>
  <si>
    <t>POTASYUM KARBONAT (ANHİDROZ)</t>
  </si>
  <si>
    <t>584-08-7</t>
  </si>
  <si>
    <t>POTASSIUM CARBONATE (ANHYDROUS)</t>
  </si>
  <si>
    <t>CHM-1535</t>
  </si>
  <si>
    <t>KALSİYUM SÜLFAT (ANHİDROZ)</t>
  </si>
  <si>
    <t>7778-18-9</t>
  </si>
  <si>
    <t>CALCIUM SULFATE (ANHYDROUS)</t>
  </si>
  <si>
    <t>CHM-1536</t>
  </si>
  <si>
    <t>ÜRE AMONYUM NİTRAT</t>
  </si>
  <si>
    <t>15978-77-5</t>
  </si>
  <si>
    <t>UREA AMMONIUM NITRATE</t>
  </si>
  <si>
    <t>CHM-1537</t>
  </si>
  <si>
    <t>2,5-DİNİTROTOLUEN</t>
  </si>
  <si>
    <t>619-15-8</t>
  </si>
  <si>
    <t>2,5-DINITROTOLUENE</t>
  </si>
  <si>
    <t>CHM-1538</t>
  </si>
  <si>
    <t>SEZYUM HİDROKSİT</t>
  </si>
  <si>
    <t>21351-79-1</t>
  </si>
  <si>
    <t>1592</t>
  </si>
  <si>
    <t>CAESIUM HYDROXIDE</t>
  </si>
  <si>
    <t>2682</t>
  </si>
  <si>
    <t>CHM-1539</t>
  </si>
  <si>
    <t>n-BÜTİL KLOROFORMAT</t>
  </si>
  <si>
    <t>592-34-7</t>
  </si>
  <si>
    <t>n-BUTYL CHLOROFORMATE</t>
  </si>
  <si>
    <t>2743</t>
  </si>
  <si>
    <t>CHM-1540</t>
  </si>
  <si>
    <t>İZOBÜTİL KLOROFORMAT</t>
  </si>
  <si>
    <t>543-27-1</t>
  </si>
  <si>
    <t>ISOBUTYL CHLOROFORMATE</t>
  </si>
  <si>
    <t>2742</t>
  </si>
  <si>
    <t>CHM-1541</t>
  </si>
  <si>
    <t>n-PROPİL KLOROFORMAT</t>
  </si>
  <si>
    <t>109-61-5</t>
  </si>
  <si>
    <t>n-PROPYL CHLOROFORMATE</t>
  </si>
  <si>
    <t>2740</t>
  </si>
  <si>
    <t>CHM-1542</t>
  </si>
  <si>
    <t>TANTAL</t>
  </si>
  <si>
    <t>7440-25-7</t>
  </si>
  <si>
    <t>TANTALUM</t>
  </si>
  <si>
    <t>CHM-1543</t>
  </si>
  <si>
    <t>BEYAZ MİNERAL YAĞ</t>
  </si>
  <si>
    <t>8042-47-5</t>
  </si>
  <si>
    <t>1597</t>
  </si>
  <si>
    <t>WHITE MINERAL OIL</t>
  </si>
  <si>
    <t>CHM-1544</t>
  </si>
  <si>
    <t>PETROL SÜLFONAT, SODYUM TUZU</t>
  </si>
  <si>
    <t>68608-26-4</t>
  </si>
  <si>
    <t>PETROLEUM SULFONATE, SODIUM SALT</t>
  </si>
  <si>
    <t>CHM-1545</t>
  </si>
  <si>
    <t>DİMETİL HİDROJEN FOSFİT</t>
  </si>
  <si>
    <t>868-85-9</t>
  </si>
  <si>
    <t>1599</t>
  </si>
  <si>
    <t>DIMETHYL HYDROGEN PHOSPHITE</t>
  </si>
  <si>
    <t>CHM-1546</t>
  </si>
  <si>
    <t>N-METİL DİETANOLAMİN</t>
  </si>
  <si>
    <t>105-59-9</t>
  </si>
  <si>
    <t>1600</t>
  </si>
  <si>
    <t>N-METHYL DIETHANOLAMINE</t>
  </si>
  <si>
    <t>CHM-1547</t>
  </si>
  <si>
    <t>TİYODİGLİKOL</t>
  </si>
  <si>
    <t>111-48-8</t>
  </si>
  <si>
    <t>1601</t>
  </si>
  <si>
    <t>THIODIGLYCOL</t>
  </si>
  <si>
    <t>CHM-1548</t>
  </si>
  <si>
    <t>C10-13 ALKİLBENZENSÜLFONİK ASİT, SODYUM TUZU</t>
  </si>
  <si>
    <t>68411-30-3</t>
  </si>
  <si>
    <t>1602</t>
  </si>
  <si>
    <t>C10-13 ALKYLBENZENESULFONIC ACID, SODIUM SALT</t>
  </si>
  <si>
    <t>CHM-1549</t>
  </si>
  <si>
    <t>SODYUM ARSENİT</t>
  </si>
  <si>
    <t>7784-46-5</t>
  </si>
  <si>
    <t>657 °C, Decomposes</t>
  </si>
  <si>
    <t>1603</t>
  </si>
  <si>
    <t>SODIUM ARSENITE</t>
  </si>
  <si>
    <t>2027</t>
  </si>
  <si>
    <t>CHM-1550</t>
  </si>
  <si>
    <t>1,5-NAFTALENDİYOL</t>
  </si>
  <si>
    <t>83-56-7</t>
  </si>
  <si>
    <t>1,5-NAPHTHALENEDIOL</t>
  </si>
  <si>
    <t>CHM-1551</t>
  </si>
  <si>
    <t>ANTRAKİNON</t>
  </si>
  <si>
    <t>84-65-1</t>
  </si>
  <si>
    <t>ANTHRAQUINONE</t>
  </si>
  <si>
    <t>CHM-1552</t>
  </si>
  <si>
    <t>SODYUM PEROKSİT</t>
  </si>
  <si>
    <t>1313-60-6</t>
  </si>
  <si>
    <t>1606</t>
  </si>
  <si>
    <t>SODIUM PEROXIDE</t>
  </si>
  <si>
    <t>CHM-1553</t>
  </si>
  <si>
    <t>BARYUM KROMAT</t>
  </si>
  <si>
    <t>10294-40-3</t>
  </si>
  <si>
    <t>BARIUM CHROMATE</t>
  </si>
  <si>
    <t>CHM-1554</t>
  </si>
  <si>
    <t>POTASYUM DİHİDROJEN FOSFAT</t>
  </si>
  <si>
    <t>7778-77-0</t>
  </si>
  <si>
    <t>1608</t>
  </si>
  <si>
    <t>POTASSIUM DIHYDROGEN PHOSPHATE</t>
  </si>
  <si>
    <t>CHM-1555</t>
  </si>
  <si>
    <t>N,N-DİETİLANİLİN</t>
  </si>
  <si>
    <t>91-66-7</t>
  </si>
  <si>
    <t>419.9 °F at 760 mmHg ; 198 °F at 10 mmHg (NTP, 1992)</t>
  </si>
  <si>
    <t>1609</t>
  </si>
  <si>
    <t>N,N-DIETHYLANILINE</t>
  </si>
  <si>
    <t>2432</t>
  </si>
  <si>
    <t>CHM-1556</t>
  </si>
  <si>
    <t>1-OKTADEKANOL</t>
  </si>
  <si>
    <t>112-92-5</t>
  </si>
  <si>
    <t>1610</t>
  </si>
  <si>
    <t>1-OCTADECANOL</t>
  </si>
  <si>
    <t>CHM-1557</t>
  </si>
  <si>
    <t>2,6-Dİ-TERT-BÜTİLFENOL</t>
  </si>
  <si>
    <t>128-39-2</t>
  </si>
  <si>
    <t>1611</t>
  </si>
  <si>
    <t>2,6-DI-TERT-BUTYLPHENOL</t>
  </si>
  <si>
    <t>CHM-1558</t>
  </si>
  <si>
    <t>PENTABROMODİFENİL ETER (TEKNIK ÜRÜN)</t>
  </si>
  <si>
    <t>32534-81-9</t>
  </si>
  <si>
    <t>1612</t>
  </si>
  <si>
    <t>PENTABROMODIPHENYL ETHER (Technical product)</t>
  </si>
  <si>
    <t>CHM-1559</t>
  </si>
  <si>
    <t>PERFLÜOROOKTANOİK ASİT</t>
  </si>
  <si>
    <t>335-67-1</t>
  </si>
  <si>
    <t>H302, H319, H331, H351, H360, H361, H373</t>
  </si>
  <si>
    <t>1613</t>
  </si>
  <si>
    <t>PERFLUOROOCTANOIC ACID</t>
  </si>
  <si>
    <t>CHM-1560</t>
  </si>
  <si>
    <t>PROPİLEN GLİKOL N-BÜTİL ETER</t>
  </si>
  <si>
    <t>5131-66-8</t>
  </si>
  <si>
    <t>1614</t>
  </si>
  <si>
    <t>PROPYLENE GLYCOL n-BUTYL ETHER</t>
  </si>
  <si>
    <t>CHM-1561</t>
  </si>
  <si>
    <t>1-TERT-BÜTOKSİ-2-PROPANOL</t>
  </si>
  <si>
    <t>57018-52-7</t>
  </si>
  <si>
    <t>H226, H319</t>
  </si>
  <si>
    <t>1615</t>
  </si>
  <si>
    <t>1-tert-BUTOXY-2-PROPANOL</t>
  </si>
  <si>
    <t>CHM-1562</t>
  </si>
  <si>
    <t>1-(2-BÜTOKSİPROPOKSİ)-2-PROPANOL</t>
  </si>
  <si>
    <t>24083-03-2</t>
  </si>
  <si>
    <t>1-(2-BUTOXYPROPOXY)-2-PROPANOL</t>
  </si>
  <si>
    <t>CHM-1563</t>
  </si>
  <si>
    <t>1-(1-METİL-2-BÜTOKSİ-ETOKSİ)-2-PROPANOL</t>
  </si>
  <si>
    <t>29911-28-2</t>
  </si>
  <si>
    <t>1-(1-METHYL-2-BUTOXY-ETHOXY)-2-PROPANOL</t>
  </si>
  <si>
    <t>CHM-1564</t>
  </si>
  <si>
    <t>1,4-DİKLORO-2-NİTROBENZEN</t>
  </si>
  <si>
    <t>89-61-2</t>
  </si>
  <si>
    <t>H302, H351, H373, H400, H411, H412</t>
  </si>
  <si>
    <t>1,4-DICHLORO-2-NITROBENZENE</t>
  </si>
  <si>
    <t>CHM-1565</t>
  </si>
  <si>
    <t>n-HEPTANTİYOL</t>
  </si>
  <si>
    <t>1639-09-4</t>
  </si>
  <si>
    <t>1619</t>
  </si>
  <si>
    <t>n-HEPTANETHIOL</t>
  </si>
  <si>
    <t>CHM-1566</t>
  </si>
  <si>
    <t>1-NONANTİYOL</t>
  </si>
  <si>
    <t>1455-21-6</t>
  </si>
  <si>
    <t>1620</t>
  </si>
  <si>
    <t>1-NONANETHIOL</t>
  </si>
  <si>
    <t>3334</t>
  </si>
  <si>
    <t>CHM-1567</t>
  </si>
  <si>
    <t>1-UNDEKANTİYOL</t>
  </si>
  <si>
    <t>5332-52-5</t>
  </si>
  <si>
    <t>1621</t>
  </si>
  <si>
    <t>1-UNDECANETHIOL</t>
  </si>
  <si>
    <t>CHM-1568</t>
  </si>
  <si>
    <t>1-OKTADEKANTİYOL</t>
  </si>
  <si>
    <t>2885-00-9</t>
  </si>
  <si>
    <t>1-OCTADECANETHIOL</t>
  </si>
  <si>
    <t>CHM-1569</t>
  </si>
  <si>
    <t>2,2'-DİTİYODİBENZOİK ASİT</t>
  </si>
  <si>
    <t>119-80-2</t>
  </si>
  <si>
    <t>1623</t>
  </si>
  <si>
    <t>2,2'-DITHIODIBENZOIC ACID</t>
  </si>
  <si>
    <t>CHM-1570</t>
  </si>
  <si>
    <t>ARSENİK ASİT (%80 SULU)</t>
  </si>
  <si>
    <t>7778-39-4</t>
  </si>
  <si>
    <t>H301, H312, H314, H351, H370, H372, H373, H400, H410, H411, H412</t>
  </si>
  <si>
    <t>ARSENIC ACID (80% in water)</t>
  </si>
  <si>
    <t>CHM-1571</t>
  </si>
  <si>
    <t>BENZENSÜLFONİK ASİT</t>
  </si>
  <si>
    <t>98-11-3</t>
  </si>
  <si>
    <t>1626</t>
  </si>
  <si>
    <t>BENZENESULFONIC ACID</t>
  </si>
  <si>
    <t>CHM-1572</t>
  </si>
  <si>
    <t>ÇİNKO SÜLFİD</t>
  </si>
  <si>
    <t>1314-98-3</t>
  </si>
  <si>
    <t>1627</t>
  </si>
  <si>
    <t>ZINC SULFIDE</t>
  </si>
  <si>
    <t>CHM-1573</t>
  </si>
  <si>
    <t>KALSİYUM BROMÜR</t>
  </si>
  <si>
    <t>7789-41-5</t>
  </si>
  <si>
    <t>1628</t>
  </si>
  <si>
    <t>CALCIUM BROMIDE</t>
  </si>
  <si>
    <t>CHM-1574</t>
  </si>
  <si>
    <t>DİFOSJEN</t>
  </si>
  <si>
    <t>503-38-8</t>
  </si>
  <si>
    <t>H300, H330, H335</t>
  </si>
  <si>
    <t>1630</t>
  </si>
  <si>
    <t>DIPHOSGENE</t>
  </si>
  <si>
    <t>skull</t>
  </si>
  <si>
    <t>Akut Toksisite</t>
  </si>
  <si>
    <t>CHM-1575</t>
  </si>
  <si>
    <t>AMONYUM PİKRAT</t>
  </si>
  <si>
    <t>131-74-8</t>
  </si>
  <si>
    <t>H201, H319, H402</t>
  </si>
  <si>
    <t>1631</t>
  </si>
  <si>
    <t>AMMONIUM PICRATE</t>
  </si>
  <si>
    <t>1</t>
  </si>
  <si>
    <t>Sınıf 1: Patlayıcılar</t>
  </si>
  <si>
    <t>expl; excl mark</t>
  </si>
  <si>
    <t>expl; Sağlık Tehlikesi (hafif)</t>
  </si>
  <si>
    <t>CHM-1576</t>
  </si>
  <si>
    <t>MALONALDEHİT</t>
  </si>
  <si>
    <t>542-78-9</t>
  </si>
  <si>
    <t>1632</t>
  </si>
  <si>
    <t>MALONALDEHYDE</t>
  </si>
  <si>
    <t>CHM-1577</t>
  </si>
  <si>
    <t>1-KLORO-3-NİTROBENZEN</t>
  </si>
  <si>
    <t>121-73-3</t>
  </si>
  <si>
    <t>H302, H311, H400</t>
  </si>
  <si>
    <t>1633</t>
  </si>
  <si>
    <t>1-CHLORO-3-NITROBENZENE</t>
  </si>
  <si>
    <t>CHM-1578</t>
  </si>
  <si>
    <t>KALSİYUM FORMAT</t>
  </si>
  <si>
    <t>544-17-2</t>
  </si>
  <si>
    <t>1634</t>
  </si>
  <si>
    <t>CALCIUM FORMATE</t>
  </si>
  <si>
    <t>CHM-1579</t>
  </si>
  <si>
    <t>N-(1,3-DİMETİLBÜTİL)-N'-FENİL-P-FENİLENDİAMİN</t>
  </si>
  <si>
    <t>793-24-8</t>
  </si>
  <si>
    <t>H315, H317, H319, H400, H410</t>
  </si>
  <si>
    <t>1635</t>
  </si>
  <si>
    <t>N-(1,3-DIMETHYLBUTYL)-N'-PHENYL-p-PHENYLENEDIAMINE</t>
  </si>
  <si>
    <t>CHM-1580</t>
  </si>
  <si>
    <t>METOKSİFLÜRAN</t>
  </si>
  <si>
    <t>76-38-0</t>
  </si>
  <si>
    <t>1636</t>
  </si>
  <si>
    <t>METHOXYFLURANE</t>
  </si>
  <si>
    <t>CHM-1581</t>
  </si>
  <si>
    <t>N-METİLOLAKRİLAMİD</t>
  </si>
  <si>
    <t>924-42-5</t>
  </si>
  <si>
    <t>H302, H315, H319, H340, H341, H351, H361, H373, H400</t>
  </si>
  <si>
    <t>1637</t>
  </si>
  <si>
    <t>N-METHYLOLACRYLAMIDE</t>
  </si>
  <si>
    <t>CHM-1582</t>
  </si>
  <si>
    <t>BAKIR FTALOSİYANİN</t>
  </si>
  <si>
    <t>147-14-8</t>
  </si>
  <si>
    <t>1638</t>
  </si>
  <si>
    <t>COPPER PHTHALOCYANINE</t>
  </si>
  <si>
    <t>CHM-1583</t>
  </si>
  <si>
    <t>KALSİYUM SİYANAMİD</t>
  </si>
  <si>
    <t>156-62-7</t>
  </si>
  <si>
    <t>Sublimes &gt;2102 °F (NTP, 1992)</t>
  </si>
  <si>
    <t>1639</t>
  </si>
  <si>
    <t>CALCIUM CYANAMIDE</t>
  </si>
  <si>
    <t>CHM-1584</t>
  </si>
  <si>
    <t>PERHİDRO-1,3,5-TRİNİTRO-1,3,5-TRİAZİN</t>
  </si>
  <si>
    <t>121-82-4</t>
  </si>
  <si>
    <t>H201, H301, H373, H402</t>
  </si>
  <si>
    <t>276-280 °C</t>
  </si>
  <si>
    <t>PERHYDRO-1,3,5-TRINITRO-1,3,5-TRIAZINE</t>
  </si>
  <si>
    <t>CHM-1585</t>
  </si>
  <si>
    <t>n-BÜTİL İZOSİYANAT</t>
  </si>
  <si>
    <t>111-36-4</t>
  </si>
  <si>
    <t>H225, H226, H300, H302, H314, H317, H330</t>
  </si>
  <si>
    <t>1642</t>
  </si>
  <si>
    <t>n-BUTYL ISOCYANATE</t>
  </si>
  <si>
    <t>2485</t>
  </si>
  <si>
    <t>CHM-1586</t>
  </si>
  <si>
    <t>SİKLOHEKSANDİKARBOKSİLİK ASİT ANHİDRİT</t>
  </si>
  <si>
    <t>85-42-7</t>
  </si>
  <si>
    <t>H315, H317, H319, H402</t>
  </si>
  <si>
    <t>1643</t>
  </si>
  <si>
    <t>CYCLOHEXANEDICARBOXYLIC ACID ANHYDRIDE</t>
  </si>
  <si>
    <t>CHM-1587</t>
  </si>
  <si>
    <t>METİLHEKSAHİDROFTALİK ASİT ANHİDRİT</t>
  </si>
  <si>
    <t>25550-51-0</t>
  </si>
  <si>
    <t>H315, H317, H319</t>
  </si>
  <si>
    <t>1644</t>
  </si>
  <si>
    <t>METHYLHEXAHYDROPHTHALIC ACID ANHYDRIDE</t>
  </si>
  <si>
    <t>CHM-1588</t>
  </si>
  <si>
    <t>METİLTETRAHİDROFTALİK ANHİDRİT</t>
  </si>
  <si>
    <t>26590-20-5</t>
  </si>
  <si>
    <t>METHYLTETRAHYDROPHTHALIC ANHYDRIDE</t>
  </si>
  <si>
    <t>CHM-1589</t>
  </si>
  <si>
    <t>İZOBÜTİL NİTRİT</t>
  </si>
  <si>
    <t>542-56-3</t>
  </si>
  <si>
    <t>H225, H226, H302, H331, H351</t>
  </si>
  <si>
    <t>ISOBUTYL NITRITE</t>
  </si>
  <si>
    <t>CHM-1590</t>
  </si>
  <si>
    <t>2-AMİNO-4-KLOROFENOL</t>
  </si>
  <si>
    <t>95-85-2</t>
  </si>
  <si>
    <t>H302, H315, H317, H351</t>
  </si>
  <si>
    <t>1652</t>
  </si>
  <si>
    <t>2-AMINO-4-CHLOROPHENOL</t>
  </si>
  <si>
    <t>2673</t>
  </si>
  <si>
    <t>CHM-1591</t>
  </si>
  <si>
    <t>SODYUM OKSİT</t>
  </si>
  <si>
    <t>1313-59-3</t>
  </si>
  <si>
    <t>1653</t>
  </si>
  <si>
    <t>SODIUM OXIDE</t>
  </si>
  <si>
    <t>1825</t>
  </si>
  <si>
    <t>CHM-1592</t>
  </si>
  <si>
    <t>NAFTENİK ASİTLER</t>
  </si>
  <si>
    <t>1338-24-5</t>
  </si>
  <si>
    <t>NAPHTHENIC ACIDS</t>
  </si>
  <si>
    <t>CHM-1593</t>
  </si>
  <si>
    <t>ETİLBİS(2-KLOROETİL)AMİN</t>
  </si>
  <si>
    <t>538-07-8</t>
  </si>
  <si>
    <t>H300, H310, H315, H318, H335, H340, H341, H351, H373</t>
  </si>
  <si>
    <t>185 °F at 12 mmHg (EPA, 1998)</t>
  </si>
  <si>
    <t>1655</t>
  </si>
  <si>
    <t>ETHYLBIS(2-CHLOROETHYL)AMINE</t>
  </si>
  <si>
    <t>CHM-1594</t>
  </si>
  <si>
    <t>2-KLORO-6-TRİKLOROMETİLPİRİDİN</t>
  </si>
  <si>
    <t>1929-82-4</t>
  </si>
  <si>
    <t>2-CHLORO-6-TRICHLOROMETHYLPYRIDINE</t>
  </si>
  <si>
    <t>CHM-1595</t>
  </si>
  <si>
    <t>METİDATİYON</t>
  </si>
  <si>
    <t>950-37-8</t>
  </si>
  <si>
    <t>METHIDATHION</t>
  </si>
  <si>
    <t>CHM-1596</t>
  </si>
  <si>
    <t>ETOPROFOS</t>
  </si>
  <si>
    <t>13194-48-4</t>
  </si>
  <si>
    <t>ETHOPROPHOS</t>
  </si>
  <si>
    <t>CHM-1597</t>
  </si>
  <si>
    <t>KÜKÜRT DİKLORÜR</t>
  </si>
  <si>
    <t>10545-99-0</t>
  </si>
  <si>
    <t>H290, H314, H400, H410</t>
  </si>
  <si>
    <t>SULFUR DICHLORIDE</t>
  </si>
  <si>
    <t>corr; cancer; enviro</t>
  </si>
  <si>
    <t>corr; Kanserojen/Mutajen/Repro; Çevre için Tehlikeli</t>
  </si>
  <si>
    <t>CHM-1598</t>
  </si>
  <si>
    <t>1,2-DİMETİLHİDRAZİN</t>
  </si>
  <si>
    <t>540-73-8</t>
  </si>
  <si>
    <t>H225, H226, H300, H319, H340, H341, H351, H373</t>
  </si>
  <si>
    <t>1,2-DIMETHYLHYDRAZINE</t>
  </si>
  <si>
    <t>2382</t>
  </si>
  <si>
    <t>CHM-1599</t>
  </si>
  <si>
    <t>3-KLORO-1,2-PROPANDİYOL (RASEMIK KARIŞIM)</t>
  </si>
  <si>
    <t>96-24-2</t>
  </si>
  <si>
    <t>H300, H301, H312, H319, H330, H335, H351, H361, H373</t>
  </si>
  <si>
    <t>3-CHLORO-1,2-PROPANEDIOL (RACEMIC MIXTURE)</t>
  </si>
  <si>
    <t>2689</t>
  </si>
  <si>
    <t>CHM-1600</t>
  </si>
  <si>
    <t>1-BROMO-3-KLOROPROPAN</t>
  </si>
  <si>
    <t>109-70-6</t>
  </si>
  <si>
    <t>H226, H302, H312, H331, H402</t>
  </si>
  <si>
    <t>1665</t>
  </si>
  <si>
    <t>1-BROMO-3-CHLOROPROPANE</t>
  </si>
  <si>
    <t>2688</t>
  </si>
  <si>
    <t>CHM-1601</t>
  </si>
  <si>
    <t>3,3'-DİAMİNOBENZİDİN</t>
  </si>
  <si>
    <t>91-95-2</t>
  </si>
  <si>
    <t>1666</t>
  </si>
  <si>
    <t>3,3'-DIAMINOBENZIDINE</t>
  </si>
  <si>
    <t>CHM-1602</t>
  </si>
  <si>
    <t>DİFENİLETER, OKTABROMO TÜREVİ</t>
  </si>
  <si>
    <t>32536-52-0</t>
  </si>
  <si>
    <t>H361</t>
  </si>
  <si>
    <t>1667</t>
  </si>
  <si>
    <t>DIPHENYLETHER, OCTABROMO DERIVATIVE</t>
  </si>
  <si>
    <t>CHM-1603</t>
  </si>
  <si>
    <t>EPTAC (%70-75 SULU ÇÖZELTI)</t>
  </si>
  <si>
    <t>3033-77-0</t>
  </si>
  <si>
    <t>H302, H317, H318, H340, H341, H351, H361, H373, H402, H412</t>
  </si>
  <si>
    <t>1668</t>
  </si>
  <si>
    <t>EPTAC (70-75 % aqueous solution)</t>
  </si>
  <si>
    <t>CHM-1604</t>
  </si>
  <si>
    <t>CHPTAC (%50-70 SULU ÇÖZELTI)</t>
  </si>
  <si>
    <t>3327-22-8</t>
  </si>
  <si>
    <t>H302, H351, H402, H412</t>
  </si>
  <si>
    <t>CHPTAC (50-70 % aqueous solution)</t>
  </si>
  <si>
    <t>CHM-1605</t>
  </si>
  <si>
    <t>SODYUM TETRAHİDROBORAT</t>
  </si>
  <si>
    <t>16940-66-2</t>
  </si>
  <si>
    <t>H221, H260, H261, H301, H314</t>
  </si>
  <si>
    <t>SODIUM TETRAHYDROBORATE</t>
  </si>
  <si>
    <t>CHM-1606</t>
  </si>
  <si>
    <t>TİYOSİYANİK ASİT</t>
  </si>
  <si>
    <t>463-56-9</t>
  </si>
  <si>
    <t>H302, H373</t>
  </si>
  <si>
    <t>THIOCYANIC ACID</t>
  </si>
  <si>
    <t>CHM-1607</t>
  </si>
  <si>
    <t>KRİSEN</t>
  </si>
  <si>
    <t>218-01-9</t>
  </si>
  <si>
    <t>1672</t>
  </si>
  <si>
    <t>CHRYSENE</t>
  </si>
  <si>
    <t>CHM-1608</t>
  </si>
  <si>
    <t>TRİFLÜOROASETİK ASİT</t>
  </si>
  <si>
    <t>76-05-1</t>
  </si>
  <si>
    <t>H314, H402</t>
  </si>
  <si>
    <t>TRIFLUOROACETIC ACID</t>
  </si>
  <si>
    <t>2699</t>
  </si>
  <si>
    <t>CHM-1609</t>
  </si>
  <si>
    <t>ASENAFTEN</t>
  </si>
  <si>
    <t>83-32-9</t>
  </si>
  <si>
    <t>ACENAPHTHENE</t>
  </si>
  <si>
    <t>CHM-1610</t>
  </si>
  <si>
    <t>TRİKLOROİZOSİYANÜRİK ASİT</t>
  </si>
  <si>
    <t>87-90-1</t>
  </si>
  <si>
    <t>H300, H302, H315, H318, H330, H400, H410</t>
  </si>
  <si>
    <t>1675</t>
  </si>
  <si>
    <t>TRICHLOROISOCYANURIC ACID</t>
  </si>
  <si>
    <t>2468</t>
  </si>
  <si>
    <t>flam circle; corr; skull; enviro</t>
  </si>
  <si>
    <t>flam circle; corr; Akut Toksisite; Çevre için Tehlikeli</t>
  </si>
  <si>
    <t>CHM-1611</t>
  </si>
  <si>
    <t>ETİDYUM BROMÜR</t>
  </si>
  <si>
    <t>1239-45-8</t>
  </si>
  <si>
    <t>H302, H340, H341</t>
  </si>
  <si>
    <t>1676</t>
  </si>
  <si>
    <t>ETHIDIUM BROMIDE</t>
  </si>
  <si>
    <t>CHM-1612</t>
  </si>
  <si>
    <t>TRİS(2-KLOROETİL) FOSFAT</t>
  </si>
  <si>
    <t>115-96-8</t>
  </si>
  <si>
    <t>H302, H351, H361, H400</t>
  </si>
  <si>
    <t>626 °F at 760 mmHg (NTP, 1992)</t>
  </si>
  <si>
    <t>TRIS(2-CHLOROETHYL) PHOSPHATE</t>
  </si>
  <si>
    <t>CHM-1613</t>
  </si>
  <si>
    <t>N,N'-DİASETİLBENZİDİN</t>
  </si>
  <si>
    <t>613-35-4</t>
  </si>
  <si>
    <t>H340, H341, H351, H373</t>
  </si>
  <si>
    <t>N,N'-DIACETYLBENZIDINE</t>
  </si>
  <si>
    <t>CHM-1614</t>
  </si>
  <si>
    <t>GLİSİDİL METAKRİLAT</t>
  </si>
  <si>
    <t>106-91-2</t>
  </si>
  <si>
    <t>H226, H302, H311, H317, H319, H400</t>
  </si>
  <si>
    <t>1679</t>
  </si>
  <si>
    <t>GLYCIDYL METHACRYLATE</t>
  </si>
  <si>
    <t>CHM-1615</t>
  </si>
  <si>
    <t>2,4-DİAMİNO-6-FENİL-1,3,5-TRİAZİN</t>
  </si>
  <si>
    <t>91-76-9</t>
  </si>
  <si>
    <t>H302, H402, H412</t>
  </si>
  <si>
    <t>2,4-DIAMINO-6-PHENYL-1,3,5-TRIAZINE</t>
  </si>
  <si>
    <t>CHM-1616</t>
  </si>
  <si>
    <t>KLORETOKSİFOS</t>
  </si>
  <si>
    <t>54593-83-8</t>
  </si>
  <si>
    <t>80 °C @ 0.05 mm Hg</t>
  </si>
  <si>
    <t>1681</t>
  </si>
  <si>
    <t>CHLORETHOXYFOS</t>
  </si>
  <si>
    <t>CHM-1617</t>
  </si>
  <si>
    <t>KLORMEFOS</t>
  </si>
  <si>
    <t>24934-91-6</t>
  </si>
  <si>
    <t>H300, H400</t>
  </si>
  <si>
    <t>178 to 185 °F at 0.1 mmHg (EPA, 1998)</t>
  </si>
  <si>
    <t>1682</t>
  </si>
  <si>
    <t>CHLORMEPHOS</t>
  </si>
  <si>
    <t>CHM-1618</t>
  </si>
  <si>
    <t>FLORESAN PARLATICI 220</t>
  </si>
  <si>
    <t>16470-24-9</t>
  </si>
  <si>
    <t>1683</t>
  </si>
  <si>
    <t>FLUORESCENT BRIGHTENER 220</t>
  </si>
  <si>
    <t>CHM-1619</t>
  </si>
  <si>
    <t>4-NİTROBENZOİK ASİT</t>
  </si>
  <si>
    <t>62-23-7</t>
  </si>
  <si>
    <t>H319, H335</t>
  </si>
  <si>
    <t>1684</t>
  </si>
  <si>
    <t>4-NITROBENZOIC ACID</t>
  </si>
  <si>
    <t>CHM-1620</t>
  </si>
  <si>
    <t>SEBAZİK ASİT</t>
  </si>
  <si>
    <t>111-20-6</t>
  </si>
  <si>
    <t>SEBACIC ACID</t>
  </si>
  <si>
    <t>CHM-1621</t>
  </si>
  <si>
    <t>2,5-KSİLİDİN</t>
  </si>
  <si>
    <t>95-78-3</t>
  </si>
  <si>
    <t>1686</t>
  </si>
  <si>
    <t>2,5-XYLIDINE</t>
  </si>
  <si>
    <t>CHM-1622</t>
  </si>
  <si>
    <t>3,5-KSİLİDİN</t>
  </si>
  <si>
    <t>108-69-0</t>
  </si>
  <si>
    <t>3,5-XYLIDINE</t>
  </si>
  <si>
    <t>CHM-1623</t>
  </si>
  <si>
    <t>TETRASODYUM ETİLENDİAMİNTETRAASETAT</t>
  </si>
  <si>
    <t>64-02-8</t>
  </si>
  <si>
    <t>1688</t>
  </si>
  <si>
    <t>TETRASODIUM ETHYLENEDIAMINETETRAACETATE</t>
  </si>
  <si>
    <t>CHM-1624</t>
  </si>
  <si>
    <t>BİS(PENTABROMOFENİL) ETER</t>
  </si>
  <si>
    <t>1163-19-5</t>
  </si>
  <si>
    <t>Decomposes at 425 °C</t>
  </si>
  <si>
    <t>BIS(PENTABROMOPHENYL) ETHER</t>
  </si>
  <si>
    <t>CHM-1625</t>
  </si>
  <si>
    <t>STRONSIYUM KARBONAT</t>
  </si>
  <si>
    <t>1633-05-2</t>
  </si>
  <si>
    <t>STRONTIUM CARBONATE</t>
  </si>
  <si>
    <t>CHM-1626</t>
  </si>
  <si>
    <t>STRONSIYUM SÜLFAT</t>
  </si>
  <si>
    <t>7759-02-6</t>
  </si>
  <si>
    <t>1696</t>
  </si>
  <si>
    <t>STRONTIUM SULFATE</t>
  </si>
  <si>
    <t>CHM-1627</t>
  </si>
  <si>
    <t>PERFLÜOROBÜTİLETİLEN</t>
  </si>
  <si>
    <t>19430-93-4</t>
  </si>
  <si>
    <t>H225, H226, H319</t>
  </si>
  <si>
    <t>PERFLUOROBUTYLETHYLENE</t>
  </si>
  <si>
    <t>CHM-1628</t>
  </si>
  <si>
    <t>ÇİNKO SÜLFAT</t>
  </si>
  <si>
    <t>7733-02-0</t>
  </si>
  <si>
    <t>1698</t>
  </si>
  <si>
    <t>ZINC SULFATE</t>
  </si>
  <si>
    <t>CHM-1629</t>
  </si>
  <si>
    <t>NEODEKANOİK ASİT</t>
  </si>
  <si>
    <t>26896-20-8</t>
  </si>
  <si>
    <t>NEODECANOIC ACID</t>
  </si>
  <si>
    <t>CHM-1630</t>
  </si>
  <si>
    <t>KETOKONAZOL</t>
  </si>
  <si>
    <t>65277-42-1</t>
  </si>
  <si>
    <t>H301, H360, H361, H373, H400, H410</t>
  </si>
  <si>
    <t>1700</t>
  </si>
  <si>
    <t>KETOCONAZOLE</t>
  </si>
  <si>
    <t>CHM-1631</t>
  </si>
  <si>
    <t>PENTAERİTRİTOL TETRAKİS(3-(3,5-Dİ-TERT-BÜTİL-4-HİDROKSİFENİL)PROPİYONAT)</t>
  </si>
  <si>
    <t>6683-19-8</t>
  </si>
  <si>
    <t>1701</t>
  </si>
  <si>
    <t>PENTAERYTHRITOL TETRAKIS(3-(3,5-DI-TERT-BUTYL-4-HYDROXYPHENYL)PROPIONATE)</t>
  </si>
  <si>
    <t>CHM-1632</t>
  </si>
  <si>
    <t>NİKOTİNİK ASİT</t>
  </si>
  <si>
    <t>59-67-6</t>
  </si>
  <si>
    <t>NICOTINIC ACID</t>
  </si>
  <si>
    <t>CHM-1633</t>
  </si>
  <si>
    <t>NİKOTİNAMİD</t>
  </si>
  <si>
    <t>98-92-0</t>
  </si>
  <si>
    <t>302 to 320 °F at 760 mmHg (NTP, 1992)</t>
  </si>
  <si>
    <t>1703</t>
  </si>
  <si>
    <t>NICOTINAMIDE</t>
  </si>
  <si>
    <t>CHM-1634</t>
  </si>
  <si>
    <t>KAMFEN</t>
  </si>
  <si>
    <t>79-92-5</t>
  </si>
  <si>
    <t>H228, H319, H400, H410, H411, H412</t>
  </si>
  <si>
    <t>CAMPHENE</t>
  </si>
  <si>
    <t>CHM-1635</t>
  </si>
  <si>
    <t>DİBÜTİL ADİPAT</t>
  </si>
  <si>
    <t>105-99-7</t>
  </si>
  <si>
    <t>H315, H400</t>
  </si>
  <si>
    <t>1705</t>
  </si>
  <si>
    <t>DIBUTYL ADIPATE</t>
  </si>
  <si>
    <t>CHM-1636</t>
  </si>
  <si>
    <t>ETİL TERSİYER BÜTİL ETER</t>
  </si>
  <si>
    <t>637-92-3</t>
  </si>
  <si>
    <t>H225, H226, H300, H315, H319, H336</t>
  </si>
  <si>
    <t>1706</t>
  </si>
  <si>
    <t>ETHYL TERTIARY BUTYL ETHER</t>
  </si>
  <si>
    <t>CHM-1637</t>
  </si>
  <si>
    <t>1-KLORONAFTALEN</t>
  </si>
  <si>
    <t>90-13-1</t>
  </si>
  <si>
    <t>H302, H315, H319, H335, H400</t>
  </si>
  <si>
    <t>1-CHLORONAPHTHALENE</t>
  </si>
  <si>
    <t>CHM-1638</t>
  </si>
  <si>
    <t>2-KLORONAFTALEN</t>
  </si>
  <si>
    <t>91-58-7</t>
  </si>
  <si>
    <t>2-Chloronaphthalene</t>
  </si>
  <si>
    <t>CHM-1639</t>
  </si>
  <si>
    <t>NİTROSELÜLOZ (KURU, %12,6'DAN FAZLA AZOT)</t>
  </si>
  <si>
    <t>H201</t>
  </si>
  <si>
    <t>NITROCELLULOSE (dry, more than 12.6% nitrogen)</t>
  </si>
  <si>
    <t>expl</t>
  </si>
  <si>
    <t>CHM-1640</t>
  </si>
  <si>
    <t>SODYUM HİDROJENSÜLFÜR</t>
  </si>
  <si>
    <t>16721-80-5</t>
  </si>
  <si>
    <t>H300, H311, H314, H335</t>
  </si>
  <si>
    <t>212 °F at 760 mmHg (approx.) (USCG, 1999)</t>
  </si>
  <si>
    <t>SODIUM HYDROGENSULFIDE</t>
  </si>
  <si>
    <t>CHM-1641</t>
  </si>
  <si>
    <t>1,3-DİKLORO-2-PROPANOL</t>
  </si>
  <si>
    <t>96-23-1</t>
  </si>
  <si>
    <t>1,3-DICHLORO-2-PROPANOL</t>
  </si>
  <si>
    <t>2750</t>
  </si>
  <si>
    <t>CHM-1642</t>
  </si>
  <si>
    <t>1,1-DİKLORO-1-FLÜOROETAN</t>
  </si>
  <si>
    <t>1717-00-6</t>
  </si>
  <si>
    <t>1712</t>
  </si>
  <si>
    <t>1,1-DICHLORO-1-FLUOROETHANE</t>
  </si>
  <si>
    <t>CHM-1643</t>
  </si>
  <si>
    <t>BROM KLORÜRÜ</t>
  </si>
  <si>
    <t>13863-41-7</t>
  </si>
  <si>
    <t>H281, H290, H314, H332, H335, H373, H400, H410</t>
  </si>
  <si>
    <t>1713</t>
  </si>
  <si>
    <t>BROMINE CHLORIDE</t>
  </si>
  <si>
    <t>2901</t>
  </si>
  <si>
    <t>flam circle; cylinder; corr; cancer; enviro</t>
  </si>
  <si>
    <t>flam circle; Basınçlı Gaz; corr; Kanserojen/Mutajen/Repro; Çevre için Tehlikeli</t>
  </si>
  <si>
    <t>CHM-1644</t>
  </si>
  <si>
    <t>DİİZOPROPİLBENZEN (KARIŞIM)</t>
  </si>
  <si>
    <t>25321-09-9</t>
  </si>
  <si>
    <t>H227, H400, H410</t>
  </si>
  <si>
    <t>DIISOPROPYLBENZENE (mixture)</t>
  </si>
  <si>
    <t>CHM-1645</t>
  </si>
  <si>
    <t>DEMİR(II) KLORİD</t>
  </si>
  <si>
    <t>7758-94-3</t>
  </si>
  <si>
    <t>H302, H318, H335, H402</t>
  </si>
  <si>
    <t>IRON DICHLORIDE</t>
  </si>
  <si>
    <t>CHM-1646</t>
  </si>
  <si>
    <t>LİNALİL ASETAT</t>
  </si>
  <si>
    <t>115-95-7</t>
  </si>
  <si>
    <t>H227, H319, H400</t>
  </si>
  <si>
    <t>LINALYL ACETATE</t>
  </si>
  <si>
    <t>CHM-1647</t>
  </si>
  <si>
    <t>SODYUM DİTİYONİT</t>
  </si>
  <si>
    <t>7775-14-6</t>
  </si>
  <si>
    <t>H252, H302, H319, H402</t>
  </si>
  <si>
    <t>SODIUM DITHIONITE</t>
  </si>
  <si>
    <t>1384</t>
  </si>
  <si>
    <t>CHM-1648</t>
  </si>
  <si>
    <t>TETRAETİLENPENTAMİN</t>
  </si>
  <si>
    <t>112-57-2</t>
  </si>
  <si>
    <t>H302, H311, H314, H317, H335, H400, H411, H412</t>
  </si>
  <si>
    <t>1718</t>
  </si>
  <si>
    <t>TETRAETHYLENEPENTAMINE</t>
  </si>
  <si>
    <t>2320</t>
  </si>
  <si>
    <t>corr; skull; enviro</t>
  </si>
  <si>
    <t>corr; Akut Toksisite; Çevre için Tehlikeli</t>
  </si>
  <si>
    <t>CHM-1649</t>
  </si>
  <si>
    <t>2-METİLBÜT-3-EN-2-OL</t>
  </si>
  <si>
    <t>115-18-4</t>
  </si>
  <si>
    <t>1719</t>
  </si>
  <si>
    <t>2-METHYLBUT-3-EN-2-OL</t>
  </si>
  <si>
    <t>CHM-1650</t>
  </si>
  <si>
    <t>p-FENETİDİN</t>
  </si>
  <si>
    <t>156-43-4</t>
  </si>
  <si>
    <t>H302, H319, H331, H373</t>
  </si>
  <si>
    <t>1720</t>
  </si>
  <si>
    <t>p-PHENETIDINE</t>
  </si>
  <si>
    <t>2311</t>
  </si>
  <si>
    <t>CHM-1651</t>
  </si>
  <si>
    <t>İMİDAZOL</t>
  </si>
  <si>
    <t>288-32-4</t>
  </si>
  <si>
    <t>H302, H314, H361</t>
  </si>
  <si>
    <t>1721</t>
  </si>
  <si>
    <t>IMIDAZOLE</t>
  </si>
  <si>
    <t>3263</t>
  </si>
  <si>
    <t>CHM-1652</t>
  </si>
  <si>
    <t>1,3-PENTADİEN</t>
  </si>
  <si>
    <t>504-60-9</t>
  </si>
  <si>
    <t>H225, H226, H302, H315, H319</t>
  </si>
  <si>
    <t>1722</t>
  </si>
  <si>
    <t>1,3-PENTADIENE</t>
  </si>
  <si>
    <t>CHM-1653</t>
  </si>
  <si>
    <t>2-HİDROKSİETİL AKRİLAT</t>
  </si>
  <si>
    <t>818-61-1</t>
  </si>
  <si>
    <t>H300, H302, H310, H315, H317, H319, H400, H410</t>
  </si>
  <si>
    <t>1723</t>
  </si>
  <si>
    <t>2-HYDROXYETHYL ACRYLATE</t>
  </si>
  <si>
    <t>CHM-1654</t>
  </si>
  <si>
    <t>2-HİDROKSİETİL METAKRİLAT</t>
  </si>
  <si>
    <t>868-77-9</t>
  </si>
  <si>
    <t>H302, H317, H319</t>
  </si>
  <si>
    <t>1724</t>
  </si>
  <si>
    <t>2-HYDROXYETHYL METHACRYLATE</t>
  </si>
  <si>
    <t>CHM-1655</t>
  </si>
  <si>
    <t>SİTRAL</t>
  </si>
  <si>
    <t>5392-40-5</t>
  </si>
  <si>
    <t>H227, H302, H315, H317, H400</t>
  </si>
  <si>
    <t>1725</t>
  </si>
  <si>
    <t>CITRAL</t>
  </si>
  <si>
    <t>CHM-1656</t>
  </si>
  <si>
    <t>2,4-DİKLOROTOLUEN</t>
  </si>
  <si>
    <t>95-73-8</t>
  </si>
  <si>
    <t>H227, H315, H400</t>
  </si>
  <si>
    <t>1727</t>
  </si>
  <si>
    <t>2,4-DICHLOROTOLUENE</t>
  </si>
  <si>
    <t>CHM-1657</t>
  </si>
  <si>
    <t>2,6-DİKLOROTOLUEN</t>
  </si>
  <si>
    <t>118-69-4</t>
  </si>
  <si>
    <t>1728</t>
  </si>
  <si>
    <t>2,6-DICHLOROTOLUENE</t>
  </si>
  <si>
    <t>CHM-1658</t>
  </si>
  <si>
    <t>1,1-DİFLÜOROETAN</t>
  </si>
  <si>
    <t>75-37-6</t>
  </si>
  <si>
    <t>1729</t>
  </si>
  <si>
    <t>1,1-DIFLUOROETHANE</t>
  </si>
  <si>
    <t>CHM-1659</t>
  </si>
  <si>
    <t>TRİETİL FOSFAT</t>
  </si>
  <si>
    <t>78-40-0</t>
  </si>
  <si>
    <t>H302, H336</t>
  </si>
  <si>
    <t>1730</t>
  </si>
  <si>
    <t>TRIETHYLPHOSPHATE</t>
  </si>
  <si>
    <t>3278</t>
  </si>
  <si>
    <t>CHM-1660</t>
  </si>
  <si>
    <t>POTASYUM METİLAT</t>
  </si>
  <si>
    <t>865-33-8</t>
  </si>
  <si>
    <t>1731</t>
  </si>
  <si>
    <t>POTASSIUM METHYLATE</t>
  </si>
  <si>
    <t>3206</t>
  </si>
  <si>
    <t>CHM-1661</t>
  </si>
  <si>
    <t>DİMETİL FUMARAT</t>
  </si>
  <si>
    <t>624-49-7</t>
  </si>
  <si>
    <t>H302, H312, H317, H319</t>
  </si>
  <si>
    <t>DIMETHYL FUMARATE</t>
  </si>
  <si>
    <t>CHM-1662</t>
  </si>
  <si>
    <t>2-BÜTİN-1,4-DİYOL</t>
  </si>
  <si>
    <t>110-65-6</t>
  </si>
  <si>
    <t>H301, H312, H314, H317, H373, H402</t>
  </si>
  <si>
    <t>2-BUTYNE-1,4-DIOL</t>
  </si>
  <si>
    <t>2716</t>
  </si>
  <si>
    <t>CHM-1663</t>
  </si>
  <si>
    <t>KALSİYUM SÜLFAT DİHİDRAT</t>
  </si>
  <si>
    <t>10101-41-4</t>
  </si>
  <si>
    <t>1734</t>
  </si>
  <si>
    <t>CALCIUM SULFATE DIHYDRATE</t>
  </si>
  <si>
    <t>CHM-1664</t>
  </si>
  <si>
    <t>DEKEN (İZOMER KARIŞIMI)</t>
  </si>
  <si>
    <t>25339-53-1</t>
  </si>
  <si>
    <t>H226, H302, H315, H400, H410</t>
  </si>
  <si>
    <t>1735</t>
  </si>
  <si>
    <t>DECENE (ISOMER MIXTURE)</t>
  </si>
  <si>
    <t>flam; cancer; enviro</t>
  </si>
  <si>
    <t>Yanıcı; Kanserojen/Mutajen/Repro; Çevre için Tehlikeli</t>
  </si>
  <si>
    <t>CHM-1665</t>
  </si>
  <si>
    <t>KALSİYUM GLUKONAT</t>
  </si>
  <si>
    <t>299-28-5</t>
  </si>
  <si>
    <t>CALCIUM GLUCONATE</t>
  </si>
  <si>
    <t>CHM-1666</t>
  </si>
  <si>
    <t>SODYUM GLUKONAT</t>
  </si>
  <si>
    <t>527-07-1</t>
  </si>
  <si>
    <t>SODIUM GLUCONATE</t>
  </si>
  <si>
    <t>CHM-1667</t>
  </si>
  <si>
    <t>GLUKONİK ASİT</t>
  </si>
  <si>
    <t>526-95-4</t>
  </si>
  <si>
    <t>GLUCONIC ACID</t>
  </si>
  <si>
    <t>CHM-1668</t>
  </si>
  <si>
    <t>DİETİLMALONAT</t>
  </si>
  <si>
    <t>105-53-3</t>
  </si>
  <si>
    <t>H227, H319, H402</t>
  </si>
  <si>
    <t>DIETHYLMALONATE</t>
  </si>
  <si>
    <t>CHM-1669</t>
  </si>
  <si>
    <t>VANİLİN</t>
  </si>
  <si>
    <t>121-33-5</t>
  </si>
  <si>
    <t>1740</t>
  </si>
  <si>
    <t>VANILIN</t>
  </si>
  <si>
    <t>CHM-1670</t>
  </si>
  <si>
    <t>EPSILON-KAPROLAKTON</t>
  </si>
  <si>
    <t>502-44-3</t>
  </si>
  <si>
    <t>epsilon-CAPROLACTONE</t>
  </si>
  <si>
    <t>CHM-1671</t>
  </si>
  <si>
    <t>HİDROKSİPROPİL AKRİLAT, İZOMERLER</t>
  </si>
  <si>
    <t>25584-83-2</t>
  </si>
  <si>
    <t>H302, H311, H315, H317, H319, H335, H400</t>
  </si>
  <si>
    <t>1742</t>
  </si>
  <si>
    <t>HYDROXYPROPYL ACRYLATE, ISOMERS</t>
  </si>
  <si>
    <t>CHM-1672</t>
  </si>
  <si>
    <t>İZOOKTİL AKRİLAT</t>
  </si>
  <si>
    <t>29590-42-9</t>
  </si>
  <si>
    <t>H227, H300, H315, H317, H319, H400, H410</t>
  </si>
  <si>
    <t>1743</t>
  </si>
  <si>
    <t>ISOOCTYL ACRYLATE</t>
  </si>
  <si>
    <t>CHM-1673</t>
  </si>
  <si>
    <t>SODYUM PERKARBONAT</t>
  </si>
  <si>
    <t>15630-89-4</t>
  </si>
  <si>
    <t>SODIUM PERCARBONATE</t>
  </si>
  <si>
    <t>3378</t>
  </si>
  <si>
    <t>flam circle; excl mark</t>
  </si>
  <si>
    <t>flam circle; Sağlık Tehlikesi (hafif)</t>
  </si>
  <si>
    <t>CHM-1674</t>
  </si>
  <si>
    <t>1,3-DİMETİLÜRE</t>
  </si>
  <si>
    <t>96-31-1</t>
  </si>
  <si>
    <t>1,3-DIMETHYLUREA</t>
  </si>
  <si>
    <t>CHM-1675</t>
  </si>
  <si>
    <t>2-METİLBÜT-3-İN-2-OL</t>
  </si>
  <si>
    <t>115-19-5</t>
  </si>
  <si>
    <t>1746</t>
  </si>
  <si>
    <t>2-METHYLBUT-3-YN-2-OL</t>
  </si>
  <si>
    <t>1987</t>
  </si>
  <si>
    <t>CHM-1676</t>
  </si>
  <si>
    <t>HİDROKSİLAMİN (%50 SULU ÇÖZELTI)</t>
  </si>
  <si>
    <t>1747</t>
  </si>
  <si>
    <t>HYDROXYLAMINE (50% aqueous solution)</t>
  </si>
  <si>
    <t>corr; excl mark; cancer; enviro</t>
  </si>
  <si>
    <t>corr; Sağlık Tehlikesi (hafif); Kanserojen/Mutajen/Repro; Çevre için Tehlikeli</t>
  </si>
  <si>
    <t>CHM-1677</t>
  </si>
  <si>
    <t>3-METİLBÜTANAL</t>
  </si>
  <si>
    <t>590-86-3</t>
  </si>
  <si>
    <t>H225, H226, H302, H315, H319, H400</t>
  </si>
  <si>
    <t>3-METHYLBUTANAL</t>
  </si>
  <si>
    <t>CHM-1678</t>
  </si>
  <si>
    <t>TETRAETİLEN GLİKOL METİL ETER</t>
  </si>
  <si>
    <t>23783-42-8</t>
  </si>
  <si>
    <t>TETRAETHYLENE GLYCOL METHYL ETHER</t>
  </si>
  <si>
    <t>CHM-1679</t>
  </si>
  <si>
    <t>TETRAETİLEN GLİKOL BÜTİL ETER</t>
  </si>
  <si>
    <t>1559-34-8</t>
  </si>
  <si>
    <t>1750</t>
  </si>
  <si>
    <t>TETRAETHYLENE GLYCOL BUTYL ETHER</t>
  </si>
  <si>
    <t>CHM-1680</t>
  </si>
  <si>
    <t>TRİPROPİLEN GLİKOL METİL ETER</t>
  </si>
  <si>
    <t>25498-49-1</t>
  </si>
  <si>
    <t>TRIPROPYLENE GLYCOL METHYL ETHER</t>
  </si>
  <si>
    <t>CHM-1681</t>
  </si>
  <si>
    <t>DİPROPİLEN GLİKOL METİL ETER ASETAT</t>
  </si>
  <si>
    <t>88917-22-0</t>
  </si>
  <si>
    <t>H227, H300</t>
  </si>
  <si>
    <t>DIPROPYLENE GLYCOL METHYL ETHER ACETATE</t>
  </si>
  <si>
    <t>CHM-1682</t>
  </si>
  <si>
    <t>ETİYOFENKARB</t>
  </si>
  <si>
    <t>29973-13-5</t>
  </si>
  <si>
    <t>H301, H312, H400, H410</t>
  </si>
  <si>
    <t>Decomposes on distillation</t>
  </si>
  <si>
    <t>Ethiofencarb</t>
  </si>
  <si>
    <t>CHM-1683</t>
  </si>
  <si>
    <t>MEKARBAM</t>
  </si>
  <si>
    <t>2595-54-2</t>
  </si>
  <si>
    <t>H300, H311, H400, H410</t>
  </si>
  <si>
    <t>1755</t>
  </si>
  <si>
    <t>MECARBAM</t>
  </si>
  <si>
    <t>CHM-1684</t>
  </si>
  <si>
    <t>KLOROFASİNON</t>
  </si>
  <si>
    <t>3691-35-8</t>
  </si>
  <si>
    <t>1756</t>
  </si>
  <si>
    <t>CHLOROPHACINONE</t>
  </si>
  <si>
    <t>CHM-1685</t>
  </si>
  <si>
    <t>DİFASİNON</t>
  </si>
  <si>
    <t>82-66-6</t>
  </si>
  <si>
    <t>H300, H373, H400</t>
  </si>
  <si>
    <t>1757</t>
  </si>
  <si>
    <t>DIPHACINONE</t>
  </si>
  <si>
    <t>CHM-1686</t>
  </si>
  <si>
    <t>BLASTİSİDİN-S</t>
  </si>
  <si>
    <t>2079-00-7</t>
  </si>
  <si>
    <t>H300, H312, H315, H319, H335</t>
  </si>
  <si>
    <t>BLASTICIDIN-S</t>
  </si>
  <si>
    <t>CHM-1687</t>
  </si>
  <si>
    <t>HİDROKSİ-2-NAFTOİK ASİT</t>
  </si>
  <si>
    <t>92-70-6</t>
  </si>
  <si>
    <t>HYDROXY-2-NAPHTHOIC ACID</t>
  </si>
  <si>
    <t>CHM-1688</t>
  </si>
  <si>
    <t>3-METİLBÜT-2-EN-1-OL</t>
  </si>
  <si>
    <t>556-82-1</t>
  </si>
  <si>
    <t>H226, H302, H315, H319, H402</t>
  </si>
  <si>
    <t>1760</t>
  </si>
  <si>
    <t>3-METHYLBUT-2-EN-1-OL</t>
  </si>
  <si>
    <t>CHM-1689</t>
  </si>
  <si>
    <t>1,3-DİKLORO-2-BÜTEN</t>
  </si>
  <si>
    <t>926-57-8</t>
  </si>
  <si>
    <t>H226, H301, H314, H400</t>
  </si>
  <si>
    <t>1761</t>
  </si>
  <si>
    <t>1,3-DICHLORO-2-BUTENE</t>
  </si>
  <si>
    <t>CHM-1690</t>
  </si>
  <si>
    <t>p-TOLUENSÜLFONİL KLORİD</t>
  </si>
  <si>
    <t>98-59-9</t>
  </si>
  <si>
    <t>146 °C @ 15 MM HG</t>
  </si>
  <si>
    <t>1762</t>
  </si>
  <si>
    <t>p-TOLUENESULFONYL CHLORIDE</t>
  </si>
  <si>
    <t>CHM-1691</t>
  </si>
  <si>
    <t>1-KLORO-2-(KLOROMETİL)BENZEN</t>
  </si>
  <si>
    <t>611-19-8</t>
  </si>
  <si>
    <t>H300, H302, H319, H400, H410</t>
  </si>
  <si>
    <t>1763</t>
  </si>
  <si>
    <t>1-CHLORO-2-(CHLOROMETHYL)BENZENE</t>
  </si>
  <si>
    <t>2235</t>
  </si>
  <si>
    <t>CHM-1692</t>
  </si>
  <si>
    <t>SİFLUTRİN</t>
  </si>
  <si>
    <t>68359-37-5</t>
  </si>
  <si>
    <t>Cyfluthrin</t>
  </si>
  <si>
    <t>CHM-1693</t>
  </si>
  <si>
    <t>1-DODEKAN OL</t>
  </si>
  <si>
    <t>112-53-8</t>
  </si>
  <si>
    <t>1-Dodecanol</t>
  </si>
  <si>
    <t>CHM-1694</t>
  </si>
  <si>
    <t>METİOKARB</t>
  </si>
  <si>
    <t>2032-65-7</t>
  </si>
  <si>
    <t>Very high. (USCG, 1999)</t>
  </si>
  <si>
    <t>1766</t>
  </si>
  <si>
    <t>METHIOCARB</t>
  </si>
  <si>
    <t>CHM-1695</t>
  </si>
  <si>
    <t>TEBÜPİRİMFOS</t>
  </si>
  <si>
    <t>96182-53-5</t>
  </si>
  <si>
    <t>H300, H373, H400, H410</t>
  </si>
  <si>
    <t>1767</t>
  </si>
  <si>
    <t>TEBUPIRIMFOS</t>
  </si>
  <si>
    <t>CHM-1696</t>
  </si>
  <si>
    <t>TERBÜFOS</t>
  </si>
  <si>
    <t>13071-79-9</t>
  </si>
  <si>
    <t>1768</t>
  </si>
  <si>
    <t>Terbufos</t>
  </si>
  <si>
    <t>CHM-1697</t>
  </si>
  <si>
    <t>CAM ELYAFLARI</t>
  </si>
  <si>
    <t>1769</t>
  </si>
  <si>
    <t>GLASS FIBRES</t>
  </si>
  <si>
    <t>CHM-1698</t>
  </si>
  <si>
    <t>POTASYUM KROMAT</t>
  </si>
  <si>
    <t>7789-00-6</t>
  </si>
  <si>
    <t>1770</t>
  </si>
  <si>
    <t>POTASSIUM CHROMATE</t>
  </si>
  <si>
    <t>CHM-1699</t>
  </si>
  <si>
    <t>KALSİYUM KROMAT</t>
  </si>
  <si>
    <t>13765-19-0</t>
  </si>
  <si>
    <t>1771</t>
  </si>
  <si>
    <t>CALCIUM CHROMATE</t>
  </si>
  <si>
    <t>CHM-1700</t>
  </si>
  <si>
    <t>5-ETİL-2-METİLPİRİDİN</t>
  </si>
  <si>
    <t>104-90-5</t>
  </si>
  <si>
    <t>H227, H302, H314, H335, H402</t>
  </si>
  <si>
    <t>1772</t>
  </si>
  <si>
    <t>5-ETHYL-2-METHYLPYRIDINE</t>
  </si>
  <si>
    <t>2300</t>
  </si>
  <si>
    <t>CHM-1701</t>
  </si>
  <si>
    <t>2,2-DİMETİLPROPAN</t>
  </si>
  <si>
    <t>463-82-1</t>
  </si>
  <si>
    <t>2,2-DIMETHYLPROPANE</t>
  </si>
  <si>
    <t>2044</t>
  </si>
  <si>
    <t>CHM-1702</t>
  </si>
  <si>
    <t>Bunker yakıtı</t>
  </si>
  <si>
    <t>68553-00-4</t>
  </si>
  <si>
    <t>H351, H373, H400, H411, H412</t>
  </si>
  <si>
    <t>1774</t>
  </si>
  <si>
    <t>Bunker fuel</t>
  </si>
  <si>
    <t>CHM-1703</t>
  </si>
  <si>
    <t>POTASYUM ÇİNKO KROMAT HİDROKSİT</t>
  </si>
  <si>
    <t>11103-86-9</t>
  </si>
  <si>
    <t>H302, H317, H351, H373</t>
  </si>
  <si>
    <t>POTASSIUM ZINC CHROMATE HYDROXIDE</t>
  </si>
  <si>
    <t>CHM-1704</t>
  </si>
  <si>
    <t>2,3,3,3-TETRAFLÜOROPROPEN</t>
  </si>
  <si>
    <t>754-12-1</t>
  </si>
  <si>
    <t>1776</t>
  </si>
  <si>
    <t>2,3,3,3-TETRAFLUOROPROPENE</t>
  </si>
  <si>
    <t>3161</t>
  </si>
  <si>
    <t>CHM-1705</t>
  </si>
  <si>
    <t>HİDROFLOROİK ASİT (%70 SULU ÇÖZELTI)</t>
  </si>
  <si>
    <t>H300, H312, H314, H335, H373, H402</t>
  </si>
  <si>
    <t>HYDROFLUORIC ACID (70% AQUEOUS SOLUTION)</t>
  </si>
  <si>
    <t>1790</t>
  </si>
  <si>
    <t>CHM-1706</t>
  </si>
  <si>
    <t>FOSFORİK ASİT (% 85 SULU ÇÖZELTİ)</t>
  </si>
  <si>
    <t>PHOSPHORIC ACID (85% AQUEOUS SOLUTION)</t>
  </si>
  <si>
    <t>1805</t>
  </si>
  <si>
    <t>CHM-1707</t>
  </si>
  <si>
    <t>TETRAFLÜOROETİLEN</t>
  </si>
  <si>
    <t>116-14-3</t>
  </si>
  <si>
    <t>TETRAFLUOROETHYLENE</t>
  </si>
  <si>
    <t>CHM-1708</t>
  </si>
  <si>
    <t>ÇİNKO OKSİT (NANOFORM)</t>
  </si>
  <si>
    <t>1780</t>
  </si>
  <si>
    <t>ZINC OXIDE (NANOFORM)</t>
  </si>
  <si>
    <t>CHM-1709</t>
  </si>
  <si>
    <t>TİTANYUM DİOKSİT (NANOFORM) P25</t>
  </si>
  <si>
    <t>1782</t>
  </si>
  <si>
    <t>TITANIUM DIOXIDE (NANOFORM) P25</t>
  </si>
  <si>
    <t>CHM-1710</t>
  </si>
  <si>
    <t>TOLUEN DİİZOSİYANAT (2,4- VE 2,6- IZOMERLERININ %80/20 KARIŞIMI)</t>
  </si>
  <si>
    <t>H300, H317, H319, H330, H334, H335, H351, H402, H412</t>
  </si>
  <si>
    <t>1783</t>
  </si>
  <si>
    <t>TOLUENE DIISOCYANATE (80/20 mixture of 2,4- and 2,6- isomers)</t>
  </si>
  <si>
    <t>CHM-1711</t>
  </si>
  <si>
    <t>ORTO-FTALALDEHİT</t>
  </si>
  <si>
    <t>643-79-8</t>
  </si>
  <si>
    <t>H301, H314, H317, H334, H335, H400, H410, H411, H412</t>
  </si>
  <si>
    <t>BP: 83 °C at 0.8 mm Hg</t>
  </si>
  <si>
    <t>1784</t>
  </si>
  <si>
    <t>ORTHO-PHTHALALDEHYDE</t>
  </si>
  <si>
    <t>CHM-1712</t>
  </si>
  <si>
    <t>SODYUM DİKLOROİZOSİYANÜRAT DİHİDRAT</t>
  </si>
  <si>
    <t>51580-86-0</t>
  </si>
  <si>
    <t>1785</t>
  </si>
  <si>
    <t>SODIUM DICHLOROISOCYANURATE DIHYDRATE</t>
  </si>
  <si>
    <t>Seçili Kayıt No:</t>
  </si>
  <si>
    <t>Değerlendiren</t>
  </si>
  <si>
    <t>PDF almak için: Bu sayfada Kayıt No seç → Dosya &gt; Farklı Kaydet/Dışa Aktar &gt; PDF (yalnızca bu sayfa).</t>
  </si>
  <si>
    <t>PDF ÇIKTI: Kayıt No seç → Dosya &gt; Dışa Aktar/Kaydet &gt; PDF (yalnızca bu sayfa).</t>
  </si>
  <si>
    <t>Oluşturan: İsmail Kaya (İşyeri Hekimi, İSG Bilim Uzmanı, İş Güvenliği Uzmanı (B), MD, MSc)</t>
  </si>
  <si>
    <t>Tarih: 2026</t>
  </si>
  <si>
    <t>Versiyon: v1.0</t>
  </si>
  <si>
    <t>Bu dosya İsmail Kaya tarafından oluşturulmuştur.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</si>
</sst>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0.0"/>
    <numFmt numFmtId="166" formatCode="yyyy\-mm\-dd"/>
  </numFmts>
  <fonts count="27" x14ac:knownFonts="1">
    <font>
      <sz val="11"/>
      <color theme="1"/>
      <name val="Calibri"/>
      <family val="2"/>
      <charset val="1"/>
    </font>
    <font>
      <b/>
      <sz val="14"/>
      <color rgb="FFFFFFFF"/>
      <name val="Calibri"/>
      <family val="2"/>
      <charset val="162"/>
    </font>
    <font>
      <b/>
      <sz val="9"/>
      <color rgb="FFFFFFFF"/>
      <name val="Calibri"/>
      <family val="2"/>
      <charset val="162"/>
    </font>
    <font>
      <b/>
      <sz val="10"/>
      <color rgb="FF1F4E79"/>
      <name val="Calibri"/>
      <family val="2"/>
      <charset val="162"/>
    </font>
    <font>
      <b/>
      <sz val="11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9"/>
      <color rgb="FF333333"/>
      <name val="Calibri"/>
      <family val="2"/>
      <charset val="162"/>
    </font>
    <font>
      <b/>
      <sz val="10"/>
      <color rgb="FF006100"/>
      <name val="Calibri"/>
      <family val="2"/>
      <charset val="162"/>
    </font>
    <font>
      <b/>
      <sz val="12"/>
      <color rgb="FFC00000"/>
      <name val="Calibri"/>
      <family val="2"/>
      <charset val="162"/>
    </font>
    <font>
      <sz val="9"/>
      <name val="Calibri"/>
      <family val="2"/>
      <charset val="162"/>
    </font>
    <font>
      <b/>
      <sz val="10"/>
      <color rgb="FFFFFFFF"/>
      <name val="Calibri"/>
      <family val="2"/>
      <charset val="162"/>
    </font>
    <font>
      <b/>
      <sz val="9"/>
      <color rgb="FF1F4E79"/>
      <name val="Calibri"/>
      <family val="2"/>
      <charset val="162"/>
    </font>
    <font>
      <sz val="8"/>
      <color rgb="FFC00000"/>
      <name val="Calibri"/>
      <family val="2"/>
      <charset val="162"/>
    </font>
    <font>
      <b/>
      <sz val="9"/>
      <color rgb="FF1F6B1F"/>
      <name val="Calibri"/>
      <family val="2"/>
      <charset val="162"/>
    </font>
    <font>
      <sz val="9"/>
      <color rgb="FF1F4E79"/>
      <name val="Calibri"/>
      <family val="2"/>
      <charset val="162"/>
    </font>
    <font>
      <b/>
      <sz val="9"/>
      <color rgb="FFC00000"/>
      <name val="Calibri"/>
      <family val="2"/>
      <charset val="162"/>
    </font>
    <font>
      <sz val="8"/>
      <name val="Calibri"/>
      <family val="2"/>
      <charset val="162"/>
    </font>
    <font>
      <u/>
      <sz val="9"/>
      <color rgb="FF0563C1"/>
      <name val="Calibri"/>
      <family val="2"/>
      <charset val="162"/>
    </font>
    <font>
      <i/>
      <sz val="8"/>
      <color rgb="FF808080"/>
      <name val="Calibri"/>
      <family val="2"/>
      <charset val="162"/>
    </font>
    <font>
      <sz val="8"/>
      <color rgb="FF808080"/>
      <name val="Calibri"/>
      <family val="2"/>
      <charset val="162"/>
    </font>
    <font>
      <b/>
      <sz val="9"/>
      <color rgb="FF404040"/>
      <name val="Calibri"/>
      <family val="2"/>
      <charset val="162"/>
    </font>
    <font>
      <b/>
      <sz val="9"/>
      <color rgb="FFE36C09"/>
      <name val="Calibri"/>
      <family val="2"/>
      <charset val="162"/>
    </font>
    <font>
      <b/>
      <sz val="9"/>
      <color rgb="FFB8860B"/>
      <name val="Calibri"/>
      <family val="2"/>
      <charset val="162"/>
    </font>
    <font>
      <sz val="11"/>
      <color rgb="FF000000"/>
      <name val="Calibri"/>
      <family val="2"/>
      <charset val="162"/>
    </font>
    <font>
      <sz val="11"/>
      <color theme="0"/>
      <name val="Calibri"/>
      <family val="2"/>
      <charset val="1"/>
    </font>
    <font>
      <sz val="1"/>
      <color theme="0"/>
      <name val="Calibri"/>
      <family val="2"/>
      <charset val="162"/>
    </font>
    <font>
      <b/>
      <sz val="11"/>
      <color theme="1"/>
      <name val="Calibri"/>
      <family val="2"/>
      <charset val="16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3864"/>
      </patternFill>
    </fill>
    <fill>
      <patternFill patternType="solid">
        <fgColor rgb="FF5B9BD5"/>
        <bgColor rgb="FF4472C4"/>
      </patternFill>
    </fill>
    <fill>
      <patternFill patternType="solid">
        <fgColor rgb="FFED7D31"/>
        <bgColor rgb="FFE36C09"/>
      </patternFill>
    </fill>
    <fill>
      <patternFill patternType="solid">
        <fgColor rgb="FFD6E4F0"/>
        <bgColor rgb="FFE8F5E9"/>
      </patternFill>
    </fill>
    <fill>
      <patternFill patternType="solid">
        <fgColor rgb="FFFFFDE7"/>
        <bgColor rgb="FFFFFFFF"/>
      </patternFill>
    </fill>
    <fill>
      <patternFill patternType="solid">
        <fgColor rgb="FFFFF2CC"/>
        <bgColor rgb="FFFFFACD"/>
      </patternFill>
    </fill>
    <fill>
      <patternFill patternType="solid">
        <fgColor rgb="FFF2F2F2"/>
        <bgColor rgb="FFF5F5F5"/>
      </patternFill>
    </fill>
    <fill>
      <patternFill patternType="solid">
        <fgColor rgb="FFC6EFCE"/>
        <bgColor rgb="FFD6E4F0"/>
      </patternFill>
    </fill>
    <fill>
      <patternFill patternType="solid">
        <fgColor rgb="FF4472C4"/>
        <bgColor rgb="FF666699"/>
      </patternFill>
    </fill>
    <fill>
      <patternFill patternType="solid">
        <fgColor rgb="FF1F3864"/>
        <bgColor rgb="FF1F4E79"/>
      </patternFill>
    </fill>
    <fill>
      <patternFill patternType="solid">
        <fgColor rgb="FFEBF3FB"/>
        <bgColor rgb="FFF2F2F2"/>
      </patternFill>
    </fill>
    <fill>
      <patternFill patternType="solid">
        <fgColor rgb="FFE8F5E9"/>
        <bgColor rgb="FFEBF3FB"/>
      </patternFill>
    </fill>
    <fill>
      <patternFill patternType="solid">
        <fgColor rgb="FFFFE2E2"/>
        <bgColor rgb="FFFFF2CC"/>
      </patternFill>
    </fill>
    <fill>
      <patternFill patternType="solid">
        <fgColor rgb="FFF5F5F5"/>
        <bgColor rgb="FFF2F2F2"/>
      </patternFill>
    </fill>
    <fill>
      <patternFill patternType="solid">
        <fgColor rgb="FFFFD0B0"/>
        <bgColor rgb="FFFFE2E2"/>
      </patternFill>
    </fill>
    <fill>
      <patternFill patternType="solid">
        <fgColor rgb="FFFFFACD"/>
        <bgColor rgb="FFFFF2CC"/>
      </patternFill>
    </fill>
    <fill>
      <patternFill patternType="solid">
        <fgColor rgb="FFFFFFFF"/>
        <bgColor rgb="FFFFFDE7"/>
      </patternFill>
    </fill>
  </fills>
  <borders count="5">
    <border>
      <left/>
      <right/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/>
      <right/>
      <top style="thin">
        <color rgb="FFB4C6E7"/>
      </top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6" fillId="8" borderId="0" xfId="0" applyFont="1" applyFill="1"/>
    <xf numFmtId="0" fontId="5" fillId="0" borderId="0" xfId="0" applyFont="1"/>
    <xf numFmtId="0" fontId="10" fillId="10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vertical="center" wrapText="1"/>
    </xf>
    <xf numFmtId="164" fontId="5" fillId="8" borderId="1" xfId="0" applyNumberFormat="1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164" fontId="5" fillId="0" borderId="1" xfId="0" applyNumberFormat="1" applyFont="1" applyBorder="1" applyAlignment="1">
      <alignment vertical="center" wrapText="1"/>
    </xf>
    <xf numFmtId="0" fontId="2" fillId="11" borderId="4" xfId="0" applyFont="1" applyFill="1" applyBorder="1" applyAlignment="1">
      <alignment horizontal="center" vertical="center" wrapText="1"/>
    </xf>
    <xf numFmtId="0" fontId="11" fillId="12" borderId="4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left" vertical="center" indent="1"/>
    </xf>
    <xf numFmtId="0" fontId="9" fillId="12" borderId="4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left" vertical="center" indent="1"/>
    </xf>
    <xf numFmtId="165" fontId="9" fillId="12" borderId="4" xfId="0" applyNumberFormat="1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left" vertical="center" indent="1"/>
    </xf>
    <xf numFmtId="0" fontId="17" fillId="12" borderId="4" xfId="0" applyFont="1" applyFill="1" applyBorder="1" applyAlignment="1">
      <alignment horizontal="center" vertical="center"/>
    </xf>
    <xf numFmtId="0" fontId="18" fillId="12" borderId="4" xfId="0" applyFont="1" applyFill="1" applyBorder="1" applyAlignment="1">
      <alignment horizontal="left" vertical="center" indent="1"/>
    </xf>
    <xf numFmtId="0" fontId="15" fillId="14" borderId="4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left" vertical="center" indent="1"/>
    </xf>
    <xf numFmtId="0" fontId="20" fillId="12" borderId="4" xfId="0" applyFont="1" applyFill="1" applyBorder="1" applyAlignment="1">
      <alignment horizontal="center" vertical="center"/>
    </xf>
    <xf numFmtId="0" fontId="21" fillId="12" borderId="4" xfId="0" applyFont="1" applyFill="1" applyBorder="1" applyAlignment="1">
      <alignment horizontal="center" vertical="center"/>
    </xf>
    <xf numFmtId="0" fontId="20" fillId="15" borderId="4" xfId="0" applyFont="1" applyFill="1" applyBorder="1" applyAlignment="1">
      <alignment horizontal="center" vertical="center"/>
    </xf>
    <xf numFmtId="0" fontId="21" fillId="16" borderId="4" xfId="0" applyFont="1" applyFill="1" applyBorder="1" applyAlignment="1">
      <alignment horizontal="center" vertical="center"/>
    </xf>
    <xf numFmtId="0" fontId="22" fillId="17" borderId="4" xfId="0" applyFont="1" applyFill="1" applyBorder="1" applyAlignment="1">
      <alignment horizontal="center" vertical="center"/>
    </xf>
    <xf numFmtId="0" fontId="11" fillId="18" borderId="4" xfId="0" applyFont="1" applyFill="1" applyBorder="1" applyAlignment="1">
      <alignment horizontal="center" vertical="center"/>
    </xf>
    <xf numFmtId="0" fontId="9" fillId="18" borderId="4" xfId="0" applyFont="1" applyFill="1" applyBorder="1" applyAlignment="1">
      <alignment horizontal="left" vertical="center" indent="1"/>
    </xf>
    <xf numFmtId="0" fontId="9" fillId="18" borderId="4" xfId="0" applyFont="1" applyFill="1" applyBorder="1" applyAlignment="1">
      <alignment horizontal="center" vertical="center"/>
    </xf>
    <xf numFmtId="0" fontId="12" fillId="18" borderId="4" xfId="0" applyFont="1" applyFill="1" applyBorder="1" applyAlignment="1">
      <alignment horizontal="left" vertical="center" indent="1"/>
    </xf>
    <xf numFmtId="165" fontId="9" fillId="18" borderId="4" xfId="0" applyNumberFormat="1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5" fillId="18" borderId="4" xfId="0" applyFont="1" applyFill="1" applyBorder="1" applyAlignment="1">
      <alignment horizontal="center" vertical="center"/>
    </xf>
    <xf numFmtId="0" fontId="16" fillId="18" borderId="4" xfId="0" applyFont="1" applyFill="1" applyBorder="1" applyAlignment="1">
      <alignment horizontal="left" vertical="center" indent="1"/>
    </xf>
    <xf numFmtId="0" fontId="17" fillId="18" borderId="4" xfId="0" applyFont="1" applyFill="1" applyBorder="1" applyAlignment="1">
      <alignment horizontal="center" vertical="center"/>
    </xf>
    <xf numFmtId="0" fontId="18" fillId="18" borderId="4" xfId="0" applyFont="1" applyFill="1" applyBorder="1" applyAlignment="1">
      <alignment horizontal="left" vertical="center" indent="1"/>
    </xf>
    <xf numFmtId="0" fontId="19" fillId="18" borderId="4" xfId="0" applyFont="1" applyFill="1" applyBorder="1" applyAlignment="1">
      <alignment horizontal="left" vertical="center" indent="1"/>
    </xf>
    <xf numFmtId="0" fontId="20" fillId="18" borderId="4" xfId="0" applyFont="1" applyFill="1" applyBorder="1" applyAlignment="1">
      <alignment horizontal="center" vertical="center"/>
    </xf>
    <xf numFmtId="0" fontId="21" fillId="18" borderId="4" xfId="0" applyFont="1" applyFill="1" applyBorder="1" applyAlignment="1">
      <alignment horizontal="center" vertical="center"/>
    </xf>
    <xf numFmtId="166" fontId="0" fillId="0" borderId="0" xfId="0" applyNumberForma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3" fillId="9" borderId="1" xfId="0" applyFont="1" applyFill="1" applyBorder="1" applyAlignment="1">
      <alignment vertical="center"/>
    </xf>
    <xf numFmtId="0" fontId="0" fillId="0" borderId="2" xfId="0" applyBorder="1"/>
    <xf numFmtId="0" fontId="0" fillId="0" borderId="3" xfId="0" applyBorder="1"/>
    <xf numFmtId="0" fontId="5" fillId="0" borderId="1" xfId="0" applyFont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3" fillId="5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DE7"/>
      <rgbColor rgb="FFFF00FF"/>
      <rgbColor rgb="FF00FFFF"/>
      <rgbColor rgb="FF800000"/>
      <rgbColor rgb="FF006100"/>
      <rgbColor rgb="FF000080"/>
      <rgbColor rgb="FFB8860B"/>
      <rgbColor rgb="FF800080"/>
      <rgbColor rgb="FF1F6B1F"/>
      <rgbColor rgb="FFB4C6E7"/>
      <rgbColor rgb="FF808080"/>
      <rgbColor rgb="FF5B9BD5"/>
      <rgbColor rgb="FF993366"/>
      <rgbColor rgb="FFFFFACD"/>
      <rgbColor rgb="FFE8F5E9"/>
      <rgbColor rgb="FF660066"/>
      <rgbColor rgb="FFED7D31"/>
      <rgbColor rgb="FF0563C1"/>
      <rgbColor rgb="FFB8CCE4"/>
      <rgbColor rgb="FF000080"/>
      <rgbColor rgb="FFFF00FF"/>
      <rgbColor rgb="FFF5F5F5"/>
      <rgbColor rgb="FF00FFFF"/>
      <rgbColor rgb="FF800080"/>
      <rgbColor rgb="FF800000"/>
      <rgbColor rgb="FF008080"/>
      <rgbColor rgb="FF0000FF"/>
      <rgbColor rgb="FF00CCFF"/>
      <rgbColor rgb="FFEBF3FB"/>
      <rgbColor rgb="FFC6EFCE"/>
      <rgbColor rgb="FFFFF2CC"/>
      <rgbColor rgb="FFD6E4F0"/>
      <rgbColor rgb="FFFFE2E2"/>
      <rgbColor rgb="FFF2F2F2"/>
      <rgbColor rgb="FFFFD0B0"/>
      <rgbColor rgb="FF4472C4"/>
      <rgbColor rgb="FF33CCCC"/>
      <rgbColor rgb="FF99CC00"/>
      <rgbColor rgb="FFFFCC00"/>
      <rgbColor rgb="FFFF9900"/>
      <rgbColor rgb="FFE36C09"/>
      <rgbColor rgb="FF666699"/>
      <rgbColor rgb="FF969696"/>
      <rgbColor rgb="FF1F3864"/>
      <rgbColor rgb="FF339966"/>
      <rgbColor rgb="FF003300"/>
      <rgbColor rgb="FF40404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2</xdr:row>
          <xdr:rowOff>47625</xdr:rowOff>
        </xdr:from>
        <xdr:to>
          <xdr:col>18</xdr:col>
          <xdr:colOff>285750</xdr:colOff>
          <xdr:row>5</xdr:row>
          <xdr:rowOff>104775</xdr:rowOff>
        </xdr:to>
        <xdr:sp macro="" textlink="">
          <xdr:nvSpPr>
            <xdr:cNvPr id="1001" name="Button 1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B_Kimyasallar" displayName="DB_Kimyasallar" ref="A1:U1713" totalsRowShown="0">
  <autoFilter ref="A1:U1713" xr:uid="{00000000-0009-0000-0100-000001000000}"/>
  <sortState xmlns:xlrd2="http://schemas.microsoft.com/office/spreadsheetml/2017/richdata2" ref="A2:U1713">
    <sortCondition ref="A1:A1713"/>
  </sortState>
  <tableColumns count="21">
    <tableColumn id="1" xr3:uid="{00000000-0010-0000-0000-000001000000}" name="Kimyasal ID"/>
    <tableColumn id="2" xr3:uid="{00000000-0010-0000-0000-000002000000}" name="Kimyasal Adı"/>
    <tableColumn id="3" xr3:uid="{00000000-0010-0000-0000-000003000000}" name="CAS No"/>
    <tableColumn id="4" xr3:uid="{00000000-0010-0000-0000-000004000000}" name="H Kodları"/>
    <tableColumn id="5" xr3:uid="{00000000-0010-0000-0000-000005000000}" name="Fiziksel Hal"/>
    <tableColumn id="6" xr3:uid="{00000000-0010-0000-0000-000006000000}" name="Kaynama Noktası (°C)"/>
    <tableColumn id="7" xr3:uid="{00000000-0010-0000-0000-000007000000}" name="Tehlike Grubu (A-E)"/>
    <tableColumn id="8" xr3:uid="{00000000-0010-0000-0000-000008000000}" name="Uçuculuk / Tozluluk"/>
    <tableColumn id="9" xr3:uid="{00000000-0010-0000-0000-000009000000}" name="ICSC No"/>
    <tableColumn id="10" xr3:uid="{00000000-0010-0000-0000-00000A000000}" name="İngilizce Kimyasal Adı"/>
    <tableColumn id="11" xr3:uid="{00000000-0010-0000-0000-00000B000000}" name="UN Numarası"/>
    <tableColumn id="12" xr3:uid="{00000000-0010-0000-0000-00000C000000}" name="UN Tehlike Sınıfı (Kod)"/>
    <tableColumn id="13" xr3:uid="{00000000-0010-0000-0000-00000D000000}" name="UN Tehlike Sınıfı (Açıklama)"/>
    <tableColumn id="14" xr3:uid="{00000000-0010-0000-0000-00000E000000}" name="GHS Sinyal Kelimesi"/>
    <tableColumn id="15" xr3:uid="{00000000-0010-0000-0000-00000F000000}" name="GHS Tehlike Sembolleri (Kod)"/>
    <tableColumn id="16" xr3:uid="{00000000-0010-0000-0000-000010000000}" name="GHS Tehlike Açıklaması"/>
    <tableColumn id="17" xr3:uid="{00000000-0010-0000-0000-000011000000}" name="ICSC Bağlantısı"/>
    <tableColumn id="18" xr3:uid="{00000000-0010-0000-0000-000012000000}" name="Türkçe ICSC Bağlantısı"/>
    <tableColumn id="19" xr3:uid="{00000000-0010-0000-0000-000013000000}" name="SDS Ara"/>
    <tableColumn id="20" xr3:uid="{00000000-0010-0000-0000-000014000000}" name="ECHA"/>
    <tableColumn id="21" xr3:uid="{00000000-0010-0000-0000-000015000000}" name="No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google.com/search?q=108-98-5+SDS+safety+data+sheet+filetype:pdf" TargetMode="External"/><Relationship Id="rId3182" Type="http://schemas.openxmlformats.org/officeDocument/2006/relationships/hyperlink" Target="https://chemicalsafety.ilo.org/dyn/icsc/showcard.display?p_card_id=0816&amp;p_lang=tr" TargetMode="External"/><Relationship Id="rId4233" Type="http://schemas.openxmlformats.org/officeDocument/2006/relationships/hyperlink" Target="https://chemicalsafety.ilo.org/dyn/icsc/showcard.display?p_card_id=1093&amp;p_lang=en" TargetMode="External"/><Relationship Id="rId3999" Type="http://schemas.openxmlformats.org/officeDocument/2006/relationships/hyperlink" Target="https://www.google.com/search?q=111-87-5+SDS+safety+data+sheet+filetype:pdf" TargetMode="External"/><Relationship Id="rId4300" Type="http://schemas.openxmlformats.org/officeDocument/2006/relationships/hyperlink" Target="https://chem.echa.europa.eu/substance-search?searchText=110-30-5" TargetMode="External"/><Relationship Id="rId170" Type="http://schemas.openxmlformats.org/officeDocument/2006/relationships/hyperlink" Target="https://chemicalsafety.ilo.org/dyn/icsc/showcard.display?p_card_id=0043&amp;p_lang=tr" TargetMode="External"/><Relationship Id="rId6058" Type="http://schemas.openxmlformats.org/officeDocument/2006/relationships/hyperlink" Target="https://chemicalsafety.ilo.org/dyn/icsc/showcard.display?p_card_id=1569&amp;p_lang=tr" TargetMode="External"/><Relationship Id="rId6472" Type="http://schemas.openxmlformats.org/officeDocument/2006/relationships/hyperlink" Target="https://chem.echa.europa.eu/substance-search?searchText=16470-24-9" TargetMode="External"/><Relationship Id="rId5074" Type="http://schemas.openxmlformats.org/officeDocument/2006/relationships/hyperlink" Target="https://chemicalsafety.ilo.org/dyn/icsc/showcard.display?p_card_id=1313&amp;p_lang=tr" TargetMode="External"/><Relationship Id="rId6125" Type="http://schemas.openxmlformats.org/officeDocument/2006/relationships/hyperlink" Target="https://chemicalsafety.ilo.org/dyn/icsc/showcard.display?p_card_id=1586&amp;p_lang=en" TargetMode="External"/><Relationship Id="rId987" Type="http://schemas.openxmlformats.org/officeDocument/2006/relationships/hyperlink" Target="https://www.google.com/search?q=61790-53-2+SDS+safety+data+sheet+filetype:pdf" TargetMode="External"/><Relationship Id="rId2668" Type="http://schemas.openxmlformats.org/officeDocument/2006/relationships/hyperlink" Target="https://chem.echa.europa.eu/substance-search?searchText=512-56-1" TargetMode="External"/><Relationship Id="rId3719" Type="http://schemas.openxmlformats.org/officeDocument/2006/relationships/hyperlink" Target="https://www.google.com/search?q=7646-78-8+SDS+safety+data+sheet+filetype:pdf" TargetMode="External"/><Relationship Id="rId4090" Type="http://schemas.openxmlformats.org/officeDocument/2006/relationships/hyperlink" Target="https://chemicalsafety.ilo.org/dyn/icsc/showcard.display?p_card_id=1053&amp;p_lang=tr" TargetMode="External"/><Relationship Id="rId1684" Type="http://schemas.openxmlformats.org/officeDocument/2006/relationships/hyperlink" Target="https://chem.echa.europa.eu/substance-search?searchText=108-94-1" TargetMode="External"/><Relationship Id="rId2735" Type="http://schemas.openxmlformats.org/officeDocument/2006/relationships/hyperlink" Target="https://www.google.com/search?q=5949-29-1+SDS+safety+data+sheet+filetype:pdf" TargetMode="External"/><Relationship Id="rId5141" Type="http://schemas.openxmlformats.org/officeDocument/2006/relationships/hyperlink" Target="https://chemicalsafety.ilo.org/dyn/icsc/showcard.display?p_card_id=1332&amp;p_lang=en" TargetMode="External"/><Relationship Id="rId707" Type="http://schemas.openxmlformats.org/officeDocument/2006/relationships/hyperlink" Target="https://www.google.com/search?q=16752-77-5+SDS+safety+data+sheet+filetype:pdf" TargetMode="External"/><Relationship Id="rId1337" Type="http://schemas.openxmlformats.org/officeDocument/2006/relationships/hyperlink" Target="https://chemicalsafety.ilo.org/dyn/icsc/showcard.display?p_card_id=0336&amp;p_lang=en" TargetMode="External"/><Relationship Id="rId1751" Type="http://schemas.openxmlformats.org/officeDocument/2006/relationships/hyperlink" Target="https://www.google.com/search?q=4109-96-0+SDS+safety+data+sheet+filetype:pdf" TargetMode="External"/><Relationship Id="rId2802" Type="http://schemas.openxmlformats.org/officeDocument/2006/relationships/hyperlink" Target="https://chemicalsafety.ilo.org/dyn/icsc/showcard.display?p_card_id=0721&amp;p_lang=tr" TargetMode="External"/><Relationship Id="rId5958" Type="http://schemas.openxmlformats.org/officeDocument/2006/relationships/hyperlink" Target="https://chemicalsafety.ilo.org/dyn/icsc/showcard.display?p_card_id=1544&amp;p_lang=tr" TargetMode="External"/><Relationship Id="rId43" Type="http://schemas.openxmlformats.org/officeDocument/2006/relationships/hyperlink" Target="https://www.google.com/search?q=62-53-3+SDS+safety+data+sheet+filetype:pdf" TargetMode="External"/><Relationship Id="rId1404" Type="http://schemas.openxmlformats.org/officeDocument/2006/relationships/hyperlink" Target="https://chem.echa.europa.eu/substance-search?searchText=111-30-8" TargetMode="External"/><Relationship Id="rId3576" Type="http://schemas.openxmlformats.org/officeDocument/2006/relationships/hyperlink" Target="https://chem.echa.europa.eu/substance-search?searchText=79-41-4" TargetMode="External"/><Relationship Id="rId4627" Type="http://schemas.openxmlformats.org/officeDocument/2006/relationships/hyperlink" Target="https://www.google.com/search?q=7727-37-9+SDS+safety+data+sheet+filetype:pdf" TargetMode="External"/><Relationship Id="rId4974" Type="http://schemas.openxmlformats.org/officeDocument/2006/relationships/hyperlink" Target="https://chemicalsafety.ilo.org/dyn/icsc/showcard.display?p_card_id=1286&amp;p_lang=tr" TargetMode="External"/><Relationship Id="rId497" Type="http://schemas.openxmlformats.org/officeDocument/2006/relationships/hyperlink" Target="https://chemicalsafety.ilo.org/dyn/icsc/showcard.display?p_card_id=0125&amp;p_lang=en" TargetMode="External"/><Relationship Id="rId2178" Type="http://schemas.openxmlformats.org/officeDocument/2006/relationships/hyperlink" Target="https://chemicalsafety.ilo.org/dyn/icsc/showcard.display?p_card_id=0556&amp;p_lang=tr" TargetMode="External"/><Relationship Id="rId3229" Type="http://schemas.openxmlformats.org/officeDocument/2006/relationships/hyperlink" Target="https://chemicalsafety.ilo.org/dyn/icsc/showcard.display?p_card_id=0828&amp;p_lang=en" TargetMode="External"/><Relationship Id="rId3990" Type="http://schemas.openxmlformats.org/officeDocument/2006/relationships/hyperlink" Target="https://chemicalsafety.ilo.org/dyn/icsc/showcard.display?p_card_id=1028&amp;p_lang=tr" TargetMode="External"/><Relationship Id="rId1194" Type="http://schemas.openxmlformats.org/officeDocument/2006/relationships/hyperlink" Target="https://chemicalsafety.ilo.org/dyn/icsc/showcard.display?p_card_id=0300&amp;p_lang=tr" TargetMode="External"/><Relationship Id="rId2592" Type="http://schemas.openxmlformats.org/officeDocument/2006/relationships/hyperlink" Target="https://chem.echa.europa.eu/substance-search?searchText=107-31-3" TargetMode="External"/><Relationship Id="rId3643" Type="http://schemas.openxmlformats.org/officeDocument/2006/relationships/hyperlink" Target="https://www.google.com/search?q=111-66-0+SDS+safety+data+sheet+filetype:pdf" TargetMode="External"/><Relationship Id="rId6799" Type="http://schemas.openxmlformats.org/officeDocument/2006/relationships/hyperlink" Target="https://www.google.com/search?q=104-90-5+SDS+safety+data+sheet+filetype:pdf" TargetMode="External"/><Relationship Id="rId217" Type="http://schemas.openxmlformats.org/officeDocument/2006/relationships/hyperlink" Target="https://chemicalsafety.ilo.org/dyn/icsc/showcard.display?p_card_id=0055&amp;p_lang=en" TargetMode="External"/><Relationship Id="rId564" Type="http://schemas.openxmlformats.org/officeDocument/2006/relationships/hyperlink" Target="https://chem.echa.europa.eu/substance-search?searchText=554-00-7" TargetMode="External"/><Relationship Id="rId2245" Type="http://schemas.openxmlformats.org/officeDocument/2006/relationships/hyperlink" Target="https://chemicalsafety.ilo.org/dyn/icsc/showcard.display?p_card_id=0573&amp;p_lang=en" TargetMode="External"/><Relationship Id="rId3710" Type="http://schemas.openxmlformats.org/officeDocument/2006/relationships/hyperlink" Target="https://chemicalsafety.ilo.org/dyn/icsc/showcard.display?p_card_id=0951&amp;p_lang=tr" TargetMode="External"/><Relationship Id="rId631" Type="http://schemas.openxmlformats.org/officeDocument/2006/relationships/hyperlink" Target="https://www.google.com/search?q=111-30-8+SDS+safety+data+sheet+filetype:pdf" TargetMode="External"/><Relationship Id="rId1261" Type="http://schemas.openxmlformats.org/officeDocument/2006/relationships/hyperlink" Target="https://chemicalsafety.ilo.org/dyn/icsc/showcard.display?p_card_id=0317&amp;p_lang=en" TargetMode="External"/><Relationship Id="rId2312" Type="http://schemas.openxmlformats.org/officeDocument/2006/relationships/hyperlink" Target="https://chem.echa.europa.eu/substance-search?searchText=933-75-5" TargetMode="External"/><Relationship Id="rId5468" Type="http://schemas.openxmlformats.org/officeDocument/2006/relationships/hyperlink" Target="https://chem.echa.europa.eu/substance-search?searchText=65996-93-2" TargetMode="External"/><Relationship Id="rId5882" Type="http://schemas.openxmlformats.org/officeDocument/2006/relationships/hyperlink" Target="https://chemicalsafety.ilo.org/dyn/icsc/showcard.display?p_card_id=1524&amp;p_lang=tr" TargetMode="External"/><Relationship Id="rId6519" Type="http://schemas.openxmlformats.org/officeDocument/2006/relationships/hyperlink" Target="https://www.google.com/search?q=65277-42-1+SDS+safety+data+sheet+filetype:pdf" TargetMode="External"/><Relationship Id="rId4484" Type="http://schemas.openxmlformats.org/officeDocument/2006/relationships/hyperlink" Target="https://chem.echa.europa.eu/substance-search?searchText=97-99-4" TargetMode="External"/><Relationship Id="rId5535" Type="http://schemas.openxmlformats.org/officeDocument/2006/relationships/hyperlink" Target="https://www.google.com/search?q=143-50-0+SDS+safety+data+sheet+filetype:pdf" TargetMode="External"/><Relationship Id="rId3086" Type="http://schemas.openxmlformats.org/officeDocument/2006/relationships/hyperlink" Target="https://chemicalsafety.ilo.org/dyn/icsc/showcard.display?p_card_id=0792&amp;p_lang=tr" TargetMode="External"/><Relationship Id="rId4137" Type="http://schemas.openxmlformats.org/officeDocument/2006/relationships/hyperlink" Target="https://chemicalsafety.ilo.org/dyn/icsc/showcard.display?p_card_id=1066&amp;p_lang=en" TargetMode="External"/><Relationship Id="rId4551" Type="http://schemas.openxmlformats.org/officeDocument/2006/relationships/hyperlink" Target="https://www.google.com/search?q=112-70-9+SDS+safety+data+sheet+filetype:pdf" TargetMode="External"/><Relationship Id="rId3153" Type="http://schemas.openxmlformats.org/officeDocument/2006/relationships/hyperlink" Target="https://chemicalsafety.ilo.org/dyn/icsc/showcard.display?p_card_id=0809&amp;p_lang=en" TargetMode="External"/><Relationship Id="rId4204" Type="http://schemas.openxmlformats.org/officeDocument/2006/relationships/hyperlink" Target="https://chem.echa.europa.eu/substance-search?searchText=141-82-2" TargetMode="External"/><Relationship Id="rId5602" Type="http://schemas.openxmlformats.org/officeDocument/2006/relationships/hyperlink" Target="https://chemicalsafety.ilo.org/dyn/icsc/showcard.display?p_card_id=1449&amp;p_lang=tr" TargetMode="External"/><Relationship Id="rId141" Type="http://schemas.openxmlformats.org/officeDocument/2006/relationships/hyperlink" Target="https://chemicalsafety.ilo.org/dyn/icsc/showcard.display?p_card_id=0036&amp;p_lang=en" TargetMode="External"/><Relationship Id="rId3220" Type="http://schemas.openxmlformats.org/officeDocument/2006/relationships/hyperlink" Target="https://chem.echa.europa.eu/substance-search?searchText=120-12-7" TargetMode="External"/><Relationship Id="rId6029" Type="http://schemas.openxmlformats.org/officeDocument/2006/relationships/hyperlink" Target="https://chemicalsafety.ilo.org/dyn/icsc/showcard.display?p_card_id=1562&amp;p_lang=en" TargetMode="External"/><Relationship Id="rId6376" Type="http://schemas.openxmlformats.org/officeDocument/2006/relationships/hyperlink" Target="https://chem.echa.europa.eu/substance-search?searchText=1929-82-4" TargetMode="External"/><Relationship Id="rId6790" Type="http://schemas.openxmlformats.org/officeDocument/2006/relationships/hyperlink" Target="https://chemicalsafety.ilo.org/dyn/icsc/showcard.display?p_card_id=1770&amp;p_lang=tr" TargetMode="External"/><Relationship Id="rId7" Type="http://schemas.openxmlformats.org/officeDocument/2006/relationships/hyperlink" Target="https://www.google.com/search?q=96-12-8+SDS+safety+data+sheet+filetype:pdf" TargetMode="External"/><Relationship Id="rId2986" Type="http://schemas.openxmlformats.org/officeDocument/2006/relationships/hyperlink" Target="https://chemicalsafety.ilo.org/dyn/icsc/showcard.display?p_card_id=0767&amp;p_lang=tr" TargetMode="External"/><Relationship Id="rId5392" Type="http://schemas.openxmlformats.org/officeDocument/2006/relationships/hyperlink" Target="https://chem.echa.europa.eu/substance-search?searchText=92-93-3" TargetMode="External"/><Relationship Id="rId6443" Type="http://schemas.openxmlformats.org/officeDocument/2006/relationships/hyperlink" Target="https://www.google.com/search?q=1239-45-8+SDS+safety+data+sheet+filetype:pdf" TargetMode="External"/><Relationship Id="rId958" Type="http://schemas.openxmlformats.org/officeDocument/2006/relationships/hyperlink" Target="https://chemicalsafety.ilo.org/dyn/icsc/showcard.display?p_card_id=0241&amp;p_lang=tr" TargetMode="External"/><Relationship Id="rId1588" Type="http://schemas.openxmlformats.org/officeDocument/2006/relationships/hyperlink" Target="https://chem.echa.europa.eu/substance-search?searchText=141-32-2" TargetMode="External"/><Relationship Id="rId2639" Type="http://schemas.openxmlformats.org/officeDocument/2006/relationships/hyperlink" Target="https://www.google.com/search?q=110-01-0+SDS+safety+data+sheet+filetype:pdf" TargetMode="External"/><Relationship Id="rId5045" Type="http://schemas.openxmlformats.org/officeDocument/2006/relationships/hyperlink" Target="https://chemicalsafety.ilo.org/dyn/icsc/showcard.display?p_card_id=1304&amp;p_lang=en" TargetMode="External"/><Relationship Id="rId6510" Type="http://schemas.openxmlformats.org/officeDocument/2006/relationships/hyperlink" Target="https://chemicalsafety.ilo.org/dyn/icsc/showcard.display?p_card_id=1698&amp;p_lang=tr" TargetMode="External"/><Relationship Id="rId1655" Type="http://schemas.openxmlformats.org/officeDocument/2006/relationships/hyperlink" Target="https://www.google.com/search?q=505-60-2+SDS+safety+data+sheet+filetype:pdf" TargetMode="External"/><Relationship Id="rId2706" Type="http://schemas.openxmlformats.org/officeDocument/2006/relationships/hyperlink" Target="https://chemicalsafety.ilo.org/dyn/icsc/showcard.display?p_card_id=0697&amp;p_lang=tr" TargetMode="External"/><Relationship Id="rId4061" Type="http://schemas.openxmlformats.org/officeDocument/2006/relationships/hyperlink" Target="https://chemicalsafety.ilo.org/dyn/icsc/showcard.display?p_card_id=1046&amp;p_lang=en" TargetMode="External"/><Relationship Id="rId5112" Type="http://schemas.openxmlformats.org/officeDocument/2006/relationships/hyperlink" Target="https://chem.echa.europa.eu/substance-search?searchText=10043-92-2" TargetMode="External"/><Relationship Id="rId1308" Type="http://schemas.openxmlformats.org/officeDocument/2006/relationships/hyperlink" Target="https://chem.echa.europa.eu/substance-search?searchText=5329-14-6" TargetMode="External"/><Relationship Id="rId1722" Type="http://schemas.openxmlformats.org/officeDocument/2006/relationships/hyperlink" Target="https://chemicalsafety.ilo.org/dyn/icsc/showcard.display?p_card_id=0435&amp;p_lang=tr" TargetMode="External"/><Relationship Id="rId4878" Type="http://schemas.openxmlformats.org/officeDocument/2006/relationships/hyperlink" Target="https://chemicalsafety.ilo.org/dyn/icsc/showcard.display?p_card_id=1262&amp;p_lang=tr" TargetMode="External"/><Relationship Id="rId5929" Type="http://schemas.openxmlformats.org/officeDocument/2006/relationships/hyperlink" Target="https://chemicalsafety.ilo.org/dyn/icsc/showcard.display?p_card_id=1536&amp;p_lang=en" TargetMode="External"/><Relationship Id="rId14" Type="http://schemas.openxmlformats.org/officeDocument/2006/relationships/hyperlink" Target="https://chemicalsafety.ilo.org/dyn/icsc/showcard.display?p_card_id=0004&amp;p_lang=tr" TargetMode="External"/><Relationship Id="rId3894" Type="http://schemas.openxmlformats.org/officeDocument/2006/relationships/hyperlink" Target="https://chemicalsafety.ilo.org/dyn/icsc/showcard.display?p_card_id=1002&amp;p_lang=tr" TargetMode="External"/><Relationship Id="rId4945" Type="http://schemas.openxmlformats.org/officeDocument/2006/relationships/hyperlink" Target="https://chemicalsafety.ilo.org/dyn/icsc/showcard.display?p_card_id=1279&amp;p_lang=en" TargetMode="External"/><Relationship Id="rId2496" Type="http://schemas.openxmlformats.org/officeDocument/2006/relationships/hyperlink" Target="https://chem.echa.europa.eu/substance-search?searchText=7778-54-3" TargetMode="External"/><Relationship Id="rId3547" Type="http://schemas.openxmlformats.org/officeDocument/2006/relationships/hyperlink" Target="https://www.google.com/search?q=301-04-2+SDS+safety+data+sheet+filetype:pdf" TargetMode="External"/><Relationship Id="rId3961" Type="http://schemas.openxmlformats.org/officeDocument/2006/relationships/hyperlink" Target="https://chemicalsafety.ilo.org/dyn/icsc/showcard.display?p_card_id=1021&amp;p_lang=en" TargetMode="External"/><Relationship Id="rId468" Type="http://schemas.openxmlformats.org/officeDocument/2006/relationships/hyperlink" Target="https://chem.echa.europa.eu/substance-search?searchText=1306-19-0" TargetMode="External"/><Relationship Id="rId882" Type="http://schemas.openxmlformats.org/officeDocument/2006/relationships/hyperlink" Target="https://chemicalsafety.ilo.org/dyn/icsc/showcard.display?p_card_id=0222&amp;p_lang=tr" TargetMode="External"/><Relationship Id="rId1098" Type="http://schemas.openxmlformats.org/officeDocument/2006/relationships/hyperlink" Target="https://chemicalsafety.ilo.org/dyn/icsc/showcard.display?p_card_id=0276&amp;p_lang=tr" TargetMode="External"/><Relationship Id="rId2149" Type="http://schemas.openxmlformats.org/officeDocument/2006/relationships/hyperlink" Target="https://chemicalsafety.ilo.org/dyn/icsc/showcard.display?p_card_id=0549&amp;p_lang=en" TargetMode="External"/><Relationship Id="rId2563" Type="http://schemas.openxmlformats.org/officeDocument/2006/relationships/hyperlink" Target="https://www.google.com/search?q=142-82-5+SDS+safety+data+sheet+filetype:pdf" TargetMode="External"/><Relationship Id="rId3614" Type="http://schemas.openxmlformats.org/officeDocument/2006/relationships/hyperlink" Target="https://chemicalsafety.ilo.org/dyn/icsc/showcard.display?p_card_id=0927&amp;p_lang=tr" TargetMode="External"/><Relationship Id="rId6020" Type="http://schemas.openxmlformats.org/officeDocument/2006/relationships/hyperlink" Target="https://chem.echa.europa.eu/substance-search?searchText=9004-62-0" TargetMode="External"/><Relationship Id="rId535" Type="http://schemas.openxmlformats.org/officeDocument/2006/relationships/hyperlink" Target="https://www.google.com/search?q=1897-45-6+SDS+safety+data+sheet+filetype:pdf" TargetMode="External"/><Relationship Id="rId1165" Type="http://schemas.openxmlformats.org/officeDocument/2006/relationships/hyperlink" Target="https://chemicalsafety.ilo.org/dyn/icsc/showcard.display?p_card_id=0293&amp;p_lang=en" TargetMode="External"/><Relationship Id="rId2216" Type="http://schemas.openxmlformats.org/officeDocument/2006/relationships/hyperlink" Target="https://chem.echa.europa.eu/substance-search?searchText=127-09-3" TargetMode="External"/><Relationship Id="rId2630" Type="http://schemas.openxmlformats.org/officeDocument/2006/relationships/hyperlink" Target="https://chemicalsafety.ilo.org/dyn/icsc/showcard.display?p_card_id=0675&amp;p_lang=tr" TargetMode="External"/><Relationship Id="rId5786" Type="http://schemas.openxmlformats.org/officeDocument/2006/relationships/hyperlink" Target="https://chemicalsafety.ilo.org/dyn/icsc/showcard.display?p_card_id=1500&amp;p_lang=tr" TargetMode="External"/><Relationship Id="rId6837" Type="http://schemas.openxmlformats.org/officeDocument/2006/relationships/hyperlink" Target="https://chemicalsafety.ilo.org/dyn/icsc/showcard.display?p_card_id=1783&amp;p_lang=en" TargetMode="External"/><Relationship Id="rId602" Type="http://schemas.openxmlformats.org/officeDocument/2006/relationships/hyperlink" Target="https://chemicalsafety.ilo.org/dyn/icsc/showcard.display?p_card_id=0151&amp;p_lang=tr" TargetMode="External"/><Relationship Id="rId1232" Type="http://schemas.openxmlformats.org/officeDocument/2006/relationships/hyperlink" Target="https://chem.echa.europa.eu/substance-search?searchText=84852-15-3" TargetMode="External"/><Relationship Id="rId4388" Type="http://schemas.openxmlformats.org/officeDocument/2006/relationships/hyperlink" Target="https://chem.echa.europa.eu/substance-search?searchText=497-19-8" TargetMode="External"/><Relationship Id="rId5439" Type="http://schemas.openxmlformats.org/officeDocument/2006/relationships/hyperlink" Target="https://www.google.com/search?q=298-04-4+SDS+safety+data+sheet+filetype:pdf" TargetMode="External"/><Relationship Id="rId5853" Type="http://schemas.openxmlformats.org/officeDocument/2006/relationships/hyperlink" Target="https://chemicalsafety.ilo.org/dyn/icsc/showcard.display?p_card_id=1517&amp;p_lang=en" TargetMode="External"/><Relationship Id="rId3057" Type="http://schemas.openxmlformats.org/officeDocument/2006/relationships/hyperlink" Target="https://chemicalsafety.ilo.org/dyn/icsc/showcard.display?p_card_id=0785&amp;p_lang=en" TargetMode="External"/><Relationship Id="rId4108" Type="http://schemas.openxmlformats.org/officeDocument/2006/relationships/hyperlink" Target="https://chem.echa.europa.eu/substance-search?searchText=684-16-2" TargetMode="External"/><Relationship Id="rId4455" Type="http://schemas.openxmlformats.org/officeDocument/2006/relationships/hyperlink" Target="https://www.google.com/search?q=109-87-5+SDS+safety+data+sheet+filetype:pdf" TargetMode="External"/><Relationship Id="rId5506" Type="http://schemas.openxmlformats.org/officeDocument/2006/relationships/hyperlink" Target="https://chemicalsafety.ilo.org/dyn/icsc/showcard.display?p_card_id=1425&amp;p_lang=tr" TargetMode="External"/><Relationship Id="rId5920" Type="http://schemas.openxmlformats.org/officeDocument/2006/relationships/hyperlink" Target="https://chem.echa.europa.eu/substance-search?searchText=1189-85-1" TargetMode="External"/><Relationship Id="rId3471" Type="http://schemas.openxmlformats.org/officeDocument/2006/relationships/hyperlink" Target="https://www.google.com/search?q=75-12-7+SDS+safety+data+sheet+filetype:pdf" TargetMode="External"/><Relationship Id="rId4522" Type="http://schemas.openxmlformats.org/officeDocument/2006/relationships/hyperlink" Target="https://chemicalsafety.ilo.org/dyn/icsc/showcard.display?p_card_id=1169&amp;p_lang=tr" TargetMode="External"/><Relationship Id="rId392" Type="http://schemas.openxmlformats.org/officeDocument/2006/relationships/hyperlink" Target="https://chem.echa.europa.eu/substance-search?searchText=33089-61-1" TargetMode="External"/><Relationship Id="rId2073" Type="http://schemas.openxmlformats.org/officeDocument/2006/relationships/hyperlink" Target="https://chemicalsafety.ilo.org/dyn/icsc/showcard.display?p_card_id=0529&amp;p_lang=en" TargetMode="External"/><Relationship Id="rId3124" Type="http://schemas.openxmlformats.org/officeDocument/2006/relationships/hyperlink" Target="https://chem.echa.europa.eu/substance-search?searchText=109-06-8" TargetMode="External"/><Relationship Id="rId6694" Type="http://schemas.openxmlformats.org/officeDocument/2006/relationships/hyperlink" Target="https://chemicalsafety.ilo.org/dyn/icsc/showcard.display?p_card_id=1745&amp;p_lang=tr" TargetMode="External"/><Relationship Id="rId2140" Type="http://schemas.openxmlformats.org/officeDocument/2006/relationships/hyperlink" Target="https://chem.echa.europa.eu/substance-search?searchText=1314-56-3" TargetMode="External"/><Relationship Id="rId5296" Type="http://schemas.openxmlformats.org/officeDocument/2006/relationships/hyperlink" Target="https://chem.echa.europa.eu/substance-search?searchText=7775-11-3" TargetMode="External"/><Relationship Id="rId6347" Type="http://schemas.openxmlformats.org/officeDocument/2006/relationships/hyperlink" Target="https://www.google.com/search?q=25550-51-0+SDS+safety+data+sheet+filetype:pdf" TargetMode="External"/><Relationship Id="rId6761" Type="http://schemas.openxmlformats.org/officeDocument/2006/relationships/hyperlink" Target="https://chemicalsafety.ilo.org/dyn/icsc/showcard.display?p_card_id=1763&amp;p_lang=en" TargetMode="External"/><Relationship Id="rId112" Type="http://schemas.openxmlformats.org/officeDocument/2006/relationships/hyperlink" Target="https://chem.echa.europa.eu/substance-search?searchText=88-73-3" TargetMode="External"/><Relationship Id="rId5363" Type="http://schemas.openxmlformats.org/officeDocument/2006/relationships/hyperlink" Target="https://www.google.com/search?q=2039-87-4+SDS+safety+data+sheet+filetype:pdf" TargetMode="External"/><Relationship Id="rId6414" Type="http://schemas.openxmlformats.org/officeDocument/2006/relationships/hyperlink" Target="https://chemicalsafety.ilo.org/dyn/icsc/showcard.display?p_card_id=1669&amp;p_lang=tr" TargetMode="External"/><Relationship Id="rId2957" Type="http://schemas.openxmlformats.org/officeDocument/2006/relationships/hyperlink" Target="https://chemicalsafety.ilo.org/dyn/icsc/showcard.display?p_card_id=0760&amp;p_lang=en" TargetMode="External"/><Relationship Id="rId5016" Type="http://schemas.openxmlformats.org/officeDocument/2006/relationships/hyperlink" Target="https://chem.echa.europa.eu/substance-search?searchText=107-64-2" TargetMode="External"/><Relationship Id="rId929" Type="http://schemas.openxmlformats.org/officeDocument/2006/relationships/hyperlink" Target="https://chemicalsafety.ilo.org/dyn/icsc/showcard.display?p_card_id=0234&amp;p_lang=en" TargetMode="External"/><Relationship Id="rId1559" Type="http://schemas.openxmlformats.org/officeDocument/2006/relationships/hyperlink" Target="https://www.google.com/search?q=74-97-5+SDS+safety+data+sheet+filetype:pdf" TargetMode="External"/><Relationship Id="rId1973" Type="http://schemas.openxmlformats.org/officeDocument/2006/relationships/hyperlink" Target="https://chemicalsafety.ilo.org/dyn/icsc/showcard.display?p_card_id=0500&amp;p_lang=en" TargetMode="External"/><Relationship Id="rId4032" Type="http://schemas.openxmlformats.org/officeDocument/2006/relationships/hyperlink" Target="https://chem.echa.europa.eu/substance-search?searchText=1344-81-6" TargetMode="External"/><Relationship Id="rId5430" Type="http://schemas.openxmlformats.org/officeDocument/2006/relationships/hyperlink" Target="https://chemicalsafety.ilo.org/dyn/icsc/showcard.display?p_card_id=1406&amp;p_lang=tr" TargetMode="External"/><Relationship Id="rId1626" Type="http://schemas.openxmlformats.org/officeDocument/2006/relationships/hyperlink" Target="https://chemicalsafety.ilo.org/dyn/icsc/showcard.display?p_card_id=0410&amp;p_lang=tr" TargetMode="External"/><Relationship Id="rId3798" Type="http://schemas.openxmlformats.org/officeDocument/2006/relationships/hyperlink" Target="https://chemicalsafety.ilo.org/dyn/icsc/showcard.display?p_card_id=0974&amp;p_lang=tr" TargetMode="External"/><Relationship Id="rId4849" Type="http://schemas.openxmlformats.org/officeDocument/2006/relationships/hyperlink" Target="https://chemicalsafety.ilo.org/dyn/icsc/showcard.display?p_card_id=1255&amp;p_lang=en" TargetMode="External"/><Relationship Id="rId3865" Type="http://schemas.openxmlformats.org/officeDocument/2006/relationships/hyperlink" Target="https://chemicalsafety.ilo.org/dyn/icsc/showcard.display?p_card_id=0992&amp;p_lang=en" TargetMode="External"/><Relationship Id="rId4916" Type="http://schemas.openxmlformats.org/officeDocument/2006/relationships/hyperlink" Target="https://chem.echa.europa.eu/substance-search?searchText=111479-05-1" TargetMode="External"/><Relationship Id="rId6271" Type="http://schemas.openxmlformats.org/officeDocument/2006/relationships/hyperlink" Target="https://www.google.com/search?q=2885-00-9+SDS+safety+data+sheet+filetype:pdf" TargetMode="External"/><Relationship Id="rId786" Type="http://schemas.openxmlformats.org/officeDocument/2006/relationships/hyperlink" Target="https://chemicalsafety.ilo.org/dyn/icsc/showcard.display?p_card_id=0197&amp;p_lang=tr" TargetMode="External"/><Relationship Id="rId2467" Type="http://schemas.openxmlformats.org/officeDocument/2006/relationships/hyperlink" Target="https://www.google.com/search?q=61-82-5+SDS+safety+data+sheet+filetype:pdf" TargetMode="External"/><Relationship Id="rId3518" Type="http://schemas.openxmlformats.org/officeDocument/2006/relationships/hyperlink" Target="https://chemicalsafety.ilo.org/dyn/icsc/showcard.display?p_card_id=0903&amp;p_lang=tr" TargetMode="External"/><Relationship Id="rId439" Type="http://schemas.openxmlformats.org/officeDocument/2006/relationships/hyperlink" Target="https://www.google.com/search?q=2425-79-8+SDS+safety+data+sheet+filetype:pdf" TargetMode="External"/><Relationship Id="rId1069" Type="http://schemas.openxmlformats.org/officeDocument/2006/relationships/hyperlink" Target="https://chemicalsafety.ilo.org/dyn/icsc/showcard.display?p_card_id=0269&amp;p_lang=en" TargetMode="External"/><Relationship Id="rId1483" Type="http://schemas.openxmlformats.org/officeDocument/2006/relationships/hyperlink" Target="https://www.google.com/search?q=21645-51-2+SDS+safety+data+sheet+filetype:pdf" TargetMode="External"/><Relationship Id="rId2881" Type="http://schemas.openxmlformats.org/officeDocument/2006/relationships/hyperlink" Target="https://chemicalsafety.ilo.org/dyn/icsc/showcard.display?p_card_id=0741&amp;p_lang=en" TargetMode="External"/><Relationship Id="rId3932" Type="http://schemas.openxmlformats.org/officeDocument/2006/relationships/hyperlink" Target="https://chem.echa.europa.eu/substance-search?searchText=142-04-1" TargetMode="External"/><Relationship Id="rId506" Type="http://schemas.openxmlformats.org/officeDocument/2006/relationships/hyperlink" Target="https://chemicalsafety.ilo.org/dyn/icsc/showcard.display?p_card_id=0127&amp;p_lang=tr" TargetMode="External"/><Relationship Id="rId853" Type="http://schemas.openxmlformats.org/officeDocument/2006/relationships/hyperlink" Target="https://chemicalsafety.ilo.org/dyn/icsc/showcard.display?p_card_id=0215&amp;p_lang=en" TargetMode="External"/><Relationship Id="rId1136" Type="http://schemas.openxmlformats.org/officeDocument/2006/relationships/hyperlink" Target="https://chem.echa.europa.eu/substance-search?searchText=124-68-5" TargetMode="External"/><Relationship Id="rId2534" Type="http://schemas.openxmlformats.org/officeDocument/2006/relationships/hyperlink" Target="https://chemicalsafety.ilo.org/dyn/icsc/showcard.display?p_card_id=0650&amp;p_lang=tr" TargetMode="External"/><Relationship Id="rId920" Type="http://schemas.openxmlformats.org/officeDocument/2006/relationships/hyperlink" Target="https://chem.echa.europa.eu/substance-search?searchText=7637-07-2" TargetMode="External"/><Relationship Id="rId1550" Type="http://schemas.openxmlformats.org/officeDocument/2006/relationships/hyperlink" Target="https://chemicalsafety.ilo.org/dyn/icsc/showcard.display?p_card_id=0390&amp;p_lang=tr" TargetMode="External"/><Relationship Id="rId2601" Type="http://schemas.openxmlformats.org/officeDocument/2006/relationships/hyperlink" Target="https://chemicalsafety.ilo.org/dyn/icsc/showcard.display?p_card_id=0668&amp;p_lang=en" TargetMode="External"/><Relationship Id="rId5757" Type="http://schemas.openxmlformats.org/officeDocument/2006/relationships/hyperlink" Target="https://chemicalsafety.ilo.org/dyn/icsc/showcard.display?p_card_id=1493&amp;p_lang=en" TargetMode="External"/><Relationship Id="rId6808" Type="http://schemas.openxmlformats.org/officeDocument/2006/relationships/hyperlink" Target="https://chem.echa.europa.eu/substance-search?searchText=68553-00-4" TargetMode="External"/><Relationship Id="rId1203" Type="http://schemas.openxmlformats.org/officeDocument/2006/relationships/hyperlink" Target="https://www.google.com/search?q=110-91-8+SDS+safety+data+sheet+filetype:pdf" TargetMode="External"/><Relationship Id="rId4359" Type="http://schemas.openxmlformats.org/officeDocument/2006/relationships/hyperlink" Target="https://www.google.com/search?q=10124-43-3+SDS+safety+data+sheet+filetype:pdf" TargetMode="External"/><Relationship Id="rId4773" Type="http://schemas.openxmlformats.org/officeDocument/2006/relationships/hyperlink" Target="https://chemicalsafety.ilo.org/dyn/icsc/showcard.display?p_card_id=1236&amp;p_lang=en" TargetMode="External"/><Relationship Id="rId5824" Type="http://schemas.openxmlformats.org/officeDocument/2006/relationships/hyperlink" Target="https://chem.echa.europa.eu/substance-search?searchText=75-99-0" TargetMode="External"/><Relationship Id="rId3375" Type="http://schemas.openxmlformats.org/officeDocument/2006/relationships/hyperlink" Target="https://www.google.com/search?q=1194-65-6+SDS+safety+data+sheet+filetype:pdf" TargetMode="External"/><Relationship Id="rId4426" Type="http://schemas.openxmlformats.org/officeDocument/2006/relationships/hyperlink" Target="https://chemicalsafety.ilo.org/dyn/icsc/showcard.display?p_card_id=1145&amp;p_lang=tr" TargetMode="External"/><Relationship Id="rId4840" Type="http://schemas.openxmlformats.org/officeDocument/2006/relationships/hyperlink" Target="https://chem.echa.europa.eu/substance-search?searchText=99387-89-0" TargetMode="External"/><Relationship Id="rId296" Type="http://schemas.openxmlformats.org/officeDocument/2006/relationships/hyperlink" Target="https://chem.echa.europa.eu/substance-search?searchText=7446-09-5" TargetMode="External"/><Relationship Id="rId2391" Type="http://schemas.openxmlformats.org/officeDocument/2006/relationships/hyperlink" Target="https://www.google.com/search?q=8052-42-4+SDS+safety+data+sheet+filetype:pdf" TargetMode="External"/><Relationship Id="rId3028" Type="http://schemas.openxmlformats.org/officeDocument/2006/relationships/hyperlink" Target="https://chem.echa.europa.eu/substance-search?searchText=513-77-9" TargetMode="External"/><Relationship Id="rId3442" Type="http://schemas.openxmlformats.org/officeDocument/2006/relationships/hyperlink" Target="https://chemicalsafety.ilo.org/dyn/icsc/showcard.display?p_card_id=0884&amp;p_lang=tr" TargetMode="External"/><Relationship Id="rId6598" Type="http://schemas.openxmlformats.org/officeDocument/2006/relationships/hyperlink" Target="https://chemicalsafety.ilo.org/dyn/icsc/showcard.display?p_card_id=1720&amp;p_lang=tr" TargetMode="External"/><Relationship Id="rId363" Type="http://schemas.openxmlformats.org/officeDocument/2006/relationships/hyperlink" Target="https://www.google.com/search?q=79-06-1+SDS+safety+data+sheet+filetype:pdf" TargetMode="External"/><Relationship Id="rId2044" Type="http://schemas.openxmlformats.org/officeDocument/2006/relationships/hyperlink" Target="https://chem.echa.europa.eu/substance-search?searchText=65-30-5" TargetMode="External"/><Relationship Id="rId430" Type="http://schemas.openxmlformats.org/officeDocument/2006/relationships/hyperlink" Target="https://chemicalsafety.ilo.org/dyn/icsc/showcard.display?p_card_id=0108&amp;p_lang=tr" TargetMode="External"/><Relationship Id="rId1060" Type="http://schemas.openxmlformats.org/officeDocument/2006/relationships/hyperlink" Target="https://chem.echa.europa.eu/substance-search?searchText=74-84-0" TargetMode="External"/><Relationship Id="rId2111" Type="http://schemas.openxmlformats.org/officeDocument/2006/relationships/hyperlink" Target="https://www.google.com/search?q=122-99-6+SDS+safety+data+sheet+filetype:pdf" TargetMode="External"/><Relationship Id="rId5267" Type="http://schemas.openxmlformats.org/officeDocument/2006/relationships/hyperlink" Target="https://www.google.com/search?q=85-00-7+SDS+safety+data+sheet+filetype:pdf" TargetMode="External"/><Relationship Id="rId6318" Type="http://schemas.openxmlformats.org/officeDocument/2006/relationships/hyperlink" Target="https://chemicalsafety.ilo.org/dyn/icsc/showcard.display?p_card_id=1636&amp;p_lang=tr" TargetMode="External"/><Relationship Id="rId6665" Type="http://schemas.openxmlformats.org/officeDocument/2006/relationships/hyperlink" Target="https://chemicalsafety.ilo.org/dyn/icsc/showcard.display?p_card_id=1738&amp;p_lang=en" TargetMode="External"/><Relationship Id="rId5681" Type="http://schemas.openxmlformats.org/officeDocument/2006/relationships/hyperlink" Target="https://chemicalsafety.ilo.org/dyn/icsc/showcard.display?p_card_id=1472&amp;p_lang=en" TargetMode="External"/><Relationship Id="rId6732" Type="http://schemas.openxmlformats.org/officeDocument/2006/relationships/hyperlink" Target="https://chem.echa.europa.eu/substance-search?searchText=2595-54-2" TargetMode="External"/><Relationship Id="rId1877" Type="http://schemas.openxmlformats.org/officeDocument/2006/relationships/hyperlink" Target="https://chemicalsafety.ilo.org/dyn/icsc/showcard.display?p_card_id=0476&amp;p_lang=en" TargetMode="External"/><Relationship Id="rId2928" Type="http://schemas.openxmlformats.org/officeDocument/2006/relationships/hyperlink" Target="https://chem.echa.europa.eu/substance-search?searchText=115-32-2" TargetMode="External"/><Relationship Id="rId4283" Type="http://schemas.openxmlformats.org/officeDocument/2006/relationships/hyperlink" Target="https://www.google.com/search?q=101-72-4+SDS+safety+data+sheet+filetype:pdf" TargetMode="External"/><Relationship Id="rId5334" Type="http://schemas.openxmlformats.org/officeDocument/2006/relationships/hyperlink" Target="https://chemicalsafety.ilo.org/dyn/icsc/showcard.display?p_card_id=1380&amp;p_lang=tr" TargetMode="External"/><Relationship Id="rId1944" Type="http://schemas.openxmlformats.org/officeDocument/2006/relationships/hyperlink" Target="https://chem.echa.europa.eu/substance-search?searchText=74-90-8" TargetMode="External"/><Relationship Id="rId4350" Type="http://schemas.openxmlformats.org/officeDocument/2006/relationships/hyperlink" Target="https://chemicalsafety.ilo.org/dyn/icsc/showcard.display?p_card_id=1125&amp;p_lang=tr" TargetMode="External"/><Relationship Id="rId5401" Type="http://schemas.openxmlformats.org/officeDocument/2006/relationships/hyperlink" Target="https://chemicalsafety.ilo.org/dyn/icsc/showcard.display?p_card_id=1398&amp;p_lang=en" TargetMode="External"/><Relationship Id="rId4003" Type="http://schemas.openxmlformats.org/officeDocument/2006/relationships/hyperlink" Target="https://www.google.com/search?q=79-21-0+SDS+safety+data+sheet+filetype:pdf" TargetMode="External"/><Relationship Id="rId6175" Type="http://schemas.openxmlformats.org/officeDocument/2006/relationships/hyperlink" Target="https://www.google.com/search?q=68608-26-4+SDS+safety+data+sheet+filetype:pdf" TargetMode="External"/><Relationship Id="rId3769" Type="http://schemas.openxmlformats.org/officeDocument/2006/relationships/hyperlink" Target="https://chemicalsafety.ilo.org/dyn/icsc/showcard.display?p_card_id=0966&amp;p_lang=en" TargetMode="External"/><Relationship Id="rId5191" Type="http://schemas.openxmlformats.org/officeDocument/2006/relationships/hyperlink" Target="https://www.google.com/search?q=3953-10-4+SDS+safety+data+sheet+filetype:pdf" TargetMode="External"/><Relationship Id="rId6242" Type="http://schemas.openxmlformats.org/officeDocument/2006/relationships/hyperlink" Target="https://chemicalsafety.ilo.org/dyn/icsc/showcard.display?p_card_id=1615&amp;p_lang=tr" TargetMode="External"/><Relationship Id="rId2785" Type="http://schemas.openxmlformats.org/officeDocument/2006/relationships/hyperlink" Target="https://chemicalsafety.ilo.org/dyn/icsc/showcard.display?p_card_id=0717&amp;p_lang=en" TargetMode="External"/><Relationship Id="rId3836" Type="http://schemas.openxmlformats.org/officeDocument/2006/relationships/hyperlink" Target="https://chem.echa.europa.eu/substance-search?searchText=7320-34-5" TargetMode="External"/><Relationship Id="rId757" Type="http://schemas.openxmlformats.org/officeDocument/2006/relationships/hyperlink" Target="https://chemicalsafety.ilo.org/dyn/icsc/showcard.display?p_card_id=0190&amp;p_lang=en" TargetMode="External"/><Relationship Id="rId1387" Type="http://schemas.openxmlformats.org/officeDocument/2006/relationships/hyperlink" Target="https://www.google.com/search?q=137-30-4+SDS+safety+data+sheet+filetype:pdf" TargetMode="External"/><Relationship Id="rId2438" Type="http://schemas.openxmlformats.org/officeDocument/2006/relationships/hyperlink" Target="https://chemicalsafety.ilo.org/dyn/icsc/showcard.display?p_card_id=0624&amp;p_lang=tr" TargetMode="External"/><Relationship Id="rId2852" Type="http://schemas.openxmlformats.org/officeDocument/2006/relationships/hyperlink" Target="https://chem.echa.europa.eu/substance-search?searchText=611-15-4" TargetMode="External"/><Relationship Id="rId3903" Type="http://schemas.openxmlformats.org/officeDocument/2006/relationships/hyperlink" Target="https://www.google.com/search?q=112-80-1+SDS+safety+data+sheet+filetype:pdf" TargetMode="External"/><Relationship Id="rId93" Type="http://schemas.openxmlformats.org/officeDocument/2006/relationships/hyperlink" Target="https://chemicalsafety.ilo.org/dyn/icsc/showcard.display?p_card_id=0024&amp;p_lang=en" TargetMode="External"/><Relationship Id="rId824" Type="http://schemas.openxmlformats.org/officeDocument/2006/relationships/hyperlink" Target="https://chem.echa.europa.eu/substance-search?searchText=75-50-3" TargetMode="External"/><Relationship Id="rId1454" Type="http://schemas.openxmlformats.org/officeDocument/2006/relationships/hyperlink" Target="https://chemicalsafety.ilo.org/dyn/icsc/showcard.display?p_card_id=0365&amp;p_lang=tr" TargetMode="External"/><Relationship Id="rId2505" Type="http://schemas.openxmlformats.org/officeDocument/2006/relationships/hyperlink" Target="https://chemicalsafety.ilo.org/dyn/icsc/showcard.display?p_card_id=0642&amp;p_lang=en" TargetMode="External"/><Relationship Id="rId1107" Type="http://schemas.openxmlformats.org/officeDocument/2006/relationships/hyperlink" Target="https://www.google.com/search?q=822-06-0+SDS+safety+data+sheet+filetype:pdf" TargetMode="External"/><Relationship Id="rId1521" Type="http://schemas.openxmlformats.org/officeDocument/2006/relationships/hyperlink" Target="https://chemicalsafety.ilo.org/dyn/icsc/showcard.display?p_card_id=0383&amp;p_lang=en" TargetMode="External"/><Relationship Id="rId4677" Type="http://schemas.openxmlformats.org/officeDocument/2006/relationships/hyperlink" Target="https://chemicalsafety.ilo.org/dyn/icsc/showcard.display?p_card_id=1212&amp;p_lang=en" TargetMode="External"/><Relationship Id="rId5728" Type="http://schemas.openxmlformats.org/officeDocument/2006/relationships/hyperlink" Target="https://chem.echa.europa.eu/substance-search?searchText=124-40-3" TargetMode="External"/><Relationship Id="rId3279" Type="http://schemas.openxmlformats.org/officeDocument/2006/relationships/hyperlink" Target="https://www.google.com/search?q=75-91-2+SDS+safety+data+sheet+filetype:pdf" TargetMode="External"/><Relationship Id="rId3693" Type="http://schemas.openxmlformats.org/officeDocument/2006/relationships/hyperlink" Target="https://chemicalsafety.ilo.org/dyn/icsc/showcard.display?p_card_id=0947&amp;p_lang=en" TargetMode="External"/><Relationship Id="rId2295" Type="http://schemas.openxmlformats.org/officeDocument/2006/relationships/hyperlink" Target="https://www.google.com/search?q=76-03-9+SDS+safety+data+sheet+filetype:pdf" TargetMode="External"/><Relationship Id="rId3346" Type="http://schemas.openxmlformats.org/officeDocument/2006/relationships/hyperlink" Target="https://chemicalsafety.ilo.org/dyn/icsc/showcard.display?p_card_id=0859&amp;p_lang=tr" TargetMode="External"/><Relationship Id="rId4744" Type="http://schemas.openxmlformats.org/officeDocument/2006/relationships/hyperlink" Target="https://chem.echa.europa.eu/substance-search?searchText=100-97-0" TargetMode="External"/><Relationship Id="rId267" Type="http://schemas.openxmlformats.org/officeDocument/2006/relationships/hyperlink" Target="https://www.google.com/search?q=10024-97-2+SDS+safety+data+sheet+filetype:pdf" TargetMode="External"/><Relationship Id="rId3760" Type="http://schemas.openxmlformats.org/officeDocument/2006/relationships/hyperlink" Target="https://chem.echa.europa.eu/substance-search?searchText=64700-56-7" TargetMode="External"/><Relationship Id="rId4811" Type="http://schemas.openxmlformats.org/officeDocument/2006/relationships/hyperlink" Target="https://www.google.com/search?q=111-84-2+SDS+safety+data+sheet+filetype:pdf" TargetMode="External"/><Relationship Id="rId681" Type="http://schemas.openxmlformats.org/officeDocument/2006/relationships/hyperlink" Target="https://chemicalsafety.ilo.org/dyn/icsc/showcard.display?p_card_id=0171&amp;p_lang=en" TargetMode="External"/><Relationship Id="rId2362" Type="http://schemas.openxmlformats.org/officeDocument/2006/relationships/hyperlink" Target="https://chemicalsafety.ilo.org/dyn/icsc/showcard.display?p_card_id=0604&amp;p_lang=tr" TargetMode="External"/><Relationship Id="rId3413" Type="http://schemas.openxmlformats.org/officeDocument/2006/relationships/hyperlink" Target="https://chemicalsafety.ilo.org/dyn/icsc/showcard.display?p_card_id=0877&amp;p_lang=en" TargetMode="External"/><Relationship Id="rId6569" Type="http://schemas.openxmlformats.org/officeDocument/2006/relationships/hyperlink" Target="https://chemicalsafety.ilo.org/dyn/icsc/showcard.display?p_card_id=1713&amp;p_lang=en" TargetMode="External"/><Relationship Id="rId334" Type="http://schemas.openxmlformats.org/officeDocument/2006/relationships/hyperlink" Target="https://chemicalsafety.ilo.org/dyn/icsc/showcard.display?p_card_id=0084&amp;p_lang=tr" TargetMode="External"/><Relationship Id="rId2015" Type="http://schemas.openxmlformats.org/officeDocument/2006/relationships/hyperlink" Target="https://www.google.com/search?q=108-10-1+SDS+safety+data+sheet+filetype:pdf" TargetMode="External"/><Relationship Id="rId5585" Type="http://schemas.openxmlformats.org/officeDocument/2006/relationships/hyperlink" Target="https://chemicalsafety.ilo.org/dyn/icsc/showcard.display?p_card_id=1445&amp;p_lang=en" TargetMode="External"/><Relationship Id="rId6636" Type="http://schemas.openxmlformats.org/officeDocument/2006/relationships/hyperlink" Target="https://chem.echa.europa.eu/substance-search?searchText=78-40-0" TargetMode="External"/><Relationship Id="rId401" Type="http://schemas.openxmlformats.org/officeDocument/2006/relationships/hyperlink" Target="https://chemicalsafety.ilo.org/dyn/icsc/showcard.display?p_card_id=0101&amp;p_lang=en" TargetMode="External"/><Relationship Id="rId1031" Type="http://schemas.openxmlformats.org/officeDocument/2006/relationships/hyperlink" Target="https://www.google.com/search?q=127-19-5+SDS+safety+data+sheet+filetype:pdf" TargetMode="External"/><Relationship Id="rId4187" Type="http://schemas.openxmlformats.org/officeDocument/2006/relationships/hyperlink" Target="https://www.google.com/search?q=105-39-5+SDS+safety+data+sheet+filetype:pdf" TargetMode="External"/><Relationship Id="rId5238" Type="http://schemas.openxmlformats.org/officeDocument/2006/relationships/hyperlink" Target="https://chemicalsafety.ilo.org/dyn/icsc/showcard.display?p_card_id=1356&amp;p_lang=tr" TargetMode="External"/><Relationship Id="rId5652" Type="http://schemas.openxmlformats.org/officeDocument/2006/relationships/hyperlink" Target="https://chem.echa.europa.eu/substance-search?searchText=6864-37-5" TargetMode="External"/><Relationship Id="rId6703" Type="http://schemas.openxmlformats.org/officeDocument/2006/relationships/hyperlink" Target="https://www.google.com/search?q=7803-49-8+SDS+safety+data+sheet+filetype:pdf" TargetMode="External"/><Relationship Id="rId4254" Type="http://schemas.openxmlformats.org/officeDocument/2006/relationships/hyperlink" Target="https://chemicalsafety.ilo.org/dyn/icsc/showcard.display?p_card_id=1099&amp;p_lang=tr" TargetMode="External"/><Relationship Id="rId5305" Type="http://schemas.openxmlformats.org/officeDocument/2006/relationships/hyperlink" Target="https://chemicalsafety.ilo.org/dyn/icsc/showcard.display?p_card_id=1373&amp;p_lang=en" TargetMode="External"/><Relationship Id="rId1848" Type="http://schemas.openxmlformats.org/officeDocument/2006/relationships/hyperlink" Target="https://chem.echa.europa.eu/substance-search?searchText=111-43-3" TargetMode="External"/><Relationship Id="rId3270" Type="http://schemas.openxmlformats.org/officeDocument/2006/relationships/hyperlink" Target="https://chemicalsafety.ilo.org/dyn/icsc/showcard.display?p_card_id=0840&amp;p_lang=tr" TargetMode="External"/><Relationship Id="rId4321" Type="http://schemas.openxmlformats.org/officeDocument/2006/relationships/hyperlink" Target="https://chemicalsafety.ilo.org/dyn/icsc/showcard.display?p_card_id=1118&amp;p_lang=en" TargetMode="External"/><Relationship Id="rId191" Type="http://schemas.openxmlformats.org/officeDocument/2006/relationships/hyperlink" Target="https://www.google.com/search?q=75-71-8+SDS+safety+data+sheet+filetype:pdf" TargetMode="External"/><Relationship Id="rId1915" Type="http://schemas.openxmlformats.org/officeDocument/2006/relationships/hyperlink" Target="https://www.google.com/search?q=64-18-6+SDS+safety+data+sheet+filetype:pdf" TargetMode="External"/><Relationship Id="rId6079" Type="http://schemas.openxmlformats.org/officeDocument/2006/relationships/hyperlink" Target="https://www.google.com/search?q=54839-24-6+SDS+safety+data+sheet+filetype:pdf" TargetMode="External"/><Relationship Id="rId5095" Type="http://schemas.openxmlformats.org/officeDocument/2006/relationships/hyperlink" Target="https://www.google.com/search?q=10124-36-4+SDS+safety+data+sheet+filetype:pdf" TargetMode="External"/><Relationship Id="rId6493" Type="http://schemas.openxmlformats.org/officeDocument/2006/relationships/hyperlink" Target="https://chemicalsafety.ilo.org/dyn/icsc/showcard.display?p_card_id=1689&amp;p_lang=en" TargetMode="External"/><Relationship Id="rId2689" Type="http://schemas.openxmlformats.org/officeDocument/2006/relationships/hyperlink" Target="https://chemicalsafety.ilo.org/dyn/icsc/showcard.display?p_card_id=0692&amp;p_lang=en" TargetMode="External"/><Relationship Id="rId6146" Type="http://schemas.openxmlformats.org/officeDocument/2006/relationships/hyperlink" Target="https://chemicalsafety.ilo.org/dyn/icsc/showcard.display?p_card_id=1591&amp;p_lang=tr" TargetMode="External"/><Relationship Id="rId6560" Type="http://schemas.openxmlformats.org/officeDocument/2006/relationships/hyperlink" Target="https://chem.echa.europa.eu/substance-search?searchText=16721-80-5" TargetMode="External"/><Relationship Id="rId2756" Type="http://schemas.openxmlformats.org/officeDocument/2006/relationships/hyperlink" Target="https://chem.echa.europa.eu/substance-search?searchText=5470-11-1" TargetMode="External"/><Relationship Id="rId3807" Type="http://schemas.openxmlformats.org/officeDocument/2006/relationships/hyperlink" Target="https://www.google.com/search?q=10210-68-1+SDS+safety+data+sheet+filetype:pdf" TargetMode="External"/><Relationship Id="rId5162" Type="http://schemas.openxmlformats.org/officeDocument/2006/relationships/hyperlink" Target="https://chemicalsafety.ilo.org/dyn/icsc/showcard.display?p_card_id=1337&amp;p_lang=tr" TargetMode="External"/><Relationship Id="rId6213" Type="http://schemas.openxmlformats.org/officeDocument/2006/relationships/hyperlink" Target="https://chemicalsafety.ilo.org/dyn/icsc/showcard.display?p_card_id=1608&amp;p_lang=en" TargetMode="External"/><Relationship Id="rId728" Type="http://schemas.openxmlformats.org/officeDocument/2006/relationships/hyperlink" Target="https://chem.echa.europa.eu/substance-search?searchText=17557-23-2" TargetMode="External"/><Relationship Id="rId1358" Type="http://schemas.openxmlformats.org/officeDocument/2006/relationships/hyperlink" Target="https://chemicalsafety.ilo.org/dyn/icsc/showcard.display?p_card_id=0341&amp;p_lang=tr" TargetMode="External"/><Relationship Id="rId1772" Type="http://schemas.openxmlformats.org/officeDocument/2006/relationships/hyperlink" Target="https://chem.echa.europa.eu/substance-search?searchText=120-55-8" TargetMode="External"/><Relationship Id="rId2409" Type="http://schemas.openxmlformats.org/officeDocument/2006/relationships/hyperlink" Target="https://chemicalsafety.ilo.org/dyn/icsc/showcard.display?p_card_id=0617&amp;p_lang=en" TargetMode="External"/><Relationship Id="rId5979" Type="http://schemas.openxmlformats.org/officeDocument/2006/relationships/hyperlink" Target="https://www.google.com/search?q=88-18-6+SDS+safety+data+sheet+filetype:pdf" TargetMode="External"/><Relationship Id="rId64" Type="http://schemas.openxmlformats.org/officeDocument/2006/relationships/hyperlink" Target="https://chem.echa.europa.eu/substance-search?searchText=100-44-7" TargetMode="External"/><Relationship Id="rId1425" Type="http://schemas.openxmlformats.org/officeDocument/2006/relationships/hyperlink" Target="https://chemicalsafety.ilo.org/dyn/icsc/showcard.display?p_card_id=0358&amp;p_lang=en" TargetMode="External"/><Relationship Id="rId2823" Type="http://schemas.openxmlformats.org/officeDocument/2006/relationships/hyperlink" Target="https://www.google.com/search?q=602-01-7+SDS+safety+data+sheet+filetype:pdf" TargetMode="External"/><Relationship Id="rId4995" Type="http://schemas.openxmlformats.org/officeDocument/2006/relationships/hyperlink" Target="https://www.google.com/search?q=112-35-6+SDS+safety+data+sheet+filetype:pdf" TargetMode="External"/><Relationship Id="rId2199" Type="http://schemas.openxmlformats.org/officeDocument/2006/relationships/hyperlink" Target="https://www.google.com/search?q=506-93-4+SDS+safety+data+sheet+filetype:pdf" TargetMode="External"/><Relationship Id="rId3597" Type="http://schemas.openxmlformats.org/officeDocument/2006/relationships/hyperlink" Target="https://chemicalsafety.ilo.org/dyn/icsc/showcard.display?p_card_id=0923&amp;p_lang=en" TargetMode="External"/><Relationship Id="rId4648" Type="http://schemas.openxmlformats.org/officeDocument/2006/relationships/hyperlink" Target="https://chem.echa.europa.eu/substance-search?searchText=102-76-1" TargetMode="External"/><Relationship Id="rId6070" Type="http://schemas.openxmlformats.org/officeDocument/2006/relationships/hyperlink" Target="https://chemicalsafety.ilo.org/dyn/icsc/showcard.display?p_card_id=1572&amp;p_lang=tr" TargetMode="External"/><Relationship Id="rId3664" Type="http://schemas.openxmlformats.org/officeDocument/2006/relationships/hyperlink" Target="https://chem.echa.europa.eu/substance-search?searchText=11097-69-1" TargetMode="External"/><Relationship Id="rId4715" Type="http://schemas.openxmlformats.org/officeDocument/2006/relationships/hyperlink" Target="https://www.google.com/search?q=6533-73-9+SDS+safety+data+sheet+filetype:pdf" TargetMode="External"/><Relationship Id="rId585" Type="http://schemas.openxmlformats.org/officeDocument/2006/relationships/hyperlink" Target="https://chemicalsafety.ilo.org/dyn/icsc/showcard.display?p_card_id=0147&amp;p_lang=en" TargetMode="External"/><Relationship Id="rId2266" Type="http://schemas.openxmlformats.org/officeDocument/2006/relationships/hyperlink" Target="https://chemicalsafety.ilo.org/dyn/icsc/showcard.display?p_card_id=0578&amp;p_lang=tr" TargetMode="External"/><Relationship Id="rId2680" Type="http://schemas.openxmlformats.org/officeDocument/2006/relationships/hyperlink" Target="https://chem.echa.europa.eu/substance-search?searchText=50-18-0" TargetMode="External"/><Relationship Id="rId3317" Type="http://schemas.openxmlformats.org/officeDocument/2006/relationships/hyperlink" Target="https://chemicalsafety.ilo.org/dyn/icsc/showcard.display?p_card_id=0852&amp;p_lang=en" TargetMode="External"/><Relationship Id="rId3731" Type="http://schemas.openxmlformats.org/officeDocument/2006/relationships/hyperlink" Target="https://www.google.com/search?q=21651-19-4+SDS+safety+data+sheet+filetype:pdf" TargetMode="External"/><Relationship Id="rId238" Type="http://schemas.openxmlformats.org/officeDocument/2006/relationships/hyperlink" Target="https://chemicalsafety.ilo.org/dyn/icsc/showcard.display?p_card_id=0060&amp;p_lang=tr" TargetMode="External"/><Relationship Id="rId652" Type="http://schemas.openxmlformats.org/officeDocument/2006/relationships/hyperlink" Target="https://chem.echa.europa.eu/substance-search?searchText=7647-01-0" TargetMode="External"/><Relationship Id="rId1282" Type="http://schemas.openxmlformats.org/officeDocument/2006/relationships/hyperlink" Target="https://chemicalsafety.ilo.org/dyn/icsc/showcard.display?p_card_id=0322&amp;p_lang=tr" TargetMode="External"/><Relationship Id="rId2333" Type="http://schemas.openxmlformats.org/officeDocument/2006/relationships/hyperlink" Target="https://chemicalsafety.ilo.org/dyn/icsc/showcard.display?p_card_id=0596&amp;p_lang=en" TargetMode="External"/><Relationship Id="rId5489" Type="http://schemas.openxmlformats.org/officeDocument/2006/relationships/hyperlink" Target="https://chemicalsafety.ilo.org/dyn/icsc/showcard.display?p_card_id=1421&amp;p_lang=en" TargetMode="External"/><Relationship Id="rId305" Type="http://schemas.openxmlformats.org/officeDocument/2006/relationships/hyperlink" Target="https://chemicalsafety.ilo.org/dyn/icsc/showcard.display?p_card_id=0077&amp;p_lang=en" TargetMode="External"/><Relationship Id="rId2400" Type="http://schemas.openxmlformats.org/officeDocument/2006/relationships/hyperlink" Target="https://chem.echa.europa.eu/substance-search?searchText=10361-37-2" TargetMode="External"/><Relationship Id="rId5556" Type="http://schemas.openxmlformats.org/officeDocument/2006/relationships/hyperlink" Target="https://chem.echa.europa.eu/substance-search?searchText=57041-67-5" TargetMode="External"/><Relationship Id="rId6607" Type="http://schemas.openxmlformats.org/officeDocument/2006/relationships/hyperlink" Target="https://www.google.com/search?q=504-60-9+SDS+safety+data+sheet+filetype:pdf" TargetMode="External"/><Relationship Id="rId1002" Type="http://schemas.openxmlformats.org/officeDocument/2006/relationships/hyperlink" Target="https://chemicalsafety.ilo.org/dyn/icsc/showcard.display?p_card_id=0252&amp;p_lang=tr" TargetMode="External"/><Relationship Id="rId4158" Type="http://schemas.openxmlformats.org/officeDocument/2006/relationships/hyperlink" Target="https://chemicalsafety.ilo.org/dyn/icsc/showcard.display?p_card_id=1073&amp;p_lang=tr" TargetMode="External"/><Relationship Id="rId5209" Type="http://schemas.openxmlformats.org/officeDocument/2006/relationships/hyperlink" Target="https://chemicalsafety.ilo.org/dyn/icsc/showcard.display?p_card_id=1349&amp;p_lang=en" TargetMode="External"/><Relationship Id="rId5970" Type="http://schemas.openxmlformats.org/officeDocument/2006/relationships/hyperlink" Target="https://chemicalsafety.ilo.org/dyn/icsc/showcard.display?p_card_id=1547&amp;p_lang=tr" TargetMode="External"/><Relationship Id="rId3174" Type="http://schemas.openxmlformats.org/officeDocument/2006/relationships/hyperlink" Target="https://chemicalsafety.ilo.org/dyn/icsc/showcard.display?p_card_id=0814&amp;p_lang=tr" TargetMode="External"/><Relationship Id="rId4572" Type="http://schemas.openxmlformats.org/officeDocument/2006/relationships/hyperlink" Target="https://chem.echa.europa.eu/substance-search?searchText=74-31-7" TargetMode="External"/><Relationship Id="rId5623" Type="http://schemas.openxmlformats.org/officeDocument/2006/relationships/hyperlink" Target="https://www.google.com/search?q=83-88-5+SDS+safety+data+sheet+filetype:pdf" TargetMode="External"/><Relationship Id="rId1819" Type="http://schemas.openxmlformats.org/officeDocument/2006/relationships/hyperlink" Target="https://www.google.com/search?q=528-29-0+SDS+safety+data+sheet+filetype:pdf" TargetMode="External"/><Relationship Id="rId4225" Type="http://schemas.openxmlformats.org/officeDocument/2006/relationships/hyperlink" Target="https://chemicalsafety.ilo.org/dyn/icsc/showcard.display?p_card_id=1091&amp;p_lang=en" TargetMode="External"/><Relationship Id="rId2190" Type="http://schemas.openxmlformats.org/officeDocument/2006/relationships/hyperlink" Target="https://chemicalsafety.ilo.org/dyn/icsc/showcard.display?p_card_id=0559&amp;p_lang=tr" TargetMode="External"/><Relationship Id="rId3241" Type="http://schemas.openxmlformats.org/officeDocument/2006/relationships/hyperlink" Target="https://chemicalsafety.ilo.org/dyn/icsc/showcard.display?p_card_id=0832&amp;p_lang=en" TargetMode="External"/><Relationship Id="rId6397" Type="http://schemas.openxmlformats.org/officeDocument/2006/relationships/hyperlink" Target="https://chemicalsafety.ilo.org/dyn/icsc/showcard.display?p_card_id=1665&amp;p_lang=en" TargetMode="External"/><Relationship Id="rId162" Type="http://schemas.openxmlformats.org/officeDocument/2006/relationships/hyperlink" Target="https://chemicalsafety.ilo.org/dyn/icsc/showcard.display?p_card_id=0041&amp;p_lang=tr" TargetMode="External"/><Relationship Id="rId6464" Type="http://schemas.openxmlformats.org/officeDocument/2006/relationships/hyperlink" Target="https://chem.echa.europa.eu/substance-search?searchText=54593-83-8" TargetMode="External"/><Relationship Id="rId979" Type="http://schemas.openxmlformats.org/officeDocument/2006/relationships/hyperlink" Target="https://www.google.com/search?q=52315-07-8+SDS+safety+data+sheet+filetype:pdf" TargetMode="External"/><Relationship Id="rId5066" Type="http://schemas.openxmlformats.org/officeDocument/2006/relationships/hyperlink" Target="https://chemicalsafety.ilo.org/dyn/icsc/showcard.display?p_card_id=1311&amp;p_lang=tr" TargetMode="External"/><Relationship Id="rId5480" Type="http://schemas.openxmlformats.org/officeDocument/2006/relationships/hyperlink" Target="https://chem.echa.europa.eu/substance-search?searchText=102-81-8" TargetMode="External"/><Relationship Id="rId6117" Type="http://schemas.openxmlformats.org/officeDocument/2006/relationships/hyperlink" Target="https://chemicalsafety.ilo.org/dyn/icsc/showcard.display?p_card_id=1584&amp;p_lang=en" TargetMode="External"/><Relationship Id="rId6531" Type="http://schemas.openxmlformats.org/officeDocument/2006/relationships/hyperlink" Target="https://www.google.com/search?q=98-92-0+SDS+safety+data+sheet+filetype:pdf" TargetMode="External"/><Relationship Id="rId4082" Type="http://schemas.openxmlformats.org/officeDocument/2006/relationships/hyperlink" Target="https://chemicalsafety.ilo.org/dyn/icsc/showcard.display?p_card_id=1051&amp;p_lang=tr" TargetMode="External"/><Relationship Id="rId5133" Type="http://schemas.openxmlformats.org/officeDocument/2006/relationships/hyperlink" Target="https://chemicalsafety.ilo.org/dyn/icsc/showcard.display?p_card_id=1330&amp;p_lang=en" TargetMode="External"/><Relationship Id="rId1676" Type="http://schemas.openxmlformats.org/officeDocument/2006/relationships/hyperlink" Target="https://chem.echa.europa.eu/substance-search?searchText=107-93-7" TargetMode="External"/><Relationship Id="rId2727" Type="http://schemas.openxmlformats.org/officeDocument/2006/relationships/hyperlink" Target="https://www.google.com/search?q=7440-44-0+SDS+safety+data+sheet+filetype:pdf" TargetMode="External"/><Relationship Id="rId1329" Type="http://schemas.openxmlformats.org/officeDocument/2006/relationships/hyperlink" Target="https://chemicalsafety.ilo.org/dyn/icsc/showcard.display?p_card_id=0334&amp;p_lang=en" TargetMode="External"/><Relationship Id="rId1743" Type="http://schemas.openxmlformats.org/officeDocument/2006/relationships/hyperlink" Target="https://www.google.com/search?q=591-35-5+SDS+safety+data+sheet+filetype:pdf" TargetMode="External"/><Relationship Id="rId4899" Type="http://schemas.openxmlformats.org/officeDocument/2006/relationships/hyperlink" Target="https://www.google.com/search?q=90035-08-8+SDS+safety+data+sheet+filetype:pdf" TargetMode="External"/><Relationship Id="rId5200" Type="http://schemas.openxmlformats.org/officeDocument/2006/relationships/hyperlink" Target="https://chem.echa.europa.eu/substance-search?searchText=80-43-3" TargetMode="External"/><Relationship Id="rId35" Type="http://schemas.openxmlformats.org/officeDocument/2006/relationships/hyperlink" Target="https://www.google.com/search?q=75-07-0+SDS+safety+data+sheet+filetype:pdf" TargetMode="External"/><Relationship Id="rId1810" Type="http://schemas.openxmlformats.org/officeDocument/2006/relationships/hyperlink" Target="https://chemicalsafety.ilo.org/dyn/icsc/showcard.display?p_card_id=0458&amp;p_lang=tr" TargetMode="External"/><Relationship Id="rId4966" Type="http://schemas.openxmlformats.org/officeDocument/2006/relationships/hyperlink" Target="https://chemicalsafety.ilo.org/dyn/icsc/showcard.display?p_card_id=1284&amp;p_lang=tr" TargetMode="External"/><Relationship Id="rId3568" Type="http://schemas.openxmlformats.org/officeDocument/2006/relationships/hyperlink" Target="https://chem.echa.europa.eu/substance-search?searchText=68-11-1" TargetMode="External"/><Relationship Id="rId3982" Type="http://schemas.openxmlformats.org/officeDocument/2006/relationships/hyperlink" Target="https://chemicalsafety.ilo.org/dyn/icsc/showcard.display?p_card_id=1026&amp;p_lang=tr" TargetMode="External"/><Relationship Id="rId4619" Type="http://schemas.openxmlformats.org/officeDocument/2006/relationships/hyperlink" Target="https://www.google.com/search?q=1333-82-0+SDS+safety+data+sheet+filetype:pdf" TargetMode="External"/><Relationship Id="rId489" Type="http://schemas.openxmlformats.org/officeDocument/2006/relationships/hyperlink" Target="https://chemicalsafety.ilo.org/dyn/icsc/showcard.display?p_card_id=0123&amp;p_lang=en" TargetMode="External"/><Relationship Id="rId2584" Type="http://schemas.openxmlformats.org/officeDocument/2006/relationships/hyperlink" Target="https://chem.echa.europa.eu/substance-search?searchText=506-78-5" TargetMode="External"/><Relationship Id="rId3635" Type="http://schemas.openxmlformats.org/officeDocument/2006/relationships/hyperlink" Target="https://www.google.com/search?q=99-99-0+SDS+safety+data+sheet+filetype:pdf" TargetMode="External"/><Relationship Id="rId6041" Type="http://schemas.openxmlformats.org/officeDocument/2006/relationships/hyperlink" Target="https://chemicalsafety.ilo.org/dyn/icsc/showcard.display?p_card_id=1565&amp;p_lang=en" TargetMode="External"/><Relationship Id="rId556" Type="http://schemas.openxmlformats.org/officeDocument/2006/relationships/hyperlink" Target="https://chem.echa.europa.eu/substance-search?searchText=1918-00-9" TargetMode="External"/><Relationship Id="rId1186" Type="http://schemas.openxmlformats.org/officeDocument/2006/relationships/hyperlink" Target="https://chemicalsafety.ilo.org/dyn/icsc/showcard.display?p_card_id=0298&amp;p_lang=tr" TargetMode="External"/><Relationship Id="rId2237" Type="http://schemas.openxmlformats.org/officeDocument/2006/relationships/hyperlink" Target="https://chemicalsafety.ilo.org/dyn/icsc/showcard.display?p_card_id=0571&amp;p_lang=en" TargetMode="External"/><Relationship Id="rId209" Type="http://schemas.openxmlformats.org/officeDocument/2006/relationships/hyperlink" Target="https://chemicalsafety.ilo.org/dyn/icsc/showcard.display?p_card_id=0053&amp;p_lang=en" TargetMode="External"/><Relationship Id="rId970" Type="http://schemas.openxmlformats.org/officeDocument/2006/relationships/hyperlink" Target="https://chemicalsafety.ilo.org/dyn/icsc/showcard.display?p_card_id=0244&amp;p_lang=tr" TargetMode="External"/><Relationship Id="rId1253" Type="http://schemas.openxmlformats.org/officeDocument/2006/relationships/hyperlink" Target="https://chemicalsafety.ilo.org/dyn/icsc/showcard.display?p_card_id=0315&amp;p_lang=en" TargetMode="External"/><Relationship Id="rId2651" Type="http://schemas.openxmlformats.org/officeDocument/2006/relationships/hyperlink" Target="https://www.google.com/search?q=288-88-0+SDS+safety+data+sheet+filetype:pdf" TargetMode="External"/><Relationship Id="rId3702" Type="http://schemas.openxmlformats.org/officeDocument/2006/relationships/hyperlink" Target="https://chemicalsafety.ilo.org/dyn/icsc/showcard.display?p_card_id=0949&amp;p_lang=tr" TargetMode="External"/><Relationship Id="rId623" Type="http://schemas.openxmlformats.org/officeDocument/2006/relationships/hyperlink" Target="https://www.google.com/search?q=133-07-3+SDS+safety+data+sheet+filetype:pdf" TargetMode="External"/><Relationship Id="rId2304" Type="http://schemas.openxmlformats.org/officeDocument/2006/relationships/hyperlink" Target="https://chem.echa.europa.eu/substance-search?searchText=15950-66-0" TargetMode="External"/><Relationship Id="rId5874" Type="http://schemas.openxmlformats.org/officeDocument/2006/relationships/hyperlink" Target="https://chemicalsafety.ilo.org/dyn/icsc/showcard.display?p_card_id=1522&amp;p_lang=tr" TargetMode="External"/><Relationship Id="rId1320" Type="http://schemas.openxmlformats.org/officeDocument/2006/relationships/hyperlink" Target="https://chem.echa.europa.eu/substance-search?searchText=100-20-9" TargetMode="External"/><Relationship Id="rId4476" Type="http://schemas.openxmlformats.org/officeDocument/2006/relationships/hyperlink" Target="https://chem.echa.europa.eu/substance-search?searchText=504-20-1" TargetMode="External"/><Relationship Id="rId4890" Type="http://schemas.openxmlformats.org/officeDocument/2006/relationships/hyperlink" Target="https://chemicalsafety.ilo.org/dyn/icsc/showcard.display?p_card_id=1265&amp;p_lang=tr" TargetMode="External"/><Relationship Id="rId5527" Type="http://schemas.openxmlformats.org/officeDocument/2006/relationships/hyperlink" Target="https://www.google.com/search?q=64741-97-5+SDS+safety+data+sheet+filetype:pdf" TargetMode="External"/><Relationship Id="rId5941" Type="http://schemas.openxmlformats.org/officeDocument/2006/relationships/hyperlink" Target="https://chemicalsafety.ilo.org/dyn/icsc/showcard.display?p_card_id=1539&amp;p_lang=en" TargetMode="External"/><Relationship Id="rId3078" Type="http://schemas.openxmlformats.org/officeDocument/2006/relationships/hyperlink" Target="https://chemicalsafety.ilo.org/dyn/icsc/showcard.display?p_card_id=0790&amp;p_lang=tr" TargetMode="External"/><Relationship Id="rId3492" Type="http://schemas.openxmlformats.org/officeDocument/2006/relationships/hyperlink" Target="https://chem.echa.europa.eu/substance-search?searchText=87-68-3" TargetMode="External"/><Relationship Id="rId4129" Type="http://schemas.openxmlformats.org/officeDocument/2006/relationships/hyperlink" Target="https://chemicalsafety.ilo.org/dyn/icsc/showcard.display?p_card_id=1064&amp;p_lang=en" TargetMode="External"/><Relationship Id="rId4543" Type="http://schemas.openxmlformats.org/officeDocument/2006/relationships/hyperlink" Target="https://www.google.com/search?q=149-91-7+SDS+safety+data+sheet+filetype:pdf" TargetMode="External"/><Relationship Id="rId2094" Type="http://schemas.openxmlformats.org/officeDocument/2006/relationships/hyperlink" Target="https://chemicalsafety.ilo.org/dyn/icsc/showcard.display?p_card_id=0534&amp;p_lang=tr" TargetMode="External"/><Relationship Id="rId3145" Type="http://schemas.openxmlformats.org/officeDocument/2006/relationships/hyperlink" Target="https://chemicalsafety.ilo.org/dyn/icsc/showcard.display?p_card_id=0807&amp;p_lang=en" TargetMode="External"/><Relationship Id="rId4610" Type="http://schemas.openxmlformats.org/officeDocument/2006/relationships/hyperlink" Target="https://chemicalsafety.ilo.org/dyn/icsc/showcard.display?p_card_id=1192&amp;p_lang=tr" TargetMode="External"/><Relationship Id="rId480" Type="http://schemas.openxmlformats.org/officeDocument/2006/relationships/hyperlink" Target="https://chem.echa.europa.eu/substance-search?searchText=133-06-2" TargetMode="External"/><Relationship Id="rId2161" Type="http://schemas.openxmlformats.org/officeDocument/2006/relationships/hyperlink" Target="https://chemicalsafety.ilo.org/dyn/icsc/showcard.display?p_card_id=0552&amp;p_lang=en" TargetMode="External"/><Relationship Id="rId3212" Type="http://schemas.openxmlformats.org/officeDocument/2006/relationships/hyperlink" Target="https://chem.echa.europa.eu/substance-search?searchText=107-11-9" TargetMode="External"/><Relationship Id="rId6368" Type="http://schemas.openxmlformats.org/officeDocument/2006/relationships/hyperlink" Target="https://chem.echa.europa.eu/substance-search?searchText=1338-24-5" TargetMode="External"/><Relationship Id="rId133" Type="http://schemas.openxmlformats.org/officeDocument/2006/relationships/hyperlink" Target="https://chemicalsafety.ilo.org/dyn/icsc/showcard.display?p_card_id=0034&amp;p_lang=en" TargetMode="External"/><Relationship Id="rId5384" Type="http://schemas.openxmlformats.org/officeDocument/2006/relationships/hyperlink" Target="https://chem.echa.europa.eu/substance-search?searchText=7440-06-4" TargetMode="External"/><Relationship Id="rId6782" Type="http://schemas.openxmlformats.org/officeDocument/2006/relationships/hyperlink" Target="https://chemicalsafety.ilo.org/dyn/icsc/showcard.display?p_card_id=1768&amp;p_lang=tr" TargetMode="External"/><Relationship Id="rId200" Type="http://schemas.openxmlformats.org/officeDocument/2006/relationships/hyperlink" Target="https://chem.echa.europa.eu/substance-search?searchText=76-13-1" TargetMode="External"/><Relationship Id="rId2978" Type="http://schemas.openxmlformats.org/officeDocument/2006/relationships/hyperlink" Target="https://chemicalsafety.ilo.org/dyn/icsc/showcard.display?p_card_id=0765&amp;p_lang=tr" TargetMode="External"/><Relationship Id="rId5037" Type="http://schemas.openxmlformats.org/officeDocument/2006/relationships/hyperlink" Target="https://chemicalsafety.ilo.org/dyn/icsc/showcard.display?p_card_id=1302&amp;p_lang=en" TargetMode="External"/><Relationship Id="rId6435" Type="http://schemas.openxmlformats.org/officeDocument/2006/relationships/hyperlink" Target="https://www.google.com/search?q=83-32-9+SDS+safety+data+sheet+filetype:pdf" TargetMode="External"/><Relationship Id="rId1994" Type="http://schemas.openxmlformats.org/officeDocument/2006/relationships/hyperlink" Target="https://chemicalsafety.ilo.org/dyn/icsc/showcard.display?p_card_id=0505&amp;p_lang=tr" TargetMode="External"/><Relationship Id="rId5451" Type="http://schemas.openxmlformats.org/officeDocument/2006/relationships/hyperlink" Target="https://www.google.com/search?q=99-08-1+SDS+safety+data+sheet+filetype:pdf" TargetMode="External"/><Relationship Id="rId6502" Type="http://schemas.openxmlformats.org/officeDocument/2006/relationships/hyperlink" Target="https://chemicalsafety.ilo.org/dyn/icsc/showcard.display?p_card_id=1696&amp;p_lang=tr" TargetMode="External"/><Relationship Id="rId1647" Type="http://schemas.openxmlformats.org/officeDocument/2006/relationships/hyperlink" Target="https://www.google.com/search?q=97-00-7+SDS+safety+data+sheet+filetype:pdf" TargetMode="External"/><Relationship Id="rId4053" Type="http://schemas.openxmlformats.org/officeDocument/2006/relationships/hyperlink" Target="https://chemicalsafety.ilo.org/dyn/icsc/showcard.display?p_card_id=1044&amp;p_lang=en" TargetMode="External"/><Relationship Id="rId5104" Type="http://schemas.openxmlformats.org/officeDocument/2006/relationships/hyperlink" Target="https://chem.echa.europa.eu/substance-search?searchText=12070-12-1" TargetMode="External"/><Relationship Id="rId1714" Type="http://schemas.openxmlformats.org/officeDocument/2006/relationships/hyperlink" Target="https://chemicalsafety.ilo.org/dyn/icsc/showcard.display?p_card_id=0433&amp;p_lang=tr" TargetMode="External"/><Relationship Id="rId4120" Type="http://schemas.openxmlformats.org/officeDocument/2006/relationships/hyperlink" Target="https://chem.echa.europa.eu/substance-search?searchText=409-21-2" TargetMode="External"/><Relationship Id="rId6292" Type="http://schemas.openxmlformats.org/officeDocument/2006/relationships/hyperlink" Target="https://chem.echa.europa.eu/substance-search?searchText=7789-41-5" TargetMode="External"/><Relationship Id="rId2488" Type="http://schemas.openxmlformats.org/officeDocument/2006/relationships/hyperlink" Target="https://chem.echa.europa.eu/substance-search?searchText=106-88-7" TargetMode="External"/><Relationship Id="rId3886" Type="http://schemas.openxmlformats.org/officeDocument/2006/relationships/hyperlink" Target="https://chemicalsafety.ilo.org/dyn/icsc/showcard.display?p_card_id=1000&amp;p_lang=tr" TargetMode="External"/><Relationship Id="rId4937" Type="http://schemas.openxmlformats.org/officeDocument/2006/relationships/hyperlink" Target="https://chemicalsafety.ilo.org/dyn/icsc/showcard.display?p_card_id=1277&amp;p_lang=en" TargetMode="External"/><Relationship Id="rId3539" Type="http://schemas.openxmlformats.org/officeDocument/2006/relationships/hyperlink" Target="https://www.google.com/search?q=75-31-0+SDS+safety+data+sheet+filetype:pdf" TargetMode="External"/><Relationship Id="rId3953" Type="http://schemas.openxmlformats.org/officeDocument/2006/relationships/hyperlink" Target="https://chemicalsafety.ilo.org/dyn/icsc/showcard.display?p_card_id=1019&amp;p_lang=en" TargetMode="External"/><Relationship Id="rId6012" Type="http://schemas.openxmlformats.org/officeDocument/2006/relationships/hyperlink" Target="https://chem.echa.europa.eu/substance-search?searchText=70-55-3" TargetMode="External"/><Relationship Id="rId874" Type="http://schemas.openxmlformats.org/officeDocument/2006/relationships/hyperlink" Target="https://chemicalsafety.ilo.org/dyn/icsc/showcard.display?p_card_id=0220&amp;p_lang=tr" TargetMode="External"/><Relationship Id="rId2555" Type="http://schemas.openxmlformats.org/officeDocument/2006/relationships/hyperlink" Target="https://www.google.com/search?q=55-38-9+SDS+safety+data+sheet+filetype:pdf" TargetMode="External"/><Relationship Id="rId3606" Type="http://schemas.openxmlformats.org/officeDocument/2006/relationships/hyperlink" Target="https://chemicalsafety.ilo.org/dyn/icsc/showcard.display?p_card_id=0925&amp;p_lang=tr" TargetMode="External"/><Relationship Id="rId527" Type="http://schemas.openxmlformats.org/officeDocument/2006/relationships/hyperlink" Target="https://www.google.com/search?q=75-00-3+SDS+safety+data+sheet+filetype:pdf" TargetMode="External"/><Relationship Id="rId941" Type="http://schemas.openxmlformats.org/officeDocument/2006/relationships/hyperlink" Target="https://chemicalsafety.ilo.org/dyn/icsc/showcard.display?p_card_id=0237&amp;p_lang=en" TargetMode="External"/><Relationship Id="rId1157" Type="http://schemas.openxmlformats.org/officeDocument/2006/relationships/hyperlink" Target="https://chemicalsafety.ilo.org/dyn/icsc/showcard.display?p_card_id=0291&amp;p_lang=en" TargetMode="External"/><Relationship Id="rId1571" Type="http://schemas.openxmlformats.org/officeDocument/2006/relationships/hyperlink" Target="https://www.google.com/search?q=106-98-9+SDS+safety+data+sheet+filetype:pdf" TargetMode="External"/><Relationship Id="rId2208" Type="http://schemas.openxmlformats.org/officeDocument/2006/relationships/hyperlink" Target="https://chem.echa.europa.eu/substance-search?searchText=69-72-7" TargetMode="External"/><Relationship Id="rId2622" Type="http://schemas.openxmlformats.org/officeDocument/2006/relationships/hyperlink" Target="https://chemicalsafety.ilo.org/dyn/icsc/showcard.display?p_card_id=0673&amp;p_lang=tr" TargetMode="External"/><Relationship Id="rId5778" Type="http://schemas.openxmlformats.org/officeDocument/2006/relationships/hyperlink" Target="https://chemicalsafety.ilo.org/dyn/icsc/showcard.display?p_card_id=1498&amp;p_lang=tr" TargetMode="External"/><Relationship Id="rId6829" Type="http://schemas.openxmlformats.org/officeDocument/2006/relationships/hyperlink" Target="https://chemicalsafety.ilo.org/dyn/icsc/showcard.display?p_card_id=1780&amp;p_lang=en" TargetMode="External"/><Relationship Id="rId1224" Type="http://schemas.openxmlformats.org/officeDocument/2006/relationships/hyperlink" Target="https://chem.echa.europa.eu/substance-search?searchText=99-09-2" TargetMode="External"/><Relationship Id="rId4794" Type="http://schemas.openxmlformats.org/officeDocument/2006/relationships/hyperlink" Target="https://chemicalsafety.ilo.org/dyn/icsc/showcard.display?p_card_id=1241&amp;p_lang=tr" TargetMode="External"/><Relationship Id="rId5845" Type="http://schemas.openxmlformats.org/officeDocument/2006/relationships/hyperlink" Target="https://chemicalsafety.ilo.org/dyn/icsc/showcard.display?p_card_id=1515&amp;p_lang=en" TargetMode="External"/><Relationship Id="rId3396" Type="http://schemas.openxmlformats.org/officeDocument/2006/relationships/hyperlink" Target="https://chem.echa.europa.eu/substance-search?searchText=141-66-2" TargetMode="External"/><Relationship Id="rId4447" Type="http://schemas.openxmlformats.org/officeDocument/2006/relationships/hyperlink" Target="https://www.google.com/search?q=142-96-1+SDS+safety+data+sheet+filetype:pdf" TargetMode="External"/><Relationship Id="rId3049" Type="http://schemas.openxmlformats.org/officeDocument/2006/relationships/hyperlink" Target="https://chemicalsafety.ilo.org/dyn/icsc/showcard.display?p_card_id=0783&amp;p_lang=en" TargetMode="External"/><Relationship Id="rId3463" Type="http://schemas.openxmlformats.org/officeDocument/2006/relationships/hyperlink" Target="https://www.google.com/search?q=106-35-4+SDS+safety+data+sheet+filetype:pdf" TargetMode="External"/><Relationship Id="rId4861" Type="http://schemas.openxmlformats.org/officeDocument/2006/relationships/hyperlink" Target="https://chemicalsafety.ilo.org/dyn/icsc/showcard.display?p_card_id=1258&amp;p_lang=en" TargetMode="External"/><Relationship Id="rId5912" Type="http://schemas.openxmlformats.org/officeDocument/2006/relationships/hyperlink" Target="https://chem.echa.europa.eu/substance-search?searchText=1308-38-9" TargetMode="External"/><Relationship Id="rId384" Type="http://schemas.openxmlformats.org/officeDocument/2006/relationships/hyperlink" Target="https://chem.echa.europa.eu/substance-search?searchText=106-92-3" TargetMode="External"/><Relationship Id="rId2065" Type="http://schemas.openxmlformats.org/officeDocument/2006/relationships/hyperlink" Target="https://chemicalsafety.ilo.org/dyn/icsc/showcard.display?p_card_id=0527&amp;p_lang=en" TargetMode="External"/><Relationship Id="rId3116" Type="http://schemas.openxmlformats.org/officeDocument/2006/relationships/hyperlink" Target="https://chem.echa.europa.eu/substance-search?searchText=108-31-6" TargetMode="External"/><Relationship Id="rId4514" Type="http://schemas.openxmlformats.org/officeDocument/2006/relationships/hyperlink" Target="https://chemicalsafety.ilo.org/dyn/icsc/showcard.display?p_card_id=1167&amp;p_lang=tr" TargetMode="External"/><Relationship Id="rId1081" Type="http://schemas.openxmlformats.org/officeDocument/2006/relationships/hyperlink" Target="https://chemicalsafety.ilo.org/dyn/icsc/showcard.display?p_card_id=0272&amp;p_lang=en" TargetMode="External"/><Relationship Id="rId3530" Type="http://schemas.openxmlformats.org/officeDocument/2006/relationships/hyperlink" Target="https://chemicalsafety.ilo.org/dyn/icsc/showcard.display?p_card_id=0906&amp;p_lang=tr" TargetMode="External"/><Relationship Id="rId6686" Type="http://schemas.openxmlformats.org/officeDocument/2006/relationships/hyperlink" Target="https://chemicalsafety.ilo.org/dyn/icsc/showcard.display?p_card_id=1743&amp;p_lang=tr" TargetMode="External"/><Relationship Id="rId451" Type="http://schemas.openxmlformats.org/officeDocument/2006/relationships/hyperlink" Target="https://www.google.com/search?q=78-83-1+SDS+safety+data+sheet+filetype:pdf" TargetMode="External"/><Relationship Id="rId2132" Type="http://schemas.openxmlformats.org/officeDocument/2006/relationships/hyperlink" Target="https://chem.echa.europa.eu/substance-search?searchText=732-11-6" TargetMode="External"/><Relationship Id="rId5288" Type="http://schemas.openxmlformats.org/officeDocument/2006/relationships/hyperlink" Target="https://chem.echa.europa.eu/substance-search?searchText=7789-09-5" TargetMode="External"/><Relationship Id="rId6339" Type="http://schemas.openxmlformats.org/officeDocument/2006/relationships/hyperlink" Target="https://www.google.com/search?q=111-36-4+SDS+safety+data+sheet+filetype:pdf" TargetMode="External"/><Relationship Id="rId6753" Type="http://schemas.openxmlformats.org/officeDocument/2006/relationships/hyperlink" Target="https://chemicalsafety.ilo.org/dyn/icsc/showcard.display?p_card_id=1761&amp;p_lang=en" TargetMode="External"/><Relationship Id="rId104" Type="http://schemas.openxmlformats.org/officeDocument/2006/relationships/hyperlink" Target="https://chem.echa.europa.eu/substance-search?searchText=106-47-8" TargetMode="External"/><Relationship Id="rId1898" Type="http://schemas.openxmlformats.org/officeDocument/2006/relationships/hyperlink" Target="https://chemicalsafety.ilo.org/dyn/icsc/showcard.display?p_card_id=0481&amp;p_lang=tr" TargetMode="External"/><Relationship Id="rId2949" Type="http://schemas.openxmlformats.org/officeDocument/2006/relationships/hyperlink" Target="https://chemicalsafety.ilo.org/dyn/icsc/showcard.display?p_card_id=0758&amp;p_lang=en" TargetMode="External"/><Relationship Id="rId5355" Type="http://schemas.openxmlformats.org/officeDocument/2006/relationships/hyperlink" Target="https://www.google.com/search?q=106-43-4+SDS+safety+data+sheet+filetype:pdf" TargetMode="External"/><Relationship Id="rId6406" Type="http://schemas.openxmlformats.org/officeDocument/2006/relationships/hyperlink" Target="https://chemicalsafety.ilo.org/dyn/icsc/showcard.display?p_card_id=1667&amp;p_lang=tr" TargetMode="External"/><Relationship Id="rId6820" Type="http://schemas.openxmlformats.org/officeDocument/2006/relationships/hyperlink" Target="https://chem.echa.europa.eu/substance-search?searchText=7664-39-3" TargetMode="External"/><Relationship Id="rId4371" Type="http://schemas.openxmlformats.org/officeDocument/2006/relationships/hyperlink" Target="https://www.google.com/search?q=103-71-9+SDS+safety+data+sheet+filetype:pdf" TargetMode="External"/><Relationship Id="rId5008" Type="http://schemas.openxmlformats.org/officeDocument/2006/relationships/hyperlink" Target="https://chem.echa.europa.eu/substance-search?searchText=107-86-8" TargetMode="External"/><Relationship Id="rId5422" Type="http://schemas.openxmlformats.org/officeDocument/2006/relationships/hyperlink" Target="https://chemicalsafety.ilo.org/dyn/icsc/showcard.display?p_card_id=1404&amp;p_lang=tr" TargetMode="External"/><Relationship Id="rId1965" Type="http://schemas.openxmlformats.org/officeDocument/2006/relationships/hyperlink" Target="https://chemicalsafety.ilo.org/dyn/icsc/showcard.display?p_card_id=0498&amp;p_lang=en" TargetMode="External"/><Relationship Id="rId4024" Type="http://schemas.openxmlformats.org/officeDocument/2006/relationships/hyperlink" Target="https://chem.echa.europa.eu/substance-search?searchText=1113-38-8" TargetMode="External"/><Relationship Id="rId1618" Type="http://schemas.openxmlformats.org/officeDocument/2006/relationships/hyperlink" Target="https://chemicalsafety.ilo.org/dyn/icsc/showcard.display?p_card_id=0408&amp;p_lang=tr" TargetMode="External"/><Relationship Id="rId3040" Type="http://schemas.openxmlformats.org/officeDocument/2006/relationships/hyperlink" Target="https://chem.echa.europa.eu/substance-search?searchText=118-75-2" TargetMode="External"/><Relationship Id="rId6196" Type="http://schemas.openxmlformats.org/officeDocument/2006/relationships/hyperlink" Target="https://chem.echa.europa.eu/substance-search?searchText=7784-46-5" TargetMode="External"/><Relationship Id="rId3857" Type="http://schemas.openxmlformats.org/officeDocument/2006/relationships/hyperlink" Target="https://chemicalsafety.ilo.org/dyn/icsc/showcard.display?p_card_id=0990&amp;p_lang=en" TargetMode="External"/><Relationship Id="rId4908" Type="http://schemas.openxmlformats.org/officeDocument/2006/relationships/hyperlink" Target="https://chem.echa.europa.eu/substance-search?searchText=95737-68-1" TargetMode="External"/><Relationship Id="rId6263" Type="http://schemas.openxmlformats.org/officeDocument/2006/relationships/hyperlink" Target="https://www.google.com/search?q=1455-21-6+SDS+safety+data+sheet+filetype:pdf" TargetMode="External"/><Relationship Id="rId778" Type="http://schemas.openxmlformats.org/officeDocument/2006/relationships/hyperlink" Target="https://chemicalsafety.ilo.org/dyn/icsc/showcard.display?p_card_id=0195&amp;p_lang=tr" TargetMode="External"/><Relationship Id="rId2459" Type="http://schemas.openxmlformats.org/officeDocument/2006/relationships/hyperlink" Target="https://www.google.com/search?q=25265-77-4+SDS+safety+data+sheet+filetype:pdf" TargetMode="External"/><Relationship Id="rId2873" Type="http://schemas.openxmlformats.org/officeDocument/2006/relationships/hyperlink" Target="https://chemicalsafety.ilo.org/dyn/icsc/showcard.display?p_card_id=0739&amp;p_lang=en" TargetMode="External"/><Relationship Id="rId3924" Type="http://schemas.openxmlformats.org/officeDocument/2006/relationships/hyperlink" Target="https://chem.echa.europa.eu/substance-search?searchText=7631-95-0" TargetMode="External"/><Relationship Id="rId6330" Type="http://schemas.openxmlformats.org/officeDocument/2006/relationships/hyperlink" Target="https://chemicalsafety.ilo.org/dyn/icsc/showcard.display?p_card_id=1639&amp;p_lang=tr" TargetMode="External"/><Relationship Id="rId845" Type="http://schemas.openxmlformats.org/officeDocument/2006/relationships/hyperlink" Target="https://chemicalsafety.ilo.org/dyn/icsc/showcard.display?p_card_id=0213&amp;p_lang=en" TargetMode="External"/><Relationship Id="rId1475" Type="http://schemas.openxmlformats.org/officeDocument/2006/relationships/hyperlink" Target="https://www.google.com/search?q=15972-60-8+SDS+safety+data+sheet+filetype:pdf" TargetMode="External"/><Relationship Id="rId2526" Type="http://schemas.openxmlformats.org/officeDocument/2006/relationships/hyperlink" Target="https://chemicalsafety.ilo.org/dyn/icsc/showcard.display?p_card_id=0648&amp;p_lang=tr" TargetMode="External"/><Relationship Id="rId1128" Type="http://schemas.openxmlformats.org/officeDocument/2006/relationships/hyperlink" Target="https://chem.echa.europa.eu/substance-search?searchText=7664-39-3" TargetMode="External"/><Relationship Id="rId1542" Type="http://schemas.openxmlformats.org/officeDocument/2006/relationships/hyperlink" Target="https://chemicalsafety.ilo.org/dyn/icsc/showcard.display?p_card_id=0388&amp;p_lang=tr" TargetMode="External"/><Relationship Id="rId2940" Type="http://schemas.openxmlformats.org/officeDocument/2006/relationships/hyperlink" Target="https://chem.echa.europa.eu/substance-search?searchText=124-58-3" TargetMode="External"/><Relationship Id="rId4698" Type="http://schemas.openxmlformats.org/officeDocument/2006/relationships/hyperlink" Target="https://chemicalsafety.ilo.org/dyn/icsc/showcard.display?p_card_id=1217&amp;p_lang=tr" TargetMode="External"/><Relationship Id="rId5749" Type="http://schemas.openxmlformats.org/officeDocument/2006/relationships/hyperlink" Target="https://chemicalsafety.ilo.org/dyn/icsc/showcard.display?p_card_id=1491&amp;p_lang=en" TargetMode="External"/><Relationship Id="rId912" Type="http://schemas.openxmlformats.org/officeDocument/2006/relationships/hyperlink" Target="https://chem.echa.europa.eu/substance-search?searchText=28434-01-7" TargetMode="External"/><Relationship Id="rId4765" Type="http://schemas.openxmlformats.org/officeDocument/2006/relationships/hyperlink" Target="https://chemicalsafety.ilo.org/dyn/icsc/showcard.display?p_card_id=1234&amp;p_lang=en" TargetMode="External"/><Relationship Id="rId5816" Type="http://schemas.openxmlformats.org/officeDocument/2006/relationships/hyperlink" Target="https://chem.echa.europa.eu/substance-search?searchText=57-50-1" TargetMode="External"/><Relationship Id="rId288" Type="http://schemas.openxmlformats.org/officeDocument/2006/relationships/hyperlink" Target="https://chem.echa.europa.eu/substance-search?searchText=7782-49-2" TargetMode="External"/><Relationship Id="rId3367" Type="http://schemas.openxmlformats.org/officeDocument/2006/relationships/hyperlink" Target="https://www.google.com/search?q=50-99-7+SDS+safety+data+sheet+filetype:pdf" TargetMode="External"/><Relationship Id="rId3781" Type="http://schemas.openxmlformats.org/officeDocument/2006/relationships/hyperlink" Target="https://chemicalsafety.ilo.org/dyn/icsc/showcard.display?p_card_id=0969&amp;p_lang=en" TargetMode="External"/><Relationship Id="rId4418" Type="http://schemas.openxmlformats.org/officeDocument/2006/relationships/hyperlink" Target="https://chemicalsafety.ilo.org/dyn/icsc/showcard.display?p_card_id=1143&amp;p_lang=tr" TargetMode="External"/><Relationship Id="rId4832" Type="http://schemas.openxmlformats.org/officeDocument/2006/relationships/hyperlink" Target="https://chem.echa.europa.eu/substance-search?searchText=7783-81-5" TargetMode="External"/><Relationship Id="rId2383" Type="http://schemas.openxmlformats.org/officeDocument/2006/relationships/hyperlink" Target="https://www.google.com/search?q=91-59-8+SDS+safety+data+sheet+filetype:pdf" TargetMode="External"/><Relationship Id="rId3434" Type="http://schemas.openxmlformats.org/officeDocument/2006/relationships/hyperlink" Target="https://chemicalsafety.ilo.org/dyn/icsc/showcard.display?p_card_id=0882&amp;p_lang=tr" TargetMode="External"/><Relationship Id="rId355" Type="http://schemas.openxmlformats.org/officeDocument/2006/relationships/hyperlink" Target="https://www.google.com/search?q=74-86-2+SDS+safety+data+sheet+filetype:pdf" TargetMode="External"/><Relationship Id="rId2036" Type="http://schemas.openxmlformats.org/officeDocument/2006/relationships/hyperlink" Target="https://chem.echa.europa.eu/substance-search?searchText=134-32-7" TargetMode="External"/><Relationship Id="rId2450" Type="http://schemas.openxmlformats.org/officeDocument/2006/relationships/hyperlink" Target="https://chemicalsafety.ilo.org/dyn/icsc/showcard.display?p_card_id=0627&amp;p_lang=tr" TargetMode="External"/><Relationship Id="rId3501" Type="http://schemas.openxmlformats.org/officeDocument/2006/relationships/hyperlink" Target="https://chemicalsafety.ilo.org/dyn/icsc/showcard.display?p_card_id=0899&amp;p_lang=en" TargetMode="External"/><Relationship Id="rId6657" Type="http://schemas.openxmlformats.org/officeDocument/2006/relationships/hyperlink" Target="https://chemicalsafety.ilo.org/dyn/icsc/showcard.display?p_card_id=1736&amp;p_lang=en" TargetMode="External"/><Relationship Id="rId422" Type="http://schemas.openxmlformats.org/officeDocument/2006/relationships/hyperlink" Target="https://chemicalsafety.ilo.org/dyn/icsc/showcard.display?p_card_id=0106&amp;p_lang=tr" TargetMode="External"/><Relationship Id="rId1052" Type="http://schemas.openxmlformats.org/officeDocument/2006/relationships/hyperlink" Target="https://chem.echa.europa.eu/substance-search?searchText=105-74-8" TargetMode="External"/><Relationship Id="rId2103" Type="http://schemas.openxmlformats.org/officeDocument/2006/relationships/hyperlink" Target="https://www.google.com/search?q=584-02-1+SDS+safety+data+sheet+filetype:pdf" TargetMode="External"/><Relationship Id="rId5259" Type="http://schemas.openxmlformats.org/officeDocument/2006/relationships/hyperlink" Target="https://www.google.com/search?q=41394-05-2+SDS+safety+data+sheet+filetype:pdf" TargetMode="External"/><Relationship Id="rId5673" Type="http://schemas.openxmlformats.org/officeDocument/2006/relationships/hyperlink" Target="https://chemicalsafety.ilo.org/dyn/icsc/showcard.display?p_card_id=1470&amp;p_lang=en" TargetMode="External"/><Relationship Id="rId4275" Type="http://schemas.openxmlformats.org/officeDocument/2006/relationships/hyperlink" Target="https://www.google.com/search?q=75-43-4+SDS+safety+data+sheet+filetype:pdf" TargetMode="External"/><Relationship Id="rId5326" Type="http://schemas.openxmlformats.org/officeDocument/2006/relationships/hyperlink" Target="https://chemicalsafety.ilo.org/dyn/icsc/showcard.display?p_card_id=1378&amp;p_lang=tr" TargetMode="External"/><Relationship Id="rId6724" Type="http://schemas.openxmlformats.org/officeDocument/2006/relationships/hyperlink" Target="https://chem.echa.europa.eu/substance-search?searchText=88917-22-0" TargetMode="External"/><Relationship Id="rId1869" Type="http://schemas.openxmlformats.org/officeDocument/2006/relationships/hyperlink" Target="https://chemicalsafety.ilo.org/dyn/icsc/showcard.display?p_card_id=0474&amp;p_lang=en" TargetMode="External"/><Relationship Id="rId3291" Type="http://schemas.openxmlformats.org/officeDocument/2006/relationships/hyperlink" Target="https://www.google.com/search?q=79-04-9+SDS+safety+data+sheet+filetype:pdf" TargetMode="External"/><Relationship Id="rId5740" Type="http://schemas.openxmlformats.org/officeDocument/2006/relationships/hyperlink" Target="https://chem.echa.europa.eu/substance-search?searchText=9002-88-4" TargetMode="External"/><Relationship Id="rId1936" Type="http://schemas.openxmlformats.org/officeDocument/2006/relationships/hyperlink" Target="https://chem.echa.europa.eu/substance-search?searchText=592-41-6" TargetMode="External"/><Relationship Id="rId4342" Type="http://schemas.openxmlformats.org/officeDocument/2006/relationships/hyperlink" Target="https://chemicalsafety.ilo.org/dyn/icsc/showcard.display?p_card_id=1123&amp;p_lang=tr" TargetMode="External"/><Relationship Id="rId3011" Type="http://schemas.openxmlformats.org/officeDocument/2006/relationships/hyperlink" Target="https://www.google.com/search?q=104-15-4+SDS+safety+data+sheet+filetype:pdf" TargetMode="External"/><Relationship Id="rId6167" Type="http://schemas.openxmlformats.org/officeDocument/2006/relationships/hyperlink" Target="https://www.google.com/search?q=7440-25-7+SDS+safety+data+sheet+filetype:pdf" TargetMode="External"/><Relationship Id="rId6581" Type="http://schemas.openxmlformats.org/officeDocument/2006/relationships/hyperlink" Target="https://chemicalsafety.ilo.org/dyn/icsc/showcard.display?p_card_id=1716&amp;p_lang=en" TargetMode="External"/><Relationship Id="rId2777" Type="http://schemas.openxmlformats.org/officeDocument/2006/relationships/hyperlink" Target="https://chemicalsafety.ilo.org/dyn/icsc/showcard.display?p_card_id=0715&amp;p_lang=en" TargetMode="External"/><Relationship Id="rId5183" Type="http://schemas.openxmlformats.org/officeDocument/2006/relationships/hyperlink" Target="https://www.google.com/search?q=25154-55-6+SDS+safety+data+sheet+filetype:pdf" TargetMode="External"/><Relationship Id="rId6234" Type="http://schemas.openxmlformats.org/officeDocument/2006/relationships/hyperlink" Target="https://chemicalsafety.ilo.org/dyn/icsc/showcard.display?p_card_id=1613&amp;p_lang=tr" TargetMode="External"/><Relationship Id="rId749" Type="http://schemas.openxmlformats.org/officeDocument/2006/relationships/hyperlink" Target="https://chemicalsafety.ilo.org/dyn/icsc/showcard.display?p_card_id=0188&amp;p_lang=en" TargetMode="External"/><Relationship Id="rId1379" Type="http://schemas.openxmlformats.org/officeDocument/2006/relationships/hyperlink" Target="https://www.google.com/search?q=109-52-4+SDS+safety+data+sheet+filetype:pdf" TargetMode="External"/><Relationship Id="rId3828" Type="http://schemas.openxmlformats.org/officeDocument/2006/relationships/hyperlink" Target="https://chem.echa.europa.eu/substance-search?searchText=21908-53-2" TargetMode="External"/><Relationship Id="rId5250" Type="http://schemas.openxmlformats.org/officeDocument/2006/relationships/hyperlink" Target="https://chemicalsafety.ilo.org/dyn/icsc/showcard.display?p_card_id=1359&amp;p_lang=tr" TargetMode="External"/><Relationship Id="rId6301" Type="http://schemas.openxmlformats.org/officeDocument/2006/relationships/hyperlink" Target="https://chemicalsafety.ilo.org/dyn/icsc/showcard.display?p_card_id=1632&amp;p_lang=en" TargetMode="External"/><Relationship Id="rId1793" Type="http://schemas.openxmlformats.org/officeDocument/2006/relationships/hyperlink" Target="https://chemicalsafety.ilo.org/dyn/icsc/showcard.display?p_card_id=0454&amp;p_lang=en" TargetMode="External"/><Relationship Id="rId2844" Type="http://schemas.openxmlformats.org/officeDocument/2006/relationships/hyperlink" Target="https://chem.echa.europa.eu/substance-search?searchText=592-27-8" TargetMode="External"/><Relationship Id="rId85" Type="http://schemas.openxmlformats.org/officeDocument/2006/relationships/hyperlink" Target="https://chemicalsafety.ilo.org/dyn/icsc/showcard.display?p_card_id=0022&amp;p_lang=en" TargetMode="External"/><Relationship Id="rId816" Type="http://schemas.openxmlformats.org/officeDocument/2006/relationships/hyperlink" Target="https://chem.echa.europa.eu/substance-search?searchText=1954-28-5" TargetMode="External"/><Relationship Id="rId1446" Type="http://schemas.openxmlformats.org/officeDocument/2006/relationships/hyperlink" Target="https://chemicalsafety.ilo.org/dyn/icsc/showcard.display?p_card_id=0363&amp;p_lang=tr" TargetMode="External"/><Relationship Id="rId1860" Type="http://schemas.openxmlformats.org/officeDocument/2006/relationships/hyperlink" Target="https://chem.echa.europa.eu/substance-search?searchText=1333-86-4" TargetMode="External"/><Relationship Id="rId2911" Type="http://schemas.openxmlformats.org/officeDocument/2006/relationships/hyperlink" Target="https://www.google.com/search?q=30560-19-1+SDS+safety+data+sheet+filetype:pdf" TargetMode="External"/><Relationship Id="rId1513" Type="http://schemas.openxmlformats.org/officeDocument/2006/relationships/hyperlink" Target="https://chemicalsafety.ilo.org/dyn/icsc/showcard.display?p_card_id=0381&amp;p_lang=en" TargetMode="External"/><Relationship Id="rId4669" Type="http://schemas.openxmlformats.org/officeDocument/2006/relationships/hyperlink" Target="https://chemicalsafety.ilo.org/dyn/icsc/showcard.display?p_card_id=1210&amp;p_lang=en" TargetMode="External"/><Relationship Id="rId3685" Type="http://schemas.openxmlformats.org/officeDocument/2006/relationships/hyperlink" Target="https://chemicalsafety.ilo.org/dyn/icsc/showcard.display?p_card_id=0945&amp;p_lang=en" TargetMode="External"/><Relationship Id="rId4736" Type="http://schemas.openxmlformats.org/officeDocument/2006/relationships/hyperlink" Target="https://chem.echa.europa.eu/substance-search?searchText=106-40-1" TargetMode="External"/><Relationship Id="rId6091" Type="http://schemas.openxmlformats.org/officeDocument/2006/relationships/hyperlink" Target="https://www.google.com/search?q=1309-37-1+SDS+safety+data+sheet+filetype:pdf" TargetMode="External"/><Relationship Id="rId2287" Type="http://schemas.openxmlformats.org/officeDocument/2006/relationships/hyperlink" Target="https://www.google.com/search?q=126-73-8+SDS+safety+data+sheet+filetype:pdf" TargetMode="External"/><Relationship Id="rId3338" Type="http://schemas.openxmlformats.org/officeDocument/2006/relationships/hyperlink" Target="https://chemicalsafety.ilo.org/dyn/icsc/showcard.display?p_card_id=0857&amp;p_lang=tr" TargetMode="External"/><Relationship Id="rId3752" Type="http://schemas.openxmlformats.org/officeDocument/2006/relationships/hyperlink" Target="https://chem.echa.europa.eu/substance-search?searchText=78-30-8" TargetMode="External"/><Relationship Id="rId259" Type="http://schemas.openxmlformats.org/officeDocument/2006/relationships/hyperlink" Target="https://www.google.com/search?q=98-95-3+SDS+safety+data+sheet+filetype:pdf" TargetMode="External"/><Relationship Id="rId673" Type="http://schemas.openxmlformats.org/officeDocument/2006/relationships/hyperlink" Target="https://chemicalsafety.ilo.org/dyn/icsc/showcard.display?p_card_id=0169&amp;p_lang=en" TargetMode="External"/><Relationship Id="rId2354" Type="http://schemas.openxmlformats.org/officeDocument/2006/relationships/hyperlink" Target="https://chemicalsafety.ilo.org/dyn/icsc/showcard.display?p_card_id=0602&amp;p_lang=tr" TargetMode="External"/><Relationship Id="rId3405" Type="http://schemas.openxmlformats.org/officeDocument/2006/relationships/hyperlink" Target="https://chemicalsafety.ilo.org/dyn/icsc/showcard.display?p_card_id=0875&amp;p_lang=en" TargetMode="External"/><Relationship Id="rId4803" Type="http://schemas.openxmlformats.org/officeDocument/2006/relationships/hyperlink" Target="https://www.google.com/search?q=16893-85-9+SDS+safety+data+sheet+filetype:pdf" TargetMode="External"/><Relationship Id="rId326" Type="http://schemas.openxmlformats.org/officeDocument/2006/relationships/hyperlink" Target="https://chemicalsafety.ilo.org/dyn/icsc/showcard.display?p_card_id=0082&amp;p_lang=tr" TargetMode="External"/><Relationship Id="rId1370" Type="http://schemas.openxmlformats.org/officeDocument/2006/relationships/hyperlink" Target="https://chemicalsafety.ilo.org/dyn/icsc/showcard.display?p_card_id=0344&amp;p_lang=tr" TargetMode="External"/><Relationship Id="rId2007" Type="http://schemas.openxmlformats.org/officeDocument/2006/relationships/hyperlink" Target="https://www.google.com/search?q=101-14-4+SDS+safety+data+sheet+filetype:pdf" TargetMode="External"/><Relationship Id="rId740" Type="http://schemas.openxmlformats.org/officeDocument/2006/relationships/hyperlink" Target="https://chem.echa.europa.eu/substance-search?searchText=7631-99-4" TargetMode="External"/><Relationship Id="rId1023" Type="http://schemas.openxmlformats.org/officeDocument/2006/relationships/hyperlink" Target="https://www.google.com/search?q=100-37-8+SDS+safety+data+sheet+filetype:pdf" TargetMode="External"/><Relationship Id="rId2421" Type="http://schemas.openxmlformats.org/officeDocument/2006/relationships/hyperlink" Target="https://chemicalsafety.ilo.org/dyn/icsc/showcard.display?p_card_id=0620&amp;p_lang=en" TargetMode="External"/><Relationship Id="rId4179" Type="http://schemas.openxmlformats.org/officeDocument/2006/relationships/hyperlink" Target="https://www.google.com/search?q=123-25-1+SDS+safety+data+sheet+filetype:pdf" TargetMode="External"/><Relationship Id="rId5577" Type="http://schemas.openxmlformats.org/officeDocument/2006/relationships/hyperlink" Target="https://chemicalsafety.ilo.org/dyn/icsc/showcard.display?p_card_id=1443&amp;p_lang=en" TargetMode="External"/><Relationship Id="rId5991" Type="http://schemas.openxmlformats.org/officeDocument/2006/relationships/hyperlink" Target="https://www.google.com/search?q=148-01-6+SDS+safety+data+sheet+filetype:pdf" TargetMode="External"/><Relationship Id="rId6628" Type="http://schemas.openxmlformats.org/officeDocument/2006/relationships/hyperlink" Target="https://chem.echa.europa.eu/substance-search?searchText=118-69-4" TargetMode="External"/><Relationship Id="rId4593" Type="http://schemas.openxmlformats.org/officeDocument/2006/relationships/hyperlink" Target="https://chemicalsafety.ilo.org/dyn/icsc/showcard.display?p_card_id=1188&amp;p_lang=en" TargetMode="External"/><Relationship Id="rId5644" Type="http://schemas.openxmlformats.org/officeDocument/2006/relationships/hyperlink" Target="https://chem.echa.europa.eu/substance-search?searchText=7681-57-4" TargetMode="External"/><Relationship Id="rId3195" Type="http://schemas.openxmlformats.org/officeDocument/2006/relationships/hyperlink" Target="https://www.google.com/search?q=19624-22-7+SDS+safety+data+sheet+filetype:pdf" TargetMode="External"/><Relationship Id="rId4246" Type="http://schemas.openxmlformats.org/officeDocument/2006/relationships/hyperlink" Target="https://chemicalsafety.ilo.org/dyn/icsc/showcard.display?p_card_id=1097&amp;p_lang=tr" TargetMode="External"/><Relationship Id="rId4660" Type="http://schemas.openxmlformats.org/officeDocument/2006/relationships/hyperlink" Target="https://chem.echa.europa.eu/substance-search?searchText=7784-44-3" TargetMode="External"/><Relationship Id="rId5711" Type="http://schemas.openxmlformats.org/officeDocument/2006/relationships/hyperlink" Target="https://www.google.com/search?q=10022-31-8+SDS+safety+data+sheet+filetype:pdf" TargetMode="External"/><Relationship Id="rId3262" Type="http://schemas.openxmlformats.org/officeDocument/2006/relationships/hyperlink" Target="https://chemicalsafety.ilo.org/dyn/icsc/showcard.display?p_card_id=0837&amp;p_lang=tr" TargetMode="External"/><Relationship Id="rId4313" Type="http://schemas.openxmlformats.org/officeDocument/2006/relationships/hyperlink" Target="https://chemicalsafety.ilo.org/dyn/icsc/showcard.display?p_card_id=1116&amp;p_lang=en" TargetMode="External"/><Relationship Id="rId183" Type="http://schemas.openxmlformats.org/officeDocument/2006/relationships/hyperlink" Target="https://www.google.com/search?q=7782-41-4+SDS+safety+data+sheet+filetype:pdf" TargetMode="External"/><Relationship Id="rId1907" Type="http://schemas.openxmlformats.org/officeDocument/2006/relationships/hyperlink" Target="https://www.google.com/search?q=22224-92-6+SDS+safety+data+sheet+filetype:pdf" TargetMode="External"/><Relationship Id="rId6485" Type="http://schemas.openxmlformats.org/officeDocument/2006/relationships/hyperlink" Target="https://chemicalsafety.ilo.org/dyn/icsc/showcard.display?p_card_id=1687&amp;p_lang=en" TargetMode="External"/><Relationship Id="rId250" Type="http://schemas.openxmlformats.org/officeDocument/2006/relationships/hyperlink" Target="https://chemicalsafety.ilo.org/dyn/icsc/showcard.display?p_card_id=0063&amp;p_lang=tr" TargetMode="External"/><Relationship Id="rId5087" Type="http://schemas.openxmlformats.org/officeDocument/2006/relationships/hyperlink" Target="https://www.google.com/search?q=10025-73-7+SDS+safety+data+sheet+filetype:pdf" TargetMode="External"/><Relationship Id="rId6138" Type="http://schemas.openxmlformats.org/officeDocument/2006/relationships/hyperlink" Target="https://chemicalsafety.ilo.org/dyn/icsc/showcard.display?p_card_id=1589&amp;p_lang=tr" TargetMode="External"/><Relationship Id="rId5154" Type="http://schemas.openxmlformats.org/officeDocument/2006/relationships/hyperlink" Target="https://chemicalsafety.ilo.org/dyn/icsc/showcard.display?p_card_id=1335&amp;p_lang=tr" TargetMode="External"/><Relationship Id="rId6552" Type="http://schemas.openxmlformats.org/officeDocument/2006/relationships/hyperlink" Target="https://chem.echa.europa.eu/substance-search?searchText=91-58-7" TargetMode="External"/><Relationship Id="rId1697" Type="http://schemas.openxmlformats.org/officeDocument/2006/relationships/hyperlink" Target="https://chemicalsafety.ilo.org/dyn/icsc/showcard.display?p_card_id=0429&amp;p_lang=en" TargetMode="External"/><Relationship Id="rId2748" Type="http://schemas.openxmlformats.org/officeDocument/2006/relationships/hyperlink" Target="https://chem.echa.europa.eu/substance-search?searchText=6153-56-6" TargetMode="External"/><Relationship Id="rId6205" Type="http://schemas.openxmlformats.org/officeDocument/2006/relationships/hyperlink" Target="https://chemicalsafety.ilo.org/dyn/icsc/showcard.display?p_card_id=1606&amp;p_lang=en" TargetMode="External"/><Relationship Id="rId1764" Type="http://schemas.openxmlformats.org/officeDocument/2006/relationships/hyperlink" Target="https://chem.echa.europa.eu/substance-search?searchText=25340-17-4" TargetMode="External"/><Relationship Id="rId2815" Type="http://schemas.openxmlformats.org/officeDocument/2006/relationships/hyperlink" Target="https://www.google.com/search?q=142-28-9+SDS+safety+data+sheet+filetype:pdf" TargetMode="External"/><Relationship Id="rId4170" Type="http://schemas.openxmlformats.org/officeDocument/2006/relationships/hyperlink" Target="https://chemicalsafety.ilo.org/dyn/icsc/showcard.display?p_card_id=1076&amp;p_lang=tr" TargetMode="External"/><Relationship Id="rId5221" Type="http://schemas.openxmlformats.org/officeDocument/2006/relationships/hyperlink" Target="https://chemicalsafety.ilo.org/dyn/icsc/showcard.display?p_card_id=1352&amp;p_lang=en" TargetMode="External"/><Relationship Id="rId56" Type="http://schemas.openxmlformats.org/officeDocument/2006/relationships/hyperlink" Target="https://chem.echa.europa.eu/substance-search?searchText=12001-29-5" TargetMode="External"/><Relationship Id="rId1417" Type="http://schemas.openxmlformats.org/officeDocument/2006/relationships/hyperlink" Target="https://chemicalsafety.ilo.org/dyn/icsc/showcard.display?p_card_id=0356&amp;p_lang=en" TargetMode="External"/><Relationship Id="rId1831" Type="http://schemas.openxmlformats.org/officeDocument/2006/relationships/hyperlink" Target="https://www.google.com/search?q=51-28-5+SDS+safety+data+sheet+filetype:pdf" TargetMode="External"/><Relationship Id="rId4987" Type="http://schemas.openxmlformats.org/officeDocument/2006/relationships/hyperlink" Target="https://www.google.com/search?q=688-84-6+SDS+safety+data+sheet+filetype:pdf" TargetMode="External"/><Relationship Id="rId3589" Type="http://schemas.openxmlformats.org/officeDocument/2006/relationships/hyperlink" Target="https://chemicalsafety.ilo.org/dyn/icsc/showcard.display?p_card_id=0921&amp;p_lang=en" TargetMode="External"/><Relationship Id="rId6062" Type="http://schemas.openxmlformats.org/officeDocument/2006/relationships/hyperlink" Target="https://chemicalsafety.ilo.org/dyn/icsc/showcard.display?p_card_id=1570&amp;p_lang=tr" TargetMode="External"/><Relationship Id="rId577" Type="http://schemas.openxmlformats.org/officeDocument/2006/relationships/hyperlink" Target="https://chemicalsafety.ilo.org/dyn/icsc/showcard.display?p_card_id=0145&amp;p_lang=en" TargetMode="External"/><Relationship Id="rId2258" Type="http://schemas.openxmlformats.org/officeDocument/2006/relationships/hyperlink" Target="https://chemicalsafety.ilo.org/dyn/icsc/showcard.display?p_card_id=0576&amp;p_lang=tr" TargetMode="External"/><Relationship Id="rId3656" Type="http://schemas.openxmlformats.org/officeDocument/2006/relationships/hyperlink" Target="https://chem.echa.europa.eu/substance-search?searchText=92-84-2" TargetMode="External"/><Relationship Id="rId4707" Type="http://schemas.openxmlformats.org/officeDocument/2006/relationships/hyperlink" Target="https://www.google.com/search?q=6132-04-3+SDS+safety+data+sheet+filetype:pdf" TargetMode="External"/><Relationship Id="rId991" Type="http://schemas.openxmlformats.org/officeDocument/2006/relationships/hyperlink" Target="https://www.google.com/search?q=75-34-3+SDS+safety+data+sheet+filetype:pdf" TargetMode="External"/><Relationship Id="rId2672" Type="http://schemas.openxmlformats.org/officeDocument/2006/relationships/hyperlink" Target="https://chem.echa.europa.eu/substance-search?searchText=75-38-7" TargetMode="External"/><Relationship Id="rId3309" Type="http://schemas.openxmlformats.org/officeDocument/2006/relationships/hyperlink" Target="https://chemicalsafety.ilo.org/dyn/icsc/showcard.display?p_card_id=0850&amp;p_lang=en" TargetMode="External"/><Relationship Id="rId3723" Type="http://schemas.openxmlformats.org/officeDocument/2006/relationships/hyperlink" Target="https://www.google.com/search?q=18282-10-5+SDS+safety+data+sheet+filetype:pdf" TargetMode="External"/><Relationship Id="rId644" Type="http://schemas.openxmlformats.org/officeDocument/2006/relationships/hyperlink" Target="https://chem.echa.europa.eu/substance-search?searchText=70-30-4" TargetMode="External"/><Relationship Id="rId1274" Type="http://schemas.openxmlformats.org/officeDocument/2006/relationships/hyperlink" Target="https://chemicalsafety.ilo.org/dyn/icsc/showcard.display?p_card_id=0320&amp;p_lang=tr" TargetMode="External"/><Relationship Id="rId2325" Type="http://schemas.openxmlformats.org/officeDocument/2006/relationships/hyperlink" Target="https://chemicalsafety.ilo.org/dyn/icsc/showcard.display?p_card_id=0594&amp;p_lang=en" TargetMode="External"/><Relationship Id="rId5895" Type="http://schemas.openxmlformats.org/officeDocument/2006/relationships/hyperlink" Target="https://www.google.com/search?q=119-64-2+SDS+safety+data+sheet+filetype:pdf" TargetMode="External"/><Relationship Id="rId711" Type="http://schemas.openxmlformats.org/officeDocument/2006/relationships/hyperlink" Target="https://www.google.com/search?q=74-89-5+SDS+safety+data+sheet+filetype:pdf" TargetMode="External"/><Relationship Id="rId1341" Type="http://schemas.openxmlformats.org/officeDocument/2006/relationships/hyperlink" Target="https://chemicalsafety.ilo.org/dyn/icsc/showcard.display?p_card_id=0337&amp;p_lang=en" TargetMode="External"/><Relationship Id="rId4497" Type="http://schemas.openxmlformats.org/officeDocument/2006/relationships/hyperlink" Target="https://chemicalsafety.ilo.org/dyn/icsc/showcard.display?p_card_id=1163&amp;p_lang=en" TargetMode="External"/><Relationship Id="rId5548" Type="http://schemas.openxmlformats.org/officeDocument/2006/relationships/hyperlink" Target="https://chem.echa.europa.eu/substance-search?searchText=26675-46-7" TargetMode="External"/><Relationship Id="rId5962" Type="http://schemas.openxmlformats.org/officeDocument/2006/relationships/hyperlink" Target="https://chemicalsafety.ilo.org/dyn/icsc/showcard.display?p_card_id=1545&amp;p_lang=tr" TargetMode="External"/><Relationship Id="rId3099" Type="http://schemas.openxmlformats.org/officeDocument/2006/relationships/hyperlink" Target="https://www.google.com/search?q=319-84-6+SDS+safety+data+sheet+filetype:pdf" TargetMode="External"/><Relationship Id="rId4564" Type="http://schemas.openxmlformats.org/officeDocument/2006/relationships/hyperlink" Target="https://chem.echa.europa.eu/substance-search?searchText=111-14-8" TargetMode="External"/><Relationship Id="rId5615" Type="http://schemas.openxmlformats.org/officeDocument/2006/relationships/hyperlink" Target="https://www.google.com/search?q=8001-79-4+SDS+safety+data+sheet+filetype:pdf" TargetMode="External"/><Relationship Id="rId3166" Type="http://schemas.openxmlformats.org/officeDocument/2006/relationships/hyperlink" Target="https://chemicalsafety.ilo.org/dyn/icsc/showcard.display?p_card_id=0812&amp;p_lang=tr" TargetMode="External"/><Relationship Id="rId3580" Type="http://schemas.openxmlformats.org/officeDocument/2006/relationships/hyperlink" Target="https://chem.echa.europa.eu/substance-search?searchText=5989-27-5" TargetMode="External"/><Relationship Id="rId4217" Type="http://schemas.openxmlformats.org/officeDocument/2006/relationships/hyperlink" Target="https://chemicalsafety.ilo.org/dyn/icsc/showcard.display?p_card_id=1089&amp;p_lang=en" TargetMode="External"/><Relationship Id="rId2182" Type="http://schemas.openxmlformats.org/officeDocument/2006/relationships/hyperlink" Target="https://chemicalsafety.ilo.org/dyn/icsc/showcard.display?p_card_id=0557&amp;p_lang=tr" TargetMode="External"/><Relationship Id="rId3233" Type="http://schemas.openxmlformats.org/officeDocument/2006/relationships/hyperlink" Target="https://chemicalsafety.ilo.org/dyn/icsc/showcard.display?p_card_id=0829&amp;p_lang=en" TargetMode="External"/><Relationship Id="rId4631" Type="http://schemas.openxmlformats.org/officeDocument/2006/relationships/hyperlink" Target="https://www.google.com/search?q=7727-37-9+SDS+safety+data+sheet+filetype:pdf" TargetMode="External"/><Relationship Id="rId6389" Type="http://schemas.openxmlformats.org/officeDocument/2006/relationships/hyperlink" Target="https://chemicalsafety.ilo.org/dyn/icsc/showcard.display?p_card_id=1662&amp;p_lang=en" TargetMode="External"/><Relationship Id="rId154" Type="http://schemas.openxmlformats.org/officeDocument/2006/relationships/hyperlink" Target="https://chemicalsafety.ilo.org/dyn/icsc/showcard.display?p_card_id=0039&amp;p_lang=tr" TargetMode="External"/><Relationship Id="rId2999" Type="http://schemas.openxmlformats.org/officeDocument/2006/relationships/hyperlink" Target="https://www.google.com/search?q=87-66-1+SDS+safety+data+sheet+filetype:pdf" TargetMode="External"/><Relationship Id="rId3300" Type="http://schemas.openxmlformats.org/officeDocument/2006/relationships/hyperlink" Target="https://chem.echa.europa.eu/substance-search?searchText=7440-58-6" TargetMode="External"/><Relationship Id="rId6456" Type="http://schemas.openxmlformats.org/officeDocument/2006/relationships/hyperlink" Target="https://chem.echa.europa.eu/substance-search?searchText=106-91-2" TargetMode="External"/><Relationship Id="rId221" Type="http://schemas.openxmlformats.org/officeDocument/2006/relationships/hyperlink" Target="https://chemicalsafety.ilo.org/dyn/icsc/showcard.display?p_card_id=0056&amp;p_lang=en" TargetMode="External"/><Relationship Id="rId5058" Type="http://schemas.openxmlformats.org/officeDocument/2006/relationships/hyperlink" Target="https://chemicalsafety.ilo.org/dyn/icsc/showcard.display?p_card_id=1309&amp;p_lang=tr" TargetMode="External"/><Relationship Id="rId5472" Type="http://schemas.openxmlformats.org/officeDocument/2006/relationships/hyperlink" Target="https://chem.echa.europa.eu/substance-search?searchText=7758-99-8" TargetMode="External"/><Relationship Id="rId6109" Type="http://schemas.openxmlformats.org/officeDocument/2006/relationships/hyperlink" Target="https://chemicalsafety.ilo.org/dyn/icsc/showcard.display?p_card_id=1582&amp;p_lang=en" TargetMode="External"/><Relationship Id="rId6523" Type="http://schemas.openxmlformats.org/officeDocument/2006/relationships/hyperlink" Target="https://www.google.com/search?q=6683-19-8+SDS+safety+data+sheet+filetype:pdf" TargetMode="External"/><Relationship Id="rId1668" Type="http://schemas.openxmlformats.org/officeDocument/2006/relationships/hyperlink" Target="https://chem.echa.europa.eu/substance-search?searchText=1317-39-1" TargetMode="External"/><Relationship Id="rId2719" Type="http://schemas.openxmlformats.org/officeDocument/2006/relationships/hyperlink" Target="https://www.google.com/search?q=603-35-0+SDS+safety+data+sheet+filetype:pdf" TargetMode="External"/><Relationship Id="rId4074" Type="http://schemas.openxmlformats.org/officeDocument/2006/relationships/hyperlink" Target="https://chemicalsafety.ilo.org/dyn/icsc/showcard.display?p_card_id=1049&amp;p_lang=tr" TargetMode="External"/><Relationship Id="rId5125" Type="http://schemas.openxmlformats.org/officeDocument/2006/relationships/hyperlink" Target="https://chemicalsafety.ilo.org/dyn/icsc/showcard.display?p_card_id=1326&amp;p_lang=en" TargetMode="External"/><Relationship Id="rId3090" Type="http://schemas.openxmlformats.org/officeDocument/2006/relationships/hyperlink" Target="https://chemicalsafety.ilo.org/dyn/icsc/showcard.display?p_card_id=0793&amp;p_lang=tr" TargetMode="External"/><Relationship Id="rId4141" Type="http://schemas.openxmlformats.org/officeDocument/2006/relationships/hyperlink" Target="https://chemicalsafety.ilo.org/dyn/icsc/showcard.display?p_card_id=1068&amp;p_lang=en" TargetMode="External"/><Relationship Id="rId1735" Type="http://schemas.openxmlformats.org/officeDocument/2006/relationships/hyperlink" Target="https://www.google.com/search?q=120-83-2+SDS+safety+data+sheet+filetype:pdf" TargetMode="External"/><Relationship Id="rId27" Type="http://schemas.openxmlformats.org/officeDocument/2006/relationships/hyperlink" Target="https://www.google.com/search?q=75-44-5+SDS+safety+data+sheet+filetype:pdf" TargetMode="External"/><Relationship Id="rId1802" Type="http://schemas.openxmlformats.org/officeDocument/2006/relationships/hyperlink" Target="https://chemicalsafety.ilo.org/dyn/icsc/showcard.display?p_card_id=0456&amp;p_lang=tr" TargetMode="External"/><Relationship Id="rId4958" Type="http://schemas.openxmlformats.org/officeDocument/2006/relationships/hyperlink" Target="https://chemicalsafety.ilo.org/dyn/icsc/showcard.display?p_card_id=1282&amp;p_lang=tr" TargetMode="External"/><Relationship Id="rId3974" Type="http://schemas.openxmlformats.org/officeDocument/2006/relationships/hyperlink" Target="https://chemicalsafety.ilo.org/dyn/icsc/showcard.display?p_card_id=1024&amp;p_lang=tr" TargetMode="External"/><Relationship Id="rId6380" Type="http://schemas.openxmlformats.org/officeDocument/2006/relationships/hyperlink" Target="https://chem.echa.europa.eu/substance-search?searchText=950-37-8" TargetMode="External"/><Relationship Id="rId895" Type="http://schemas.openxmlformats.org/officeDocument/2006/relationships/hyperlink" Target="https://www.google.com/search?q=94-36-0+SDS+safety+data+sheet+filetype:pdf" TargetMode="External"/><Relationship Id="rId2576" Type="http://schemas.openxmlformats.org/officeDocument/2006/relationships/hyperlink" Target="https://chem.echa.europa.eu/substance-search?searchText=107-41-5" TargetMode="External"/><Relationship Id="rId2990" Type="http://schemas.openxmlformats.org/officeDocument/2006/relationships/hyperlink" Target="https://chemicalsafety.ilo.org/dyn/icsc/showcard.display?p_card_id=0768&amp;p_lang=tr" TargetMode="External"/><Relationship Id="rId3627" Type="http://schemas.openxmlformats.org/officeDocument/2006/relationships/hyperlink" Target="https://www.google.com/search?q=10102-44-0+SDS+safety+data+sheet+filetype:pdf" TargetMode="External"/><Relationship Id="rId6033" Type="http://schemas.openxmlformats.org/officeDocument/2006/relationships/hyperlink" Target="https://chemicalsafety.ilo.org/dyn/icsc/showcard.display?p_card_id=1563&amp;p_lang=en" TargetMode="External"/><Relationship Id="rId548" Type="http://schemas.openxmlformats.org/officeDocument/2006/relationships/hyperlink" Target="https://chem.echa.europa.eu/substance-search?searchText=333-41-5" TargetMode="External"/><Relationship Id="rId962" Type="http://schemas.openxmlformats.org/officeDocument/2006/relationships/hyperlink" Target="https://chemicalsafety.ilo.org/dyn/icsc/showcard.display?p_card_id=0242&amp;p_lang=tr" TargetMode="External"/><Relationship Id="rId1178" Type="http://schemas.openxmlformats.org/officeDocument/2006/relationships/hyperlink" Target="https://chemicalsafety.ilo.org/dyn/icsc/showcard.display?p_card_id=0296&amp;p_lang=tr" TargetMode="External"/><Relationship Id="rId1592" Type="http://schemas.openxmlformats.org/officeDocument/2006/relationships/hyperlink" Target="https://chem.echa.europa.eu/substance-search?searchText=13952-84-6" TargetMode="External"/><Relationship Id="rId2229" Type="http://schemas.openxmlformats.org/officeDocument/2006/relationships/hyperlink" Target="https://chemicalsafety.ilo.org/dyn/icsc/showcard.display?p_card_id=0569&amp;p_lang=en" TargetMode="External"/><Relationship Id="rId2643" Type="http://schemas.openxmlformats.org/officeDocument/2006/relationships/hyperlink" Target="https://www.google.com/search?q=58-55-9+SDS+safety+data+sheet+filetype:pdf" TargetMode="External"/><Relationship Id="rId5799" Type="http://schemas.openxmlformats.org/officeDocument/2006/relationships/hyperlink" Target="https://www.google.com/search?q=120068-37-3+SDS+safety+data+sheet+filetype:pdf" TargetMode="External"/><Relationship Id="rId6100" Type="http://schemas.openxmlformats.org/officeDocument/2006/relationships/hyperlink" Target="https://chem.echa.europa.eu/substance-search?searchText=117-79-3" TargetMode="External"/><Relationship Id="rId615" Type="http://schemas.openxmlformats.org/officeDocument/2006/relationships/hyperlink" Target="https://www.google.com/search?q=7440-37-1+SDS+safety+data+sheet+filetype:pdf" TargetMode="External"/><Relationship Id="rId1245" Type="http://schemas.openxmlformats.org/officeDocument/2006/relationships/hyperlink" Target="https://chemicalsafety.ilo.org/dyn/icsc/showcard.display?p_card_id=0313&amp;p_lang=en" TargetMode="External"/><Relationship Id="rId1312" Type="http://schemas.openxmlformats.org/officeDocument/2006/relationships/hyperlink" Target="https://chem.echa.europa.eu/substance-search?searchText=14807-96-6" TargetMode="External"/><Relationship Id="rId2710" Type="http://schemas.openxmlformats.org/officeDocument/2006/relationships/hyperlink" Target="https://chemicalsafety.ilo.org/dyn/icsc/showcard.display?p_card_id=0698&amp;p_lang=tr" TargetMode="External"/><Relationship Id="rId4468" Type="http://schemas.openxmlformats.org/officeDocument/2006/relationships/hyperlink" Target="https://chem.echa.europa.eu/substance-search?searchText=108-67-8" TargetMode="External"/><Relationship Id="rId5866" Type="http://schemas.openxmlformats.org/officeDocument/2006/relationships/hyperlink" Target="https://chemicalsafety.ilo.org/dyn/icsc/showcard.display?p_card_id=1520&amp;p_lang=tr" TargetMode="External"/><Relationship Id="rId4882" Type="http://schemas.openxmlformats.org/officeDocument/2006/relationships/hyperlink" Target="https://chemicalsafety.ilo.org/dyn/icsc/showcard.display?p_card_id=1263&amp;p_lang=tr" TargetMode="External"/><Relationship Id="rId5519" Type="http://schemas.openxmlformats.org/officeDocument/2006/relationships/hyperlink" Target="https://www.google.com/search?q=6032-29-7+SDS+safety+data+sheet+filetype:pdf" TargetMode="External"/><Relationship Id="rId5933" Type="http://schemas.openxmlformats.org/officeDocument/2006/relationships/hyperlink" Target="https://chemicalsafety.ilo.org/dyn/icsc/showcard.display?p_card_id=1537&amp;p_lang=en" TargetMode="External"/><Relationship Id="rId2086" Type="http://schemas.openxmlformats.org/officeDocument/2006/relationships/hyperlink" Target="https://chemicalsafety.ilo.org/dyn/icsc/showcard.display?p_card_id=0532&amp;p_lang=tr" TargetMode="External"/><Relationship Id="rId3484" Type="http://schemas.openxmlformats.org/officeDocument/2006/relationships/hyperlink" Target="https://chem.echa.europa.eu/substance-search?searchText=50-01-1" TargetMode="External"/><Relationship Id="rId4535" Type="http://schemas.openxmlformats.org/officeDocument/2006/relationships/hyperlink" Target="https://www.google.com/search?q=1323-65-5+SDS+safety+data+sheet+filetype:pdf" TargetMode="External"/><Relationship Id="rId3137" Type="http://schemas.openxmlformats.org/officeDocument/2006/relationships/hyperlink" Target="https://chemicalsafety.ilo.org/dyn/icsc/showcard.display?p_card_id=0805&amp;p_lang=en" TargetMode="External"/><Relationship Id="rId3551" Type="http://schemas.openxmlformats.org/officeDocument/2006/relationships/hyperlink" Target="https://www.google.com/search?q=7784-40-9+SDS+safety+data+sheet+filetype:pdf" TargetMode="External"/><Relationship Id="rId4602" Type="http://schemas.openxmlformats.org/officeDocument/2006/relationships/hyperlink" Target="https://chemicalsafety.ilo.org/dyn/icsc/showcard.display?p_card_id=1190&amp;p_lang=tr" TargetMode="External"/><Relationship Id="rId472" Type="http://schemas.openxmlformats.org/officeDocument/2006/relationships/hyperlink" Target="https://chem.echa.europa.eu/substance-search?searchText=105-60-2" TargetMode="External"/><Relationship Id="rId2153" Type="http://schemas.openxmlformats.org/officeDocument/2006/relationships/hyperlink" Target="https://chemicalsafety.ilo.org/dyn/icsc/showcard.display?p_card_id=0550&amp;p_lang=en" TargetMode="External"/><Relationship Id="rId3204" Type="http://schemas.openxmlformats.org/officeDocument/2006/relationships/hyperlink" Target="https://chem.echa.europa.eu/substance-search?searchText=81-81-2" TargetMode="External"/><Relationship Id="rId6774" Type="http://schemas.openxmlformats.org/officeDocument/2006/relationships/hyperlink" Target="https://chemicalsafety.ilo.org/dyn/icsc/showcard.display?p_card_id=1766&amp;p_lang=tr" TargetMode="External"/><Relationship Id="rId125" Type="http://schemas.openxmlformats.org/officeDocument/2006/relationships/hyperlink" Target="https://chemicalsafety.ilo.org/dyn/icsc/showcard.display?p_card_id=0032&amp;p_lang=en" TargetMode="External"/><Relationship Id="rId2220" Type="http://schemas.openxmlformats.org/officeDocument/2006/relationships/hyperlink" Target="https://chem.echa.europa.eu/substance-search?searchText=1302-42-7" TargetMode="External"/><Relationship Id="rId5376" Type="http://schemas.openxmlformats.org/officeDocument/2006/relationships/hyperlink" Target="https://chem.echa.europa.eu/substance-search?searchText=541-85-5" TargetMode="External"/><Relationship Id="rId5790" Type="http://schemas.openxmlformats.org/officeDocument/2006/relationships/hyperlink" Target="https://chemicalsafety.ilo.org/dyn/icsc/showcard.display?p_card_id=1501&amp;p_lang=tr" TargetMode="External"/><Relationship Id="rId6427" Type="http://schemas.openxmlformats.org/officeDocument/2006/relationships/hyperlink" Target="https://www.google.com/search?q=218-01-9+SDS+safety+data+sheet+filetype:pdf" TargetMode="External"/><Relationship Id="rId4392" Type="http://schemas.openxmlformats.org/officeDocument/2006/relationships/hyperlink" Target="https://chem.echa.europa.eu/substance-search?searchText=7775-27-1" TargetMode="External"/><Relationship Id="rId5029" Type="http://schemas.openxmlformats.org/officeDocument/2006/relationships/hyperlink" Target="https://chemicalsafety.ilo.org/dyn/icsc/showcard.display?p_card_id=1300&amp;p_lang=en" TargetMode="External"/><Relationship Id="rId5443" Type="http://schemas.openxmlformats.org/officeDocument/2006/relationships/hyperlink" Target="https://www.google.com/search?q=7719-09-7+SDS+safety+data+sheet+filetype:pdf" TargetMode="External"/><Relationship Id="rId6841" Type="http://schemas.openxmlformats.org/officeDocument/2006/relationships/hyperlink" Target="https://chemicalsafety.ilo.org/dyn/icsc/showcard.display?p_card_id=1784&amp;p_lang=en" TargetMode="External"/><Relationship Id="rId1986" Type="http://schemas.openxmlformats.org/officeDocument/2006/relationships/hyperlink" Target="https://chemicalsafety.ilo.org/dyn/icsc/showcard.display?p_card_id=0503&amp;p_lang=tr" TargetMode="External"/><Relationship Id="rId4045" Type="http://schemas.openxmlformats.org/officeDocument/2006/relationships/hyperlink" Target="https://chemicalsafety.ilo.org/dyn/icsc/showcard.display?p_card_id=1042&amp;p_lang=en" TargetMode="External"/><Relationship Id="rId1639" Type="http://schemas.openxmlformats.org/officeDocument/2006/relationships/hyperlink" Target="https://www.google.com/search?q=7664-41-7+SDS+safety+data+sheet+filetype:pdf" TargetMode="External"/><Relationship Id="rId3061" Type="http://schemas.openxmlformats.org/officeDocument/2006/relationships/hyperlink" Target="https://chemicalsafety.ilo.org/dyn/icsc/showcard.display?p_card_id=0786&amp;p_lang=en" TargetMode="External"/><Relationship Id="rId5510" Type="http://schemas.openxmlformats.org/officeDocument/2006/relationships/hyperlink" Target="https://chemicalsafety.ilo.org/dyn/icsc/showcard.display?p_card_id=1426&amp;p_lang=tr" TargetMode="External"/><Relationship Id="rId1706" Type="http://schemas.openxmlformats.org/officeDocument/2006/relationships/hyperlink" Target="https://chemicalsafety.ilo.org/dyn/icsc/showcard.display?p_card_id=0431&amp;p_lang=tr" TargetMode="External"/><Relationship Id="rId4112" Type="http://schemas.openxmlformats.org/officeDocument/2006/relationships/hyperlink" Target="https://chem.echa.europa.eu/substance-search?searchText=2234-13-1" TargetMode="External"/><Relationship Id="rId3878" Type="http://schemas.openxmlformats.org/officeDocument/2006/relationships/hyperlink" Target="https://chemicalsafety.ilo.org/dyn/icsc/showcard.display?p_card_id=0997&amp;p_lang=tr" TargetMode="External"/><Relationship Id="rId4929" Type="http://schemas.openxmlformats.org/officeDocument/2006/relationships/hyperlink" Target="https://chemicalsafety.ilo.org/dyn/icsc/showcard.display?p_card_id=1275&amp;p_lang=en" TargetMode="External"/><Relationship Id="rId6284" Type="http://schemas.openxmlformats.org/officeDocument/2006/relationships/hyperlink" Target="https://chem.echa.europa.eu/substance-search?searchText=98-11-3" TargetMode="External"/><Relationship Id="rId799" Type="http://schemas.openxmlformats.org/officeDocument/2006/relationships/hyperlink" Target="https://www.google.com/search?q=75-74-1+SDS+safety+data+sheet+filetype:pdf" TargetMode="External"/><Relationship Id="rId2894" Type="http://schemas.openxmlformats.org/officeDocument/2006/relationships/hyperlink" Target="https://chemicalsafety.ilo.org/dyn/icsc/showcard.display?p_card_id=0744&amp;p_lang=tr" TargetMode="External"/><Relationship Id="rId6351" Type="http://schemas.openxmlformats.org/officeDocument/2006/relationships/hyperlink" Target="https://www.google.com/search?q=26590-20-5+SDS+safety+data+sheet+filetype:pdf" TargetMode="External"/><Relationship Id="rId866" Type="http://schemas.openxmlformats.org/officeDocument/2006/relationships/hyperlink" Target="https://chemicalsafety.ilo.org/dyn/icsc/showcard.display?p_card_id=0218&amp;p_lang=tr" TargetMode="External"/><Relationship Id="rId1496" Type="http://schemas.openxmlformats.org/officeDocument/2006/relationships/hyperlink" Target="https://chem.echa.europa.eu/substance-search?searchText=60-80-0" TargetMode="External"/><Relationship Id="rId2547" Type="http://schemas.openxmlformats.org/officeDocument/2006/relationships/hyperlink" Target="https://www.google.com/search?q=3173-72-6+SDS+safety+data+sheet+filetype:pdf" TargetMode="External"/><Relationship Id="rId3945" Type="http://schemas.openxmlformats.org/officeDocument/2006/relationships/hyperlink" Target="https://chemicalsafety.ilo.org/dyn/icsc/showcard.display?p_card_id=1017&amp;p_lang=en" TargetMode="External"/><Relationship Id="rId6004" Type="http://schemas.openxmlformats.org/officeDocument/2006/relationships/hyperlink" Target="https://chem.echa.europa.eu/substance-search?searchText=7773-06-0" TargetMode="External"/><Relationship Id="rId519" Type="http://schemas.openxmlformats.org/officeDocument/2006/relationships/hyperlink" Target="https://www.google.com/search?q=108-42-9+SDS+safety+data+sheet+filetype:pdf" TargetMode="External"/><Relationship Id="rId1149" Type="http://schemas.openxmlformats.org/officeDocument/2006/relationships/hyperlink" Target="https://chemicalsafety.ilo.org/dyn/icsc/showcard.display?p_card_id=0289&amp;p_lang=en" TargetMode="External"/><Relationship Id="rId2961" Type="http://schemas.openxmlformats.org/officeDocument/2006/relationships/hyperlink" Target="https://chemicalsafety.ilo.org/dyn/icsc/showcard.display?p_card_id=0761&amp;p_lang=en" TargetMode="External"/><Relationship Id="rId5020" Type="http://schemas.openxmlformats.org/officeDocument/2006/relationships/hyperlink" Target="https://chem.echa.europa.eu/substance-search?searchText=150-78-7" TargetMode="External"/><Relationship Id="rId933" Type="http://schemas.openxmlformats.org/officeDocument/2006/relationships/hyperlink" Target="https://chemicalsafety.ilo.org/dyn/icsc/showcard.display?p_card_id=0235&amp;p_lang=en" TargetMode="External"/><Relationship Id="rId1563" Type="http://schemas.openxmlformats.org/officeDocument/2006/relationships/hyperlink" Target="https://www.google.com/search?q=75-27-4+SDS+safety+data+sheet+filetype:pdf" TargetMode="External"/><Relationship Id="rId2614" Type="http://schemas.openxmlformats.org/officeDocument/2006/relationships/hyperlink" Target="https://chemicalsafety.ilo.org/dyn/icsc/showcard.display?p_card_id=0671&amp;p_lang=tr" TargetMode="External"/><Relationship Id="rId1216" Type="http://schemas.openxmlformats.org/officeDocument/2006/relationships/hyperlink" Target="https://chem.echa.europa.eu/substance-search?searchText=126-30-7" TargetMode="External"/><Relationship Id="rId1630" Type="http://schemas.openxmlformats.org/officeDocument/2006/relationships/hyperlink" Target="https://chemicalsafety.ilo.org/dyn/icsc/showcard.display?p_card_id=0411&amp;p_lang=tr" TargetMode="External"/><Relationship Id="rId4786" Type="http://schemas.openxmlformats.org/officeDocument/2006/relationships/hyperlink" Target="https://chemicalsafety.ilo.org/dyn/icsc/showcard.display?p_card_id=1239&amp;p_lang=tr" TargetMode="External"/><Relationship Id="rId5837" Type="http://schemas.openxmlformats.org/officeDocument/2006/relationships/hyperlink" Target="https://chemicalsafety.ilo.org/dyn/icsc/showcard.display?p_card_id=1513&amp;p_lang=en" TargetMode="External"/><Relationship Id="rId3388" Type="http://schemas.openxmlformats.org/officeDocument/2006/relationships/hyperlink" Target="https://chem.echa.europa.eu/substance-search?searchText=75-78-5" TargetMode="External"/><Relationship Id="rId4439" Type="http://schemas.openxmlformats.org/officeDocument/2006/relationships/hyperlink" Target="https://www.google.com/search?q=96-45-7+SDS+safety+data+sheet+filetype:pdf" TargetMode="External"/><Relationship Id="rId4853" Type="http://schemas.openxmlformats.org/officeDocument/2006/relationships/hyperlink" Target="https://chemicalsafety.ilo.org/dyn/icsc/showcard.display?p_card_id=1256&amp;p_lang=en" TargetMode="External"/><Relationship Id="rId5904" Type="http://schemas.openxmlformats.org/officeDocument/2006/relationships/hyperlink" Target="https://chem.echa.europa.eu/substance-search?searchText=1317-42-6" TargetMode="External"/><Relationship Id="rId3455" Type="http://schemas.openxmlformats.org/officeDocument/2006/relationships/hyperlink" Target="https://www.google.com/search?q=13838-16-9+SDS+safety+data+sheet+filetype:pdf" TargetMode="External"/><Relationship Id="rId4506" Type="http://schemas.openxmlformats.org/officeDocument/2006/relationships/hyperlink" Target="https://chemicalsafety.ilo.org/dyn/icsc/showcard.display?p_card_id=1165&amp;p_lang=tr" TargetMode="External"/><Relationship Id="rId376" Type="http://schemas.openxmlformats.org/officeDocument/2006/relationships/hyperlink" Target="https://chem.echa.europa.eu/substance-search?searchText=116-06-3" TargetMode="External"/><Relationship Id="rId790" Type="http://schemas.openxmlformats.org/officeDocument/2006/relationships/hyperlink" Target="https://chemicalsafety.ilo.org/dyn/icsc/showcard.display?p_card_id=0198&amp;p_lang=tr" TargetMode="External"/><Relationship Id="rId2057" Type="http://schemas.openxmlformats.org/officeDocument/2006/relationships/hyperlink" Target="https://chemicalsafety.ilo.org/dyn/icsc/showcard.display?p_card_id=0525&amp;p_lang=en" TargetMode="External"/><Relationship Id="rId2471" Type="http://schemas.openxmlformats.org/officeDocument/2006/relationships/hyperlink" Target="https://www.google.com/search?q=7727-54-0+SDS+safety+data+sheet+filetype:pdf" TargetMode="External"/><Relationship Id="rId3108" Type="http://schemas.openxmlformats.org/officeDocument/2006/relationships/hyperlink" Target="https://chem.echa.europa.eu/substance-search?searchText=2310-17-0" TargetMode="External"/><Relationship Id="rId3522" Type="http://schemas.openxmlformats.org/officeDocument/2006/relationships/hyperlink" Target="https://chemicalsafety.ilo.org/dyn/icsc/showcard.display?p_card_id=0904&amp;p_lang=tr" TargetMode="External"/><Relationship Id="rId4920" Type="http://schemas.openxmlformats.org/officeDocument/2006/relationships/hyperlink" Target="https://chem.echa.europa.eu/substance-search?searchText=137-05-3" TargetMode="External"/><Relationship Id="rId6678" Type="http://schemas.openxmlformats.org/officeDocument/2006/relationships/hyperlink" Target="https://chemicalsafety.ilo.org/dyn/icsc/showcard.display?p_card_id=1741&amp;p_lang=tr" TargetMode="External"/><Relationship Id="rId443" Type="http://schemas.openxmlformats.org/officeDocument/2006/relationships/hyperlink" Target="https://www.google.com/search?q=71-36-3+SDS+safety+data+sheet+filetype:pdf" TargetMode="External"/><Relationship Id="rId1073" Type="http://schemas.openxmlformats.org/officeDocument/2006/relationships/hyperlink" Target="https://chemicalsafety.ilo.org/dyn/icsc/showcard.display?p_card_id=0270&amp;p_lang=en" TargetMode="External"/><Relationship Id="rId2124" Type="http://schemas.openxmlformats.org/officeDocument/2006/relationships/hyperlink" Target="https://chem.echa.europa.eu/substance-search?searchText=55-68-5" TargetMode="External"/><Relationship Id="rId1140" Type="http://schemas.openxmlformats.org/officeDocument/2006/relationships/hyperlink" Target="https://chem.echa.europa.eu/substance-search?searchText=513-36-0" TargetMode="External"/><Relationship Id="rId4296" Type="http://schemas.openxmlformats.org/officeDocument/2006/relationships/hyperlink" Target="https://chem.echa.europa.eu/substance-search?searchText=101-77-9" TargetMode="External"/><Relationship Id="rId5694" Type="http://schemas.openxmlformats.org/officeDocument/2006/relationships/hyperlink" Target="https://chemicalsafety.ilo.org/dyn/icsc/showcard.display?p_card_id=1475&amp;p_lang=tr" TargetMode="External"/><Relationship Id="rId6745" Type="http://schemas.openxmlformats.org/officeDocument/2006/relationships/hyperlink" Target="https://chemicalsafety.ilo.org/dyn/icsc/showcard.display?p_card_id=1759&amp;p_lang=en" TargetMode="External"/><Relationship Id="rId510" Type="http://schemas.openxmlformats.org/officeDocument/2006/relationships/hyperlink" Target="https://chemicalsafety.ilo.org/dyn/icsc/showcard.display?p_card_id=0128&amp;p_lang=tr" TargetMode="External"/><Relationship Id="rId5347" Type="http://schemas.openxmlformats.org/officeDocument/2006/relationships/hyperlink" Target="https://www.google.com/search?q=115-77-5+SDS+safety+data+sheet+filetype:pdf" TargetMode="External"/><Relationship Id="rId5761" Type="http://schemas.openxmlformats.org/officeDocument/2006/relationships/hyperlink" Target="https://chemicalsafety.ilo.org/dyn/icsc/showcard.display?p_card_id=1494&amp;p_lang=en" TargetMode="External"/><Relationship Id="rId6812" Type="http://schemas.openxmlformats.org/officeDocument/2006/relationships/hyperlink" Target="https://chem.echa.europa.eu/substance-search?searchText=11103-86-9" TargetMode="External"/><Relationship Id="rId1957" Type="http://schemas.openxmlformats.org/officeDocument/2006/relationships/hyperlink" Target="https://chemicalsafety.ilo.org/dyn/icsc/showcard.display?p_card_id=0496&amp;p_lang=en" TargetMode="External"/><Relationship Id="rId4363" Type="http://schemas.openxmlformats.org/officeDocument/2006/relationships/hyperlink" Target="https://www.google.com/search?q=6147-53-1+SDS+safety+data+sheet+filetype:pdf" TargetMode="External"/><Relationship Id="rId5414" Type="http://schemas.openxmlformats.org/officeDocument/2006/relationships/hyperlink" Target="https://chemicalsafety.ilo.org/dyn/icsc/showcard.display?p_card_id=1402&amp;p_lang=tr" TargetMode="External"/><Relationship Id="rId4016" Type="http://schemas.openxmlformats.org/officeDocument/2006/relationships/hyperlink" Target="https://chem.echa.europa.eu/substance-search?searchText=102-71-6" TargetMode="External"/><Relationship Id="rId4430" Type="http://schemas.openxmlformats.org/officeDocument/2006/relationships/hyperlink" Target="https://chemicalsafety.ilo.org/dyn/icsc/showcard.display?p_card_id=1146&amp;p_lang=tr" TargetMode="External"/><Relationship Id="rId3032" Type="http://schemas.openxmlformats.org/officeDocument/2006/relationships/hyperlink" Target="https://chem.echa.europa.eu/substance-search?searchText=1304-28-5" TargetMode="External"/><Relationship Id="rId6188" Type="http://schemas.openxmlformats.org/officeDocument/2006/relationships/hyperlink" Target="https://chem.echa.europa.eu/substance-search?searchText=111-48-8" TargetMode="External"/><Relationship Id="rId6255" Type="http://schemas.openxmlformats.org/officeDocument/2006/relationships/hyperlink" Target="https://www.google.com/search?q=89-61-2+SDS+safety+data+sheet+filetype:pdf" TargetMode="External"/><Relationship Id="rId2798" Type="http://schemas.openxmlformats.org/officeDocument/2006/relationships/hyperlink" Target="https://chemicalsafety.ilo.org/dyn/icsc/showcard.display?p_card_id=0720&amp;p_lang=tr" TargetMode="External"/><Relationship Id="rId3849" Type="http://schemas.openxmlformats.org/officeDocument/2006/relationships/hyperlink" Target="https://chemicalsafety.ilo.org/dyn/icsc/showcard.display?p_card_id=0987&amp;p_lang=en" TargetMode="External"/><Relationship Id="rId5271" Type="http://schemas.openxmlformats.org/officeDocument/2006/relationships/hyperlink" Target="https://www.google.com/search?q=124-22-1+SDS+safety+data+sheet+filetype:pdf" TargetMode="External"/><Relationship Id="rId2865" Type="http://schemas.openxmlformats.org/officeDocument/2006/relationships/hyperlink" Target="https://chemicalsafety.ilo.org/dyn/icsc/showcard.display?p_card_id=0737&amp;p_lang=en" TargetMode="External"/><Relationship Id="rId3916" Type="http://schemas.openxmlformats.org/officeDocument/2006/relationships/hyperlink" Target="https://chem.echa.europa.eu/substance-search?searchText=7664-38-2" TargetMode="External"/><Relationship Id="rId6322" Type="http://schemas.openxmlformats.org/officeDocument/2006/relationships/hyperlink" Target="https://chemicalsafety.ilo.org/dyn/icsc/showcard.display?p_card_id=1637&amp;p_lang=tr" TargetMode="External"/><Relationship Id="rId837" Type="http://schemas.openxmlformats.org/officeDocument/2006/relationships/hyperlink" Target="https://chemicalsafety.ilo.org/dyn/icsc/showcard.display?p_card_id=0211&amp;p_lang=en" TargetMode="External"/><Relationship Id="rId1467" Type="http://schemas.openxmlformats.org/officeDocument/2006/relationships/hyperlink" Target="https://www.google.com/search?q=2156-96-9+SDS+safety+data+sheet+filetype:pdf" TargetMode="External"/><Relationship Id="rId1881" Type="http://schemas.openxmlformats.org/officeDocument/2006/relationships/hyperlink" Target="https://chemicalsafety.ilo.org/dyn/icsc/showcard.display?p_card_id=0477&amp;p_lang=en" TargetMode="External"/><Relationship Id="rId2518" Type="http://schemas.openxmlformats.org/officeDocument/2006/relationships/hyperlink" Target="https://chemicalsafety.ilo.org/dyn/icsc/showcard.display?p_card_id=0646&amp;p_lang=tr" TargetMode="External"/><Relationship Id="rId2932" Type="http://schemas.openxmlformats.org/officeDocument/2006/relationships/hyperlink" Target="https://chem.echa.europa.eu/substance-search?searchText=2104-64-5" TargetMode="External"/><Relationship Id="rId904" Type="http://schemas.openxmlformats.org/officeDocument/2006/relationships/hyperlink" Target="https://chem.echa.europa.eu/substance-search?searchText=584-79-2" TargetMode="External"/><Relationship Id="rId1534" Type="http://schemas.openxmlformats.org/officeDocument/2006/relationships/hyperlink" Target="https://chemicalsafety.ilo.org/dyn/icsc/showcard.display?p_card_id=0386&amp;p_lang=tr" TargetMode="External"/><Relationship Id="rId1601" Type="http://schemas.openxmlformats.org/officeDocument/2006/relationships/hyperlink" Target="https://chemicalsafety.ilo.org/dyn/icsc/showcard.display?p_card_id=0404&amp;p_lang=en" TargetMode="External"/><Relationship Id="rId4757" Type="http://schemas.openxmlformats.org/officeDocument/2006/relationships/hyperlink" Target="https://chemicalsafety.ilo.org/dyn/icsc/showcard.display?p_card_id=1232&amp;p_lang=en" TargetMode="External"/><Relationship Id="rId3359" Type="http://schemas.openxmlformats.org/officeDocument/2006/relationships/hyperlink" Target="https://www.google.com/search?q=8022-00-2+SDS+safety+data+sheet+filetype:pdf" TargetMode="External"/><Relationship Id="rId5808" Type="http://schemas.openxmlformats.org/officeDocument/2006/relationships/hyperlink" Target="https://chem.echa.europa.eu/substance-search?searchText=119-36-8" TargetMode="External"/><Relationship Id="rId694" Type="http://schemas.openxmlformats.org/officeDocument/2006/relationships/hyperlink" Target="https://chemicalsafety.ilo.org/dyn/icsc/showcard.display?p_card_id=0174&amp;p_lang=tr" TargetMode="External"/><Relationship Id="rId2375" Type="http://schemas.openxmlformats.org/officeDocument/2006/relationships/hyperlink" Target="https://www.google.com/search?q=3452-97-9+SDS+safety+data+sheet+filetype:pdf" TargetMode="External"/><Relationship Id="rId3773" Type="http://schemas.openxmlformats.org/officeDocument/2006/relationships/hyperlink" Target="https://chemicalsafety.ilo.org/dyn/icsc/showcard.display?p_card_id=0967&amp;p_lang=en" TargetMode="External"/><Relationship Id="rId4824" Type="http://schemas.openxmlformats.org/officeDocument/2006/relationships/hyperlink" Target="https://chem.echa.europa.eu/substance-search?searchText=35400-43-2" TargetMode="External"/><Relationship Id="rId347" Type="http://schemas.openxmlformats.org/officeDocument/2006/relationships/hyperlink" Target="https://www.google.com/search?q=67-64-1+SDS+safety+data+sheet+filetype:pdf" TargetMode="External"/><Relationship Id="rId2028" Type="http://schemas.openxmlformats.org/officeDocument/2006/relationships/hyperlink" Target="https://chem.echa.europa.eu/substance-search?searchText=3268-49-3" TargetMode="External"/><Relationship Id="rId3426" Type="http://schemas.openxmlformats.org/officeDocument/2006/relationships/hyperlink" Target="https://chemicalsafety.ilo.org/dyn/icsc/showcard.display?p_card_id=0880&amp;p_lang=tr" TargetMode="External"/><Relationship Id="rId3840" Type="http://schemas.openxmlformats.org/officeDocument/2006/relationships/hyperlink" Target="https://chem.echa.europa.eu/substance-search?searchText=10112-91-1" TargetMode="External"/><Relationship Id="rId761" Type="http://schemas.openxmlformats.org/officeDocument/2006/relationships/hyperlink" Target="https://chemicalsafety.ilo.org/dyn/icsc/showcard.display?p_card_id=0191&amp;p_lang=en" TargetMode="External"/><Relationship Id="rId1391" Type="http://schemas.openxmlformats.org/officeDocument/2006/relationships/hyperlink" Target="https://www.google.com/search?q=7446-20-0+SDS+safety+data+sheet+filetype:pdf" TargetMode="External"/><Relationship Id="rId2442" Type="http://schemas.openxmlformats.org/officeDocument/2006/relationships/hyperlink" Target="https://chemicalsafety.ilo.org/dyn/icsc/showcard.display?p_card_id=0625&amp;p_lang=tr" TargetMode="External"/><Relationship Id="rId5598" Type="http://schemas.openxmlformats.org/officeDocument/2006/relationships/hyperlink" Target="https://chemicalsafety.ilo.org/dyn/icsc/showcard.display?p_card_id=1448&amp;p_lang=tr" TargetMode="External"/><Relationship Id="rId6649" Type="http://schemas.openxmlformats.org/officeDocument/2006/relationships/hyperlink" Target="https://chemicalsafety.ilo.org/dyn/icsc/showcard.display?p_card_id=1734&amp;p_lang=en" TargetMode="External"/><Relationship Id="rId414" Type="http://schemas.openxmlformats.org/officeDocument/2006/relationships/hyperlink" Target="https://chemicalsafety.ilo.org/dyn/icsc/showcard.display?p_card_id=0104&amp;p_lang=tr" TargetMode="External"/><Relationship Id="rId1044" Type="http://schemas.openxmlformats.org/officeDocument/2006/relationships/hyperlink" Target="https://chem.echa.europa.eu/substance-search?searchText=120-61-6" TargetMode="External"/><Relationship Id="rId5665" Type="http://schemas.openxmlformats.org/officeDocument/2006/relationships/hyperlink" Target="https://chemicalsafety.ilo.org/dyn/icsc/showcard.display?p_card_id=1468&amp;p_lang=en" TargetMode="External"/><Relationship Id="rId6716" Type="http://schemas.openxmlformats.org/officeDocument/2006/relationships/hyperlink" Target="https://chem.echa.europa.eu/substance-search?searchText=1559-34-8" TargetMode="External"/><Relationship Id="rId1111" Type="http://schemas.openxmlformats.org/officeDocument/2006/relationships/hyperlink" Target="https://www.google.com/search?q=110-54-3+SDS+safety+data+sheet+filetype:pdf" TargetMode="External"/><Relationship Id="rId4267" Type="http://schemas.openxmlformats.org/officeDocument/2006/relationships/hyperlink" Target="https://www.google.com/search?q=110-63-4+SDS+safety+data+sheet+filetype:pdf" TargetMode="External"/><Relationship Id="rId4681" Type="http://schemas.openxmlformats.org/officeDocument/2006/relationships/hyperlink" Target="https://chemicalsafety.ilo.org/dyn/icsc/showcard.display?p_card_id=1213&amp;p_lang=en" TargetMode="External"/><Relationship Id="rId5318" Type="http://schemas.openxmlformats.org/officeDocument/2006/relationships/hyperlink" Target="https://chemicalsafety.ilo.org/dyn/icsc/showcard.display?p_card_id=1376&amp;p_lang=tr" TargetMode="External"/><Relationship Id="rId5732" Type="http://schemas.openxmlformats.org/officeDocument/2006/relationships/hyperlink" Target="https://chem.echa.europa.eu/substance-search?searchText=630-20-6" TargetMode="External"/><Relationship Id="rId3283" Type="http://schemas.openxmlformats.org/officeDocument/2006/relationships/hyperlink" Target="https://www.google.com/search?q=8001-35-2+SDS+safety+data+sheet+filetype:pdf" TargetMode="External"/><Relationship Id="rId4334" Type="http://schemas.openxmlformats.org/officeDocument/2006/relationships/hyperlink" Target="https://chemicalsafety.ilo.org/dyn/icsc/showcard.display?p_card_id=1121&amp;p_lang=tr" TargetMode="External"/><Relationship Id="rId1928" Type="http://schemas.openxmlformats.org/officeDocument/2006/relationships/hyperlink" Target="https://chem.echa.europa.eu/substance-search?searchText=626-93-7" TargetMode="External"/><Relationship Id="rId3350" Type="http://schemas.openxmlformats.org/officeDocument/2006/relationships/hyperlink" Target="https://chemicalsafety.ilo.org/dyn/icsc/showcard.display?p_card_id=0860&amp;p_lang=tr" TargetMode="External"/><Relationship Id="rId271" Type="http://schemas.openxmlformats.org/officeDocument/2006/relationships/hyperlink" Target="https://www.google.com/search?q=10028-15-6+SDS+safety+data+sheet+filetype:pdf" TargetMode="External"/><Relationship Id="rId3003" Type="http://schemas.openxmlformats.org/officeDocument/2006/relationships/hyperlink" Target="https://www.google.com/search?q=124-41-4+SDS+safety+data+sheet+filetype:pdf" TargetMode="External"/><Relationship Id="rId4401" Type="http://schemas.openxmlformats.org/officeDocument/2006/relationships/hyperlink" Target="https://chemicalsafety.ilo.org/dyn/icsc/showcard.display?p_card_id=1139&amp;p_lang=en" TargetMode="External"/><Relationship Id="rId6159" Type="http://schemas.openxmlformats.org/officeDocument/2006/relationships/hyperlink" Target="https://www.google.com/search?q=543-27-1+SDS+safety+data+sheet+filetype:pdf" TargetMode="External"/><Relationship Id="rId6573" Type="http://schemas.openxmlformats.org/officeDocument/2006/relationships/hyperlink" Target="https://chemicalsafety.ilo.org/dyn/icsc/showcard.display?p_card_id=1714&amp;p_lang=en" TargetMode="External"/><Relationship Id="rId2769" Type="http://schemas.openxmlformats.org/officeDocument/2006/relationships/hyperlink" Target="https://chemicalsafety.ilo.org/dyn/icsc/showcard.display?p_card_id=0713&amp;p_lang=en" TargetMode="External"/><Relationship Id="rId5175" Type="http://schemas.openxmlformats.org/officeDocument/2006/relationships/hyperlink" Target="https://www.google.com/search?q=103-83-3+SDS+safety+data+sheet+filetype:pdf" TargetMode="External"/><Relationship Id="rId6226" Type="http://schemas.openxmlformats.org/officeDocument/2006/relationships/hyperlink" Target="https://chemicalsafety.ilo.org/dyn/icsc/showcard.display?p_card_id=1611&amp;p_lang=tr" TargetMode="External"/><Relationship Id="rId6640" Type="http://schemas.openxmlformats.org/officeDocument/2006/relationships/hyperlink" Target="https://chem.echa.europa.eu/substance-search?searchText=865-33-8" TargetMode="External"/><Relationship Id="rId1785" Type="http://schemas.openxmlformats.org/officeDocument/2006/relationships/hyperlink" Target="https://chemicalsafety.ilo.org/dyn/icsc/showcard.display?p_card_id=0451&amp;p_lang=en" TargetMode="External"/><Relationship Id="rId2836" Type="http://schemas.openxmlformats.org/officeDocument/2006/relationships/hyperlink" Target="https://chem.echa.europa.eu/substance-search?searchText=610-39-9" TargetMode="External"/><Relationship Id="rId4191" Type="http://schemas.openxmlformats.org/officeDocument/2006/relationships/hyperlink" Target="https://www.google.com/search?q=111-70-6+SDS+safety+data+sheet+filetype:pdf" TargetMode="External"/><Relationship Id="rId5242" Type="http://schemas.openxmlformats.org/officeDocument/2006/relationships/hyperlink" Target="https://chemicalsafety.ilo.org/dyn/icsc/showcard.display?p_card_id=1357&amp;p_lang=tr" TargetMode="External"/><Relationship Id="rId77" Type="http://schemas.openxmlformats.org/officeDocument/2006/relationships/hyperlink" Target="https://chemicalsafety.ilo.org/dyn/icsc/showcard.display?p_card_id=0020&amp;p_lang=en" TargetMode="External"/><Relationship Id="rId808" Type="http://schemas.openxmlformats.org/officeDocument/2006/relationships/hyperlink" Target="https://chem.echa.europa.eu/substance-search?searchText=1912-26-1" TargetMode="External"/><Relationship Id="rId1438" Type="http://schemas.openxmlformats.org/officeDocument/2006/relationships/hyperlink" Target="https://chemicalsafety.ilo.org/dyn/icsc/showcard.display?p_card_id=0361&amp;p_lang=tr" TargetMode="External"/><Relationship Id="rId1852" Type="http://schemas.openxmlformats.org/officeDocument/2006/relationships/hyperlink" Target="https://chem.echa.europa.eu/substance-search?searchText=759-94-4" TargetMode="External"/><Relationship Id="rId2903" Type="http://schemas.openxmlformats.org/officeDocument/2006/relationships/hyperlink" Target="https://www.google.com/search?q=13569-65-8+SDS+safety+data+sheet+filetype:pdf" TargetMode="External"/><Relationship Id="rId1505" Type="http://schemas.openxmlformats.org/officeDocument/2006/relationships/hyperlink" Target="https://chemicalsafety.ilo.org/dyn/icsc/showcard.display?p_card_id=0379&amp;p_lang=en" TargetMode="External"/><Relationship Id="rId6083" Type="http://schemas.openxmlformats.org/officeDocument/2006/relationships/hyperlink" Target="https://www.google.com/search?q=2691-41-0+SDS+safety+data+sheet+filetype:pdf" TargetMode="External"/><Relationship Id="rId3677" Type="http://schemas.openxmlformats.org/officeDocument/2006/relationships/hyperlink" Target="https://chemicalsafety.ilo.org/dyn/icsc/showcard.display?p_card_id=0943&amp;p_lang=en" TargetMode="External"/><Relationship Id="rId4728" Type="http://schemas.openxmlformats.org/officeDocument/2006/relationships/hyperlink" Target="https://chem.echa.europa.eu/substance-search?searchText=10025-91-9" TargetMode="External"/><Relationship Id="rId598" Type="http://schemas.openxmlformats.org/officeDocument/2006/relationships/hyperlink" Target="https://chemicalsafety.ilo.org/dyn/icsc/showcard.display?p_card_id=0150&amp;p_lang=tr" TargetMode="External"/><Relationship Id="rId2279" Type="http://schemas.openxmlformats.org/officeDocument/2006/relationships/hyperlink" Target="https://www.google.com/search?q=3982-91-0+SDS+safety+data+sheet+filetype:pdf" TargetMode="External"/><Relationship Id="rId2693" Type="http://schemas.openxmlformats.org/officeDocument/2006/relationships/hyperlink" Target="https://chemicalsafety.ilo.org/dyn/icsc/showcard.display?p_card_id=0694&amp;p_lang=en" TargetMode="External"/><Relationship Id="rId3744" Type="http://schemas.openxmlformats.org/officeDocument/2006/relationships/hyperlink" Target="https://chem.echa.europa.eu/substance-search?searchText=479-45-8" TargetMode="External"/><Relationship Id="rId6150" Type="http://schemas.openxmlformats.org/officeDocument/2006/relationships/hyperlink" Target="https://chemicalsafety.ilo.org/dyn/icsc/showcard.display?p_card_id=1592&amp;p_lang=tr" TargetMode="External"/><Relationship Id="rId665" Type="http://schemas.openxmlformats.org/officeDocument/2006/relationships/hyperlink" Target="https://chemicalsafety.ilo.org/dyn/icsc/showcard.display?p_card_id=0167&amp;p_lang=en" TargetMode="External"/><Relationship Id="rId1295" Type="http://schemas.openxmlformats.org/officeDocument/2006/relationships/hyperlink" Target="https://www.google.com/search?q=37299-86-8+SDS+safety+data+sheet+filetype:pdf" TargetMode="External"/><Relationship Id="rId2346" Type="http://schemas.openxmlformats.org/officeDocument/2006/relationships/hyperlink" Target="https://chemicalsafety.ilo.org/dyn/icsc/showcard.display?p_card_id=0600&amp;p_lang=tr" TargetMode="External"/><Relationship Id="rId2760" Type="http://schemas.openxmlformats.org/officeDocument/2006/relationships/hyperlink" Target="https://chem.echa.europa.eu/substance-search?searchText=7439-93-2" TargetMode="External"/><Relationship Id="rId3811" Type="http://schemas.openxmlformats.org/officeDocument/2006/relationships/hyperlink" Target="https://www.google.com/search?q=12079-65-1+SDS+safety+data+sheet+filetype:pdf" TargetMode="External"/><Relationship Id="rId318" Type="http://schemas.openxmlformats.org/officeDocument/2006/relationships/hyperlink" Target="https://chemicalsafety.ilo.org/dyn/icsc/showcard.display?p_card_id=0080&amp;p_lang=tr" TargetMode="External"/><Relationship Id="rId732" Type="http://schemas.openxmlformats.org/officeDocument/2006/relationships/hyperlink" Target="https://chem.echa.europa.eu/substance-search?searchText=7697-37-2" TargetMode="External"/><Relationship Id="rId1362" Type="http://schemas.openxmlformats.org/officeDocument/2006/relationships/hyperlink" Target="https://chemicalsafety.ilo.org/dyn/icsc/showcard.display?p_card_id=0342&amp;p_lang=tr" TargetMode="External"/><Relationship Id="rId2413" Type="http://schemas.openxmlformats.org/officeDocument/2006/relationships/hyperlink" Target="https://chemicalsafety.ilo.org/dyn/icsc/showcard.display?p_card_id=0618&amp;p_lang=en" TargetMode="External"/><Relationship Id="rId5569" Type="http://schemas.openxmlformats.org/officeDocument/2006/relationships/hyperlink" Target="https://chemicalsafety.ilo.org/dyn/icsc/showcard.display?p_card_id=1441&amp;p_lang=en" TargetMode="External"/><Relationship Id="rId1015" Type="http://schemas.openxmlformats.org/officeDocument/2006/relationships/hyperlink" Target="https://www.google.com/search?q=618-62-2+SDS+safety+data+sheet+filetype:pdf" TargetMode="External"/><Relationship Id="rId4585" Type="http://schemas.openxmlformats.org/officeDocument/2006/relationships/hyperlink" Target="https://chemicalsafety.ilo.org/dyn/icsc/showcard.display?p_card_id=1186&amp;p_lang=en" TargetMode="External"/><Relationship Id="rId5983" Type="http://schemas.openxmlformats.org/officeDocument/2006/relationships/hyperlink" Target="https://www.google.com/search?q=92-59-1+SDS+safety+data+sheet+filetype:pdf" TargetMode="External"/><Relationship Id="rId3187" Type="http://schemas.openxmlformats.org/officeDocument/2006/relationships/hyperlink" Target="https://www.google.com/search?q=79-24-3+SDS+safety+data+sheet+filetype:pdf" TargetMode="External"/><Relationship Id="rId4238" Type="http://schemas.openxmlformats.org/officeDocument/2006/relationships/hyperlink" Target="https://chemicalsafety.ilo.org/dyn/icsc/showcard.display?p_card_id=1095&amp;p_lang=tr" TargetMode="External"/><Relationship Id="rId5636" Type="http://schemas.openxmlformats.org/officeDocument/2006/relationships/hyperlink" Target="https://chem.echa.europa.eu/substance-search?searchText=8002-74-2" TargetMode="External"/><Relationship Id="rId4652" Type="http://schemas.openxmlformats.org/officeDocument/2006/relationships/hyperlink" Target="https://chem.echa.europa.eu/substance-search?searchText=7440-66-6" TargetMode="External"/><Relationship Id="rId5703" Type="http://schemas.openxmlformats.org/officeDocument/2006/relationships/hyperlink" Target="https://www.google.com/search?q=872-05-9+SDS+safety+data+sheet+filetype:pdf" TargetMode="External"/><Relationship Id="rId175" Type="http://schemas.openxmlformats.org/officeDocument/2006/relationships/hyperlink" Target="https://www.google.com/search?q=64-17-5+SDS+safety+data+sheet+filetype:pdf" TargetMode="External"/><Relationship Id="rId3254" Type="http://schemas.openxmlformats.org/officeDocument/2006/relationships/hyperlink" Target="https://chemicalsafety.ilo.org/dyn/icsc/showcard.display?p_card_id=0835&amp;p_lang=tr" TargetMode="External"/><Relationship Id="rId4305" Type="http://schemas.openxmlformats.org/officeDocument/2006/relationships/hyperlink" Target="https://chemicalsafety.ilo.org/dyn/icsc/showcard.display?p_card_id=1114&amp;p_lang=en" TargetMode="External"/><Relationship Id="rId2270" Type="http://schemas.openxmlformats.org/officeDocument/2006/relationships/hyperlink" Target="https://chemicalsafety.ilo.org/dyn/icsc/showcard.display?p_card_id=0579&amp;p_lang=tr" TargetMode="External"/><Relationship Id="rId3321" Type="http://schemas.openxmlformats.org/officeDocument/2006/relationships/hyperlink" Target="https://chemicalsafety.ilo.org/dyn/icsc/showcard.display?p_card_id=0853&amp;p_lang=en" TargetMode="External"/><Relationship Id="rId6477" Type="http://schemas.openxmlformats.org/officeDocument/2006/relationships/hyperlink" Target="https://chemicalsafety.ilo.org/dyn/icsc/showcard.display?p_card_id=1685&amp;p_lang=en" TargetMode="External"/><Relationship Id="rId242" Type="http://schemas.openxmlformats.org/officeDocument/2006/relationships/hyperlink" Target="https://chemicalsafety.ilo.org/dyn/icsc/showcard.display?p_card_id=0061&amp;p_lang=tr" TargetMode="External"/><Relationship Id="rId5079" Type="http://schemas.openxmlformats.org/officeDocument/2006/relationships/hyperlink" Target="https://www.google.com/search?q=12001-28-4+SDS+safety+data+sheet+filetype:pdf" TargetMode="External"/><Relationship Id="rId5493" Type="http://schemas.openxmlformats.org/officeDocument/2006/relationships/hyperlink" Target="https://chemicalsafety.ilo.org/dyn/icsc/showcard.display?p_card_id=1422&amp;p_lang=en" TargetMode="External"/><Relationship Id="rId6544" Type="http://schemas.openxmlformats.org/officeDocument/2006/relationships/hyperlink" Target="https://chem.echa.europa.eu/substance-search?searchText=637-92-3" TargetMode="External"/><Relationship Id="rId1689" Type="http://schemas.openxmlformats.org/officeDocument/2006/relationships/hyperlink" Target="https://chemicalsafety.ilo.org/dyn/icsc/showcard.display?p_card_id=0427&amp;p_lang=en" TargetMode="External"/><Relationship Id="rId4095" Type="http://schemas.openxmlformats.org/officeDocument/2006/relationships/hyperlink" Target="https://www.google.com/search?q=110-83-8+SDS+safety+data+sheet+filetype:pdf" TargetMode="External"/><Relationship Id="rId5146" Type="http://schemas.openxmlformats.org/officeDocument/2006/relationships/hyperlink" Target="https://chemicalsafety.ilo.org/dyn/icsc/showcard.display?p_card_id=1333&amp;p_lang=tr" TargetMode="External"/><Relationship Id="rId5560" Type="http://schemas.openxmlformats.org/officeDocument/2006/relationships/hyperlink" Target="https://chem.echa.europa.eu/substance-search?searchText=97-77-8" TargetMode="External"/><Relationship Id="rId4162" Type="http://schemas.openxmlformats.org/officeDocument/2006/relationships/hyperlink" Target="https://chemicalsafety.ilo.org/dyn/icsc/showcard.display?p_card_id=1074&amp;p_lang=tr" TargetMode="External"/><Relationship Id="rId5213" Type="http://schemas.openxmlformats.org/officeDocument/2006/relationships/hyperlink" Target="https://chemicalsafety.ilo.org/dyn/icsc/showcard.display?p_card_id=1350&amp;p_lang=en" TargetMode="External"/><Relationship Id="rId6611" Type="http://schemas.openxmlformats.org/officeDocument/2006/relationships/hyperlink" Target="https://www.google.com/search?q=818-61-1+SDS+safety+data+sheet+filetype:pdf" TargetMode="External"/><Relationship Id="rId1756" Type="http://schemas.openxmlformats.org/officeDocument/2006/relationships/hyperlink" Target="https://chem.echa.europa.eu/substance-search?searchText=1702-17-6" TargetMode="External"/><Relationship Id="rId2807" Type="http://schemas.openxmlformats.org/officeDocument/2006/relationships/hyperlink" Target="https://www.google.com/search?q=610-40-2+SDS+safety+data+sheet+filetype:pdf" TargetMode="External"/><Relationship Id="rId48" Type="http://schemas.openxmlformats.org/officeDocument/2006/relationships/hyperlink" Target="https://chem.echa.europa.eu/substance-search?searchText=1309-64-4" TargetMode="External"/><Relationship Id="rId1409" Type="http://schemas.openxmlformats.org/officeDocument/2006/relationships/hyperlink" Target="https://chemicalsafety.ilo.org/dyn/icsc/showcard.display?p_card_id=0354&amp;p_lang=en" TargetMode="External"/><Relationship Id="rId1823" Type="http://schemas.openxmlformats.org/officeDocument/2006/relationships/hyperlink" Target="https://www.google.com/search?q=534-52-1+SDS+safety+data+sheet+filetype:pdf" TargetMode="External"/><Relationship Id="rId4979" Type="http://schemas.openxmlformats.org/officeDocument/2006/relationships/hyperlink" Target="https://www.google.com/search?q=6317-18-6+SDS+safety+data+sheet+filetype:pdf" TargetMode="External"/><Relationship Id="rId3995" Type="http://schemas.openxmlformats.org/officeDocument/2006/relationships/hyperlink" Target="https://www.google.com/search?q=554-12-1+SDS+safety+data+sheet+filetype:pdf" TargetMode="External"/><Relationship Id="rId2597" Type="http://schemas.openxmlformats.org/officeDocument/2006/relationships/hyperlink" Target="https://chemicalsafety.ilo.org/dyn/icsc/showcard.display?p_card_id=0667&amp;p_lang=en" TargetMode="External"/><Relationship Id="rId3648" Type="http://schemas.openxmlformats.org/officeDocument/2006/relationships/hyperlink" Target="https://chem.echa.europa.eu/substance-search?searchText=1321-64-8" TargetMode="External"/><Relationship Id="rId6054" Type="http://schemas.openxmlformats.org/officeDocument/2006/relationships/hyperlink" Target="https://chemicalsafety.ilo.org/dyn/icsc/showcard.display?p_card_id=1568&amp;p_lang=tr" TargetMode="External"/><Relationship Id="rId569" Type="http://schemas.openxmlformats.org/officeDocument/2006/relationships/hyperlink" Target="https://chemicalsafety.ilo.org/dyn/icsc/showcard.display?p_card_id=0143&amp;p_lang=en" TargetMode="External"/><Relationship Id="rId983" Type="http://schemas.openxmlformats.org/officeDocument/2006/relationships/hyperlink" Target="https://www.google.com/search?q=52918-63-5+SDS+safety+data+sheet+filetype:pdf" TargetMode="External"/><Relationship Id="rId1199" Type="http://schemas.openxmlformats.org/officeDocument/2006/relationships/hyperlink" Target="https://www.google.com/search?q=75-79-6+SDS+safety+data+sheet+filetype:pdf" TargetMode="External"/><Relationship Id="rId2664" Type="http://schemas.openxmlformats.org/officeDocument/2006/relationships/hyperlink" Target="https://chem.echa.europa.eu/substance-search?searchText=79-38-9" TargetMode="External"/><Relationship Id="rId5070" Type="http://schemas.openxmlformats.org/officeDocument/2006/relationships/hyperlink" Target="https://chemicalsafety.ilo.org/dyn/icsc/showcard.display?p_card_id=1312&amp;p_lang=tr" TargetMode="External"/><Relationship Id="rId6121" Type="http://schemas.openxmlformats.org/officeDocument/2006/relationships/hyperlink" Target="https://chemicalsafety.ilo.org/dyn/icsc/showcard.display?p_card_id=1585&amp;p_lang=en" TargetMode="External"/><Relationship Id="rId636" Type="http://schemas.openxmlformats.org/officeDocument/2006/relationships/hyperlink" Target="https://chem.echa.europa.eu/substance-search?searchText=556-52-5" TargetMode="External"/><Relationship Id="rId1266" Type="http://schemas.openxmlformats.org/officeDocument/2006/relationships/hyperlink" Target="https://chemicalsafety.ilo.org/dyn/icsc/showcard.display?p_card_id=0318&amp;p_lang=tr" TargetMode="External"/><Relationship Id="rId2317" Type="http://schemas.openxmlformats.org/officeDocument/2006/relationships/hyperlink" Target="https://chemicalsafety.ilo.org/dyn/icsc/showcard.display?p_card_id=0592&amp;p_lang=en" TargetMode="External"/><Relationship Id="rId3715" Type="http://schemas.openxmlformats.org/officeDocument/2006/relationships/hyperlink" Target="https://www.google.com/search?q=7757-82-6+SDS+safety+data+sheet+filetype:pdf" TargetMode="External"/><Relationship Id="rId1680" Type="http://schemas.openxmlformats.org/officeDocument/2006/relationships/hyperlink" Target="https://chem.echa.europa.eu/substance-search?searchText=420-04-2" TargetMode="External"/><Relationship Id="rId2731" Type="http://schemas.openxmlformats.org/officeDocument/2006/relationships/hyperlink" Target="https://www.google.com/search?q=109-69-3+SDS+safety+data+sheet+filetype:pdf" TargetMode="External"/><Relationship Id="rId5887" Type="http://schemas.openxmlformats.org/officeDocument/2006/relationships/hyperlink" Target="https://www.google.com/search?q=84-15-1+SDS+safety+data+sheet+filetype:pdf" TargetMode="External"/><Relationship Id="rId703" Type="http://schemas.openxmlformats.org/officeDocument/2006/relationships/hyperlink" Target="https://www.google.com/search?q=10265-92-6+SDS+safety+data+sheet+filetype:pdf" TargetMode="External"/><Relationship Id="rId1333" Type="http://schemas.openxmlformats.org/officeDocument/2006/relationships/hyperlink" Target="https://chemicalsafety.ilo.org/dyn/icsc/showcard.display?p_card_id=0335&amp;p_lang=en" TargetMode="External"/><Relationship Id="rId4489" Type="http://schemas.openxmlformats.org/officeDocument/2006/relationships/hyperlink" Target="https://chemicalsafety.ilo.org/dyn/icsc/showcard.display?p_card_id=1161&amp;p_lang=en" TargetMode="External"/><Relationship Id="rId5954" Type="http://schemas.openxmlformats.org/officeDocument/2006/relationships/hyperlink" Target="https://chemicalsafety.ilo.org/dyn/icsc/showcard.display?p_card_id=1543&amp;p_lang=tr" TargetMode="External"/><Relationship Id="rId1400" Type="http://schemas.openxmlformats.org/officeDocument/2006/relationships/hyperlink" Target="https://chem.echa.europa.eu/substance-search?searchText=1344-28-1" TargetMode="External"/><Relationship Id="rId4556" Type="http://schemas.openxmlformats.org/officeDocument/2006/relationships/hyperlink" Target="https://chem.echa.europa.eu/substance-search?searchText=100-40-3" TargetMode="External"/><Relationship Id="rId4970" Type="http://schemas.openxmlformats.org/officeDocument/2006/relationships/hyperlink" Target="https://chemicalsafety.ilo.org/dyn/icsc/showcard.display?p_card_id=1285&amp;p_lang=tr" TargetMode="External"/><Relationship Id="rId5607" Type="http://schemas.openxmlformats.org/officeDocument/2006/relationships/hyperlink" Target="https://www.google.com/search?q=7447-40-7+SDS+safety+data+sheet+filetype:pdf" TargetMode="External"/><Relationship Id="rId3158" Type="http://schemas.openxmlformats.org/officeDocument/2006/relationships/hyperlink" Target="https://chemicalsafety.ilo.org/dyn/icsc/showcard.display?p_card_id=0810&amp;p_lang=tr" TargetMode="External"/><Relationship Id="rId3572" Type="http://schemas.openxmlformats.org/officeDocument/2006/relationships/hyperlink" Target="https://chem.echa.europa.eu/substance-search?searchText=60-24-2" TargetMode="External"/><Relationship Id="rId4209" Type="http://schemas.openxmlformats.org/officeDocument/2006/relationships/hyperlink" Target="https://chemicalsafety.ilo.org/dyn/icsc/showcard.display?p_card_id=1087&amp;p_lang=en" TargetMode="External"/><Relationship Id="rId4623" Type="http://schemas.openxmlformats.org/officeDocument/2006/relationships/hyperlink" Target="https://www.google.com/search?q=7487-88-9+SDS+safety+data+sheet+filetype:pdf" TargetMode="External"/><Relationship Id="rId493" Type="http://schemas.openxmlformats.org/officeDocument/2006/relationships/hyperlink" Target="https://chemicalsafety.ilo.org/dyn/icsc/showcard.display?p_card_id=0124&amp;p_lang=en" TargetMode="External"/><Relationship Id="rId2174" Type="http://schemas.openxmlformats.org/officeDocument/2006/relationships/hyperlink" Target="https://chemicalsafety.ilo.org/dyn/icsc/showcard.display?p_card_id=0555&amp;p_lang=tr" TargetMode="External"/><Relationship Id="rId3225" Type="http://schemas.openxmlformats.org/officeDocument/2006/relationships/hyperlink" Target="https://chemicalsafety.ilo.org/dyn/icsc/showcard.display?p_card_id=0827&amp;p_lang=en" TargetMode="External"/><Relationship Id="rId6795" Type="http://schemas.openxmlformats.org/officeDocument/2006/relationships/hyperlink" Target="https://www.google.com/search?q=13765-19-0+SDS+safety+data+sheet+filetype:pdf" TargetMode="External"/><Relationship Id="rId146" Type="http://schemas.openxmlformats.org/officeDocument/2006/relationships/hyperlink" Target="https://chemicalsafety.ilo.org/dyn/icsc/showcard.display?p_card_id=0037&amp;p_lang=tr" TargetMode="External"/><Relationship Id="rId560" Type="http://schemas.openxmlformats.org/officeDocument/2006/relationships/hyperlink" Target="https://chem.echa.europa.eu/substance-search?searchText=608-27-5" TargetMode="External"/><Relationship Id="rId1190" Type="http://schemas.openxmlformats.org/officeDocument/2006/relationships/hyperlink" Target="https://chemicalsafety.ilo.org/dyn/icsc/showcard.display?p_card_id=0299&amp;p_lang=tr" TargetMode="External"/><Relationship Id="rId2241" Type="http://schemas.openxmlformats.org/officeDocument/2006/relationships/hyperlink" Target="https://chemicalsafety.ilo.org/dyn/icsc/showcard.display?p_card_id=0572&amp;p_lang=en" TargetMode="External"/><Relationship Id="rId5397" Type="http://schemas.openxmlformats.org/officeDocument/2006/relationships/hyperlink" Target="https://chemicalsafety.ilo.org/dyn/icsc/showcard.display?p_card_id=1397&amp;p_lang=en" TargetMode="External"/><Relationship Id="rId6448" Type="http://schemas.openxmlformats.org/officeDocument/2006/relationships/hyperlink" Target="https://chem.echa.europa.eu/substance-search?searchText=115-96-8" TargetMode="External"/><Relationship Id="rId213" Type="http://schemas.openxmlformats.org/officeDocument/2006/relationships/hyperlink" Target="https://chemicalsafety.ilo.org/dyn/icsc/showcard.display?p_card_id=0054&amp;p_lang=en" TargetMode="External"/><Relationship Id="rId4066" Type="http://schemas.openxmlformats.org/officeDocument/2006/relationships/hyperlink" Target="https://chemicalsafety.ilo.org/dyn/icsc/showcard.display?p_card_id=1047&amp;p_lang=tr" TargetMode="External"/><Relationship Id="rId5464" Type="http://schemas.openxmlformats.org/officeDocument/2006/relationships/hyperlink" Target="https://chem.echa.europa.eu/substance-search?searchText=123-19-3" TargetMode="External"/><Relationship Id="rId6515" Type="http://schemas.openxmlformats.org/officeDocument/2006/relationships/hyperlink" Target="https://www.google.com/search?q=26896-20-8+SDS+safety+data+sheet+filetype:pdf" TargetMode="External"/><Relationship Id="rId4480" Type="http://schemas.openxmlformats.org/officeDocument/2006/relationships/hyperlink" Target="https://chem.echa.europa.eu/substance-search?searchText=107-49-3" TargetMode="External"/><Relationship Id="rId5117" Type="http://schemas.openxmlformats.org/officeDocument/2006/relationships/hyperlink" Target="https://chemicalsafety.ilo.org/dyn/icsc/showcard.display?p_card_id=1324&amp;p_lang=en" TargetMode="External"/><Relationship Id="rId5531" Type="http://schemas.openxmlformats.org/officeDocument/2006/relationships/hyperlink" Target="https://www.google.com/search?q=64741-88-4+SDS+safety+data+sheet+filetype:pdf" TargetMode="External"/><Relationship Id="rId1727" Type="http://schemas.openxmlformats.org/officeDocument/2006/relationships/hyperlink" Target="https://www.google.com/search?q=540-59-0+SDS+safety+data+sheet+filetype:pdf" TargetMode="External"/><Relationship Id="rId3082" Type="http://schemas.openxmlformats.org/officeDocument/2006/relationships/hyperlink" Target="https://chemicalsafety.ilo.org/dyn/icsc/showcard.display?p_card_id=0791&amp;p_lang=tr" TargetMode="External"/><Relationship Id="rId4133" Type="http://schemas.openxmlformats.org/officeDocument/2006/relationships/hyperlink" Target="https://chemicalsafety.ilo.org/dyn/icsc/showcard.display?p_card_id=1065&amp;p_lang=en" TargetMode="External"/><Relationship Id="rId19" Type="http://schemas.openxmlformats.org/officeDocument/2006/relationships/hyperlink" Target="https://www.google.com/search?q=1910-42-5+SDS+safety+data+sheet+filetype:pdf" TargetMode="External"/><Relationship Id="rId3899" Type="http://schemas.openxmlformats.org/officeDocument/2006/relationships/hyperlink" Target="https://www.google.com/search?q=7439-98-7+SDS+safety+data+sheet+filetype:pdf" TargetMode="External"/><Relationship Id="rId4200" Type="http://schemas.openxmlformats.org/officeDocument/2006/relationships/hyperlink" Target="https://chem.echa.europa.eu/substance-search?searchText=111-27-3" TargetMode="External"/><Relationship Id="rId6372" Type="http://schemas.openxmlformats.org/officeDocument/2006/relationships/hyperlink" Target="https://chem.echa.europa.eu/substance-search?searchText=538-07-8" TargetMode="External"/><Relationship Id="rId3966" Type="http://schemas.openxmlformats.org/officeDocument/2006/relationships/hyperlink" Target="https://chemicalsafety.ilo.org/dyn/icsc/showcard.display?p_card_id=1022&amp;p_lang=tr" TargetMode="External"/><Relationship Id="rId6025" Type="http://schemas.openxmlformats.org/officeDocument/2006/relationships/hyperlink" Target="https://chemicalsafety.ilo.org/dyn/icsc/showcard.display?p_card_id=1561&amp;p_lang=en" TargetMode="External"/><Relationship Id="rId3" Type="http://schemas.openxmlformats.org/officeDocument/2006/relationships/hyperlink" Target="https://www.google.com/search?q=1333-74-0+SDS+safety+data+sheet+filetype:pdf" TargetMode="External"/><Relationship Id="rId887" Type="http://schemas.openxmlformats.org/officeDocument/2006/relationships/hyperlink" Target="https://www.google.com/search?q=98-05-5+SDS+safety+data+sheet+filetype:pdf" TargetMode="External"/><Relationship Id="rId2568" Type="http://schemas.openxmlformats.org/officeDocument/2006/relationships/hyperlink" Target="https://chem.echa.europa.eu/substance-search?searchText=591-76-4" TargetMode="External"/><Relationship Id="rId2982" Type="http://schemas.openxmlformats.org/officeDocument/2006/relationships/hyperlink" Target="https://chemicalsafety.ilo.org/dyn/icsc/showcard.display?p_card_id=0766&amp;p_lang=tr" TargetMode="External"/><Relationship Id="rId3619" Type="http://schemas.openxmlformats.org/officeDocument/2006/relationships/hyperlink" Target="https://www.google.com/search?q=12035-72-2+SDS+safety+data+sheet+filetype:pdf" TargetMode="External"/><Relationship Id="rId5041" Type="http://schemas.openxmlformats.org/officeDocument/2006/relationships/hyperlink" Target="https://chemicalsafety.ilo.org/dyn/icsc/showcard.display?p_card_id=1303&amp;p_lang=en" TargetMode="External"/><Relationship Id="rId954" Type="http://schemas.openxmlformats.org/officeDocument/2006/relationships/hyperlink" Target="https://chemicalsafety.ilo.org/dyn/icsc/showcard.display?p_card_id=0240&amp;p_lang=tr" TargetMode="External"/><Relationship Id="rId1584" Type="http://schemas.openxmlformats.org/officeDocument/2006/relationships/hyperlink" Target="https://chem.echa.europa.eu/substance-search?searchText=123-86-4" TargetMode="External"/><Relationship Id="rId2635" Type="http://schemas.openxmlformats.org/officeDocument/2006/relationships/hyperlink" Target="https://www.google.com/search?q=95-94-3+SDS+safety+data+sheet+filetype:pdf" TargetMode="External"/><Relationship Id="rId607" Type="http://schemas.openxmlformats.org/officeDocument/2006/relationships/hyperlink" Target="https://www.google.com/search?q=141-43-5+SDS+safety+data+sheet+filetype:pdf" TargetMode="External"/><Relationship Id="rId1237" Type="http://schemas.openxmlformats.org/officeDocument/2006/relationships/hyperlink" Target="https://chemicalsafety.ilo.org/dyn/icsc/showcard.display?p_card_id=0311&amp;p_lang=en" TargetMode="External"/><Relationship Id="rId1651" Type="http://schemas.openxmlformats.org/officeDocument/2006/relationships/hyperlink" Target="https://www.google.com/search?q=111-44-4+SDS+safety+data+sheet+filetype:pdf" TargetMode="External"/><Relationship Id="rId2702" Type="http://schemas.openxmlformats.org/officeDocument/2006/relationships/hyperlink" Target="https://chemicalsafety.ilo.org/dyn/icsc/showcard.display?p_card_id=0696&amp;p_lang=tr" TargetMode="External"/><Relationship Id="rId5858" Type="http://schemas.openxmlformats.org/officeDocument/2006/relationships/hyperlink" Target="https://chemicalsafety.ilo.org/dyn/icsc/showcard.display?p_card_id=1518&amp;p_lang=tr" TargetMode="External"/><Relationship Id="rId1304" Type="http://schemas.openxmlformats.org/officeDocument/2006/relationships/hyperlink" Target="https://chem.echa.europa.eu/substance-search?searchText=60-41-3" TargetMode="External"/><Relationship Id="rId4874" Type="http://schemas.openxmlformats.org/officeDocument/2006/relationships/hyperlink" Target="https://chemicalsafety.ilo.org/dyn/icsc/showcard.display?p_card_id=1261&amp;p_lang=tr" TargetMode="External"/><Relationship Id="rId3476" Type="http://schemas.openxmlformats.org/officeDocument/2006/relationships/hyperlink" Target="https://chem.echa.europa.eu/substance-search?searchText=50-70-4" TargetMode="External"/><Relationship Id="rId4527" Type="http://schemas.openxmlformats.org/officeDocument/2006/relationships/hyperlink" Target="https://www.google.com/search?q=123-96-6+SDS+safety+data+sheet+filetype:pdf" TargetMode="External"/><Relationship Id="rId5925" Type="http://schemas.openxmlformats.org/officeDocument/2006/relationships/hyperlink" Target="https://chemicalsafety.ilo.org/dyn/icsc/showcard.display?p_card_id=1535&amp;p_lang=en" TargetMode="External"/><Relationship Id="rId10" Type="http://schemas.openxmlformats.org/officeDocument/2006/relationships/hyperlink" Target="https://chemicalsafety.ilo.org/dyn/icsc/showcard.display?p_card_id=0003&amp;p_lang=tr" TargetMode="External"/><Relationship Id="rId397" Type="http://schemas.openxmlformats.org/officeDocument/2006/relationships/hyperlink" Target="https://chemicalsafety.ilo.org/dyn/icsc/showcard.display?p_card_id=0100&amp;p_lang=en" TargetMode="External"/><Relationship Id="rId2078" Type="http://schemas.openxmlformats.org/officeDocument/2006/relationships/hyperlink" Target="https://chemicalsafety.ilo.org/dyn/icsc/showcard.display?p_card_id=0530&amp;p_lang=tr" TargetMode="External"/><Relationship Id="rId2492" Type="http://schemas.openxmlformats.org/officeDocument/2006/relationships/hyperlink" Target="https://chem.echa.europa.eu/substance-search?searchText=98-54-4" TargetMode="External"/><Relationship Id="rId3129" Type="http://schemas.openxmlformats.org/officeDocument/2006/relationships/hyperlink" Target="https://chemicalsafety.ilo.org/dyn/icsc/showcard.display?p_card_id=0803&amp;p_lang=en" TargetMode="External"/><Relationship Id="rId3890" Type="http://schemas.openxmlformats.org/officeDocument/2006/relationships/hyperlink" Target="https://chemicalsafety.ilo.org/dyn/icsc/showcard.display?p_card_id=1001&amp;p_lang=tr" TargetMode="External"/><Relationship Id="rId4941" Type="http://schemas.openxmlformats.org/officeDocument/2006/relationships/hyperlink" Target="https://chemicalsafety.ilo.org/dyn/icsc/showcard.display?p_card_id=1278&amp;p_lang=en" TargetMode="External"/><Relationship Id="rId464" Type="http://schemas.openxmlformats.org/officeDocument/2006/relationships/hyperlink" Target="https://chem.echa.europa.eu/substance-search?searchText=10108-64-2" TargetMode="External"/><Relationship Id="rId1094" Type="http://schemas.openxmlformats.org/officeDocument/2006/relationships/hyperlink" Target="https://chemicalsafety.ilo.org/dyn/icsc/showcard.display?p_card_id=0275&amp;p_lang=tr" TargetMode="External"/><Relationship Id="rId2145" Type="http://schemas.openxmlformats.org/officeDocument/2006/relationships/hyperlink" Target="https://chemicalsafety.ilo.org/dyn/icsc/showcard.display?p_card_id=0548&amp;p_lang=en" TargetMode="External"/><Relationship Id="rId3543" Type="http://schemas.openxmlformats.org/officeDocument/2006/relationships/hyperlink" Target="https://www.google.com/search?q=768-52-5+SDS+safety+data+sheet+filetype:pdf" TargetMode="External"/><Relationship Id="rId6699" Type="http://schemas.openxmlformats.org/officeDocument/2006/relationships/hyperlink" Target="https://www.google.com/search?q=115-19-5+SDS+safety+data+sheet+filetype:pdf" TargetMode="External"/><Relationship Id="rId117" Type="http://schemas.openxmlformats.org/officeDocument/2006/relationships/hyperlink" Target="https://chemicalsafety.ilo.org/dyn/icsc/showcard.display?p_card_id=0030&amp;p_lang=en" TargetMode="External"/><Relationship Id="rId3610" Type="http://schemas.openxmlformats.org/officeDocument/2006/relationships/hyperlink" Target="https://chemicalsafety.ilo.org/dyn/icsc/showcard.display?p_card_id=0926&amp;p_lang=tr" TargetMode="External"/><Relationship Id="rId6766" Type="http://schemas.openxmlformats.org/officeDocument/2006/relationships/hyperlink" Target="https://chemicalsafety.ilo.org/dyn/icsc/showcard.display?p_card_id=1764&amp;p_lang=tr" TargetMode="External"/><Relationship Id="rId531" Type="http://schemas.openxmlformats.org/officeDocument/2006/relationships/hyperlink" Target="https://www.google.com/search?q=126-99-8+SDS+safety+data+sheet+filetype:pdf" TargetMode="External"/><Relationship Id="rId1161" Type="http://schemas.openxmlformats.org/officeDocument/2006/relationships/hyperlink" Target="https://chemicalsafety.ilo.org/dyn/icsc/showcard.display?p_card_id=0292&amp;p_lang=en" TargetMode="External"/><Relationship Id="rId2212" Type="http://schemas.openxmlformats.org/officeDocument/2006/relationships/hyperlink" Target="https://chem.echa.europa.eu/substance-search?searchText=7803-62-5" TargetMode="External"/><Relationship Id="rId5368" Type="http://schemas.openxmlformats.org/officeDocument/2006/relationships/hyperlink" Target="https://chem.echa.europa.eu/substance-search?searchText=25551-13-7" TargetMode="External"/><Relationship Id="rId5782" Type="http://schemas.openxmlformats.org/officeDocument/2006/relationships/hyperlink" Target="https://chemicalsafety.ilo.org/dyn/icsc/showcard.display?p_card_id=1499&amp;p_lang=tr" TargetMode="External"/><Relationship Id="rId6419" Type="http://schemas.openxmlformats.org/officeDocument/2006/relationships/hyperlink" Target="https://www.google.com/search?q=16940-66-2+SDS+safety+data+sheet+filetype:pdf" TargetMode="External"/><Relationship Id="rId6833" Type="http://schemas.openxmlformats.org/officeDocument/2006/relationships/hyperlink" Target="https://chemicalsafety.ilo.org/dyn/icsc/showcard.display?p_card_id=1782&amp;p_lang=en" TargetMode="External"/><Relationship Id="rId1978" Type="http://schemas.openxmlformats.org/officeDocument/2006/relationships/hyperlink" Target="https://chemicalsafety.ilo.org/dyn/icsc/showcard.display?p_card_id=0501&amp;p_lang=tr" TargetMode="External"/><Relationship Id="rId4384" Type="http://schemas.openxmlformats.org/officeDocument/2006/relationships/hyperlink" Target="https://chem.echa.europa.eu/substance-search?searchText=7631-90-5" TargetMode="External"/><Relationship Id="rId5435" Type="http://schemas.openxmlformats.org/officeDocument/2006/relationships/hyperlink" Target="https://www.google.com/search?q=1314-80-3+SDS+safety+data+sheet+filetype:pdf" TargetMode="External"/><Relationship Id="rId4037" Type="http://schemas.openxmlformats.org/officeDocument/2006/relationships/hyperlink" Target="https://chemicalsafety.ilo.org/dyn/icsc/showcard.display?p_card_id=1040&amp;p_lang=en" TargetMode="External"/><Relationship Id="rId4451" Type="http://schemas.openxmlformats.org/officeDocument/2006/relationships/hyperlink" Target="https://www.google.com/search?q=112-36-7+SDS+safety+data+sheet+filetype:pdf" TargetMode="External"/><Relationship Id="rId5502" Type="http://schemas.openxmlformats.org/officeDocument/2006/relationships/hyperlink" Target="https://chemicalsafety.ilo.org/dyn/icsc/showcard.display?p_card_id=1424&amp;p_lang=tr" TargetMode="External"/><Relationship Id="rId3053" Type="http://schemas.openxmlformats.org/officeDocument/2006/relationships/hyperlink" Target="https://chemicalsafety.ilo.org/dyn/icsc/showcard.display?p_card_id=0784&amp;p_lang=en" TargetMode="External"/><Relationship Id="rId4104" Type="http://schemas.openxmlformats.org/officeDocument/2006/relationships/hyperlink" Target="https://chem.echa.europa.eu/substance-search?searchText=628-96-6" TargetMode="External"/><Relationship Id="rId3120" Type="http://schemas.openxmlformats.org/officeDocument/2006/relationships/hyperlink" Target="https://chem.echa.europa.eu/substance-search?searchText=108-65-6" TargetMode="External"/><Relationship Id="rId6276" Type="http://schemas.openxmlformats.org/officeDocument/2006/relationships/hyperlink" Target="https://chem.echa.europa.eu/substance-search?searchText=119-80-2" TargetMode="External"/><Relationship Id="rId6690" Type="http://schemas.openxmlformats.org/officeDocument/2006/relationships/hyperlink" Target="https://chemicalsafety.ilo.org/dyn/icsc/showcard.display?p_card_id=1744&amp;p_lang=tr" TargetMode="External"/><Relationship Id="rId2886" Type="http://schemas.openxmlformats.org/officeDocument/2006/relationships/hyperlink" Target="https://chemicalsafety.ilo.org/dyn/icsc/showcard.display?p_card_id=0742&amp;p_lang=tr" TargetMode="External"/><Relationship Id="rId3937" Type="http://schemas.openxmlformats.org/officeDocument/2006/relationships/hyperlink" Target="https://chemicalsafety.ilo.org/dyn/icsc/showcard.display?p_card_id=1015&amp;p_lang=en" TargetMode="External"/><Relationship Id="rId5292" Type="http://schemas.openxmlformats.org/officeDocument/2006/relationships/hyperlink" Target="https://chem.echa.europa.eu/substance-search?searchText=10588-01-9" TargetMode="External"/><Relationship Id="rId6343" Type="http://schemas.openxmlformats.org/officeDocument/2006/relationships/hyperlink" Target="https://www.google.com/search?q=85-42-7+SDS+safety+data+sheet+filetype:pdf" TargetMode="External"/><Relationship Id="rId858" Type="http://schemas.openxmlformats.org/officeDocument/2006/relationships/hyperlink" Target="https://chemicalsafety.ilo.org/dyn/icsc/showcard.display?p_card_id=0216&amp;p_lang=tr" TargetMode="External"/><Relationship Id="rId1488" Type="http://schemas.openxmlformats.org/officeDocument/2006/relationships/hyperlink" Target="https://chem.echa.europa.eu/substance-search?searchText=109-73-9" TargetMode="External"/><Relationship Id="rId2539" Type="http://schemas.openxmlformats.org/officeDocument/2006/relationships/hyperlink" Target="https://www.google.com/search?q=84-61-7+SDS+safety+data+sheet+filetype:pdf" TargetMode="External"/><Relationship Id="rId2953" Type="http://schemas.openxmlformats.org/officeDocument/2006/relationships/hyperlink" Target="https://chemicalsafety.ilo.org/dyn/icsc/showcard.display?p_card_id=0759&amp;p_lang=en" TargetMode="External"/><Relationship Id="rId6410" Type="http://schemas.openxmlformats.org/officeDocument/2006/relationships/hyperlink" Target="https://chemicalsafety.ilo.org/dyn/icsc/showcard.display?p_card_id=1668&amp;p_lang=tr" TargetMode="External"/><Relationship Id="rId925" Type="http://schemas.openxmlformats.org/officeDocument/2006/relationships/hyperlink" Target="https://chemicalsafety.ilo.org/dyn/icsc/showcard.display?p_card_id=0233&amp;p_lang=en" TargetMode="External"/><Relationship Id="rId1555" Type="http://schemas.openxmlformats.org/officeDocument/2006/relationships/hyperlink" Target="https://www.google.com/search?q=21725-46-2+SDS+safety+data+sheet+filetype:pdf" TargetMode="External"/><Relationship Id="rId2606" Type="http://schemas.openxmlformats.org/officeDocument/2006/relationships/hyperlink" Target="https://chemicalsafety.ilo.org/dyn/icsc/showcard.display?p_card_id=0669&amp;p_lang=tr" TargetMode="External"/><Relationship Id="rId5012" Type="http://schemas.openxmlformats.org/officeDocument/2006/relationships/hyperlink" Target="https://chem.echa.europa.eu/substance-search?searchText=118-92-3" TargetMode="External"/><Relationship Id="rId1208" Type="http://schemas.openxmlformats.org/officeDocument/2006/relationships/hyperlink" Target="https://chem.echa.europa.eu/substance-search?searchText=1338-02-9" TargetMode="External"/><Relationship Id="rId1622" Type="http://schemas.openxmlformats.org/officeDocument/2006/relationships/hyperlink" Target="https://chemicalsafety.ilo.org/dyn/icsc/showcard.display?p_card_id=0409&amp;p_lang=tr" TargetMode="External"/><Relationship Id="rId4778" Type="http://schemas.openxmlformats.org/officeDocument/2006/relationships/hyperlink" Target="https://chemicalsafety.ilo.org/dyn/icsc/showcard.display?p_card_id=1237&amp;p_lang=tr" TargetMode="External"/><Relationship Id="rId5829" Type="http://schemas.openxmlformats.org/officeDocument/2006/relationships/hyperlink" Target="https://chemicalsafety.ilo.org/dyn/icsc/showcard.display?p_card_id=1511&amp;p_lang=en" TargetMode="External"/><Relationship Id="rId3794" Type="http://schemas.openxmlformats.org/officeDocument/2006/relationships/hyperlink" Target="https://chemicalsafety.ilo.org/dyn/icsc/showcard.display?p_card_id=0973&amp;p_lang=tr" TargetMode="External"/><Relationship Id="rId4845" Type="http://schemas.openxmlformats.org/officeDocument/2006/relationships/hyperlink" Target="https://chemicalsafety.ilo.org/dyn/icsc/showcard.display?p_card_id=1254&amp;p_lang=en" TargetMode="External"/><Relationship Id="rId2396" Type="http://schemas.openxmlformats.org/officeDocument/2006/relationships/hyperlink" Target="https://chem.echa.europa.eu/substance-search?searchText=13477-00-4" TargetMode="External"/><Relationship Id="rId3447" Type="http://schemas.openxmlformats.org/officeDocument/2006/relationships/hyperlink" Target="https://www.google.com/search?q=1321-74-0+SDS+safety+data+sheet+filetype:pdf" TargetMode="External"/><Relationship Id="rId3861" Type="http://schemas.openxmlformats.org/officeDocument/2006/relationships/hyperlink" Target="https://chemicalsafety.ilo.org/dyn/icsc/showcard.display?p_card_id=0991&amp;p_lang=en" TargetMode="External"/><Relationship Id="rId4912" Type="http://schemas.openxmlformats.org/officeDocument/2006/relationships/hyperlink" Target="https://chem.echa.europa.eu/substance-search?searchText=97-90-5" TargetMode="External"/><Relationship Id="rId368" Type="http://schemas.openxmlformats.org/officeDocument/2006/relationships/hyperlink" Target="https://chem.echa.europa.eu/substance-search?searchText=107-13-1" TargetMode="External"/><Relationship Id="rId782" Type="http://schemas.openxmlformats.org/officeDocument/2006/relationships/hyperlink" Target="https://chemicalsafety.ilo.org/dyn/icsc/showcard.display?p_card_id=0196&amp;p_lang=tr" TargetMode="External"/><Relationship Id="rId2049" Type="http://schemas.openxmlformats.org/officeDocument/2006/relationships/hyperlink" Target="https://chemicalsafety.ilo.org/dyn/icsc/showcard.display?p_card_id=0522&amp;p_lang=en" TargetMode="External"/><Relationship Id="rId2463" Type="http://schemas.openxmlformats.org/officeDocument/2006/relationships/hyperlink" Target="https://www.google.com/search?q=95-69-2+SDS+safety+data+sheet+filetype:pdf" TargetMode="External"/><Relationship Id="rId3514" Type="http://schemas.openxmlformats.org/officeDocument/2006/relationships/hyperlink" Target="https://chemicalsafety.ilo.org/dyn/icsc/showcard.display?p_card_id=0902&amp;p_lang=tr" TargetMode="External"/><Relationship Id="rId435" Type="http://schemas.openxmlformats.org/officeDocument/2006/relationships/hyperlink" Target="https://www.google.com/search?q=74-83-9+SDS+safety+data+sheet+filetype:pdf" TargetMode="External"/><Relationship Id="rId1065" Type="http://schemas.openxmlformats.org/officeDocument/2006/relationships/hyperlink" Target="https://chemicalsafety.ilo.org/dyn/icsc/showcard.display?p_card_id=0268&amp;p_lang=en" TargetMode="External"/><Relationship Id="rId2116" Type="http://schemas.openxmlformats.org/officeDocument/2006/relationships/hyperlink" Target="https://chem.echa.europa.eu/substance-search?searchText=122-79-2" TargetMode="External"/><Relationship Id="rId2530" Type="http://schemas.openxmlformats.org/officeDocument/2006/relationships/hyperlink" Target="https://chemicalsafety.ilo.org/dyn/icsc/showcard.display?p_card_id=0649&amp;p_lang=tr" TargetMode="External"/><Relationship Id="rId5686" Type="http://schemas.openxmlformats.org/officeDocument/2006/relationships/hyperlink" Target="https://chemicalsafety.ilo.org/dyn/icsc/showcard.display?p_card_id=1473&amp;p_lang=tr" TargetMode="External"/><Relationship Id="rId6737" Type="http://schemas.openxmlformats.org/officeDocument/2006/relationships/hyperlink" Target="https://chemicalsafety.ilo.org/dyn/icsc/showcard.display?p_card_id=1757&amp;p_lang=en" TargetMode="External"/><Relationship Id="rId502" Type="http://schemas.openxmlformats.org/officeDocument/2006/relationships/hyperlink" Target="https://chemicalsafety.ilo.org/dyn/icsc/showcard.display?p_card_id=0126&amp;p_lang=tr" TargetMode="External"/><Relationship Id="rId1132" Type="http://schemas.openxmlformats.org/officeDocument/2006/relationships/hyperlink" Target="https://chem.echa.europa.eu/substance-search?searchText=7783-07-5" TargetMode="External"/><Relationship Id="rId4288" Type="http://schemas.openxmlformats.org/officeDocument/2006/relationships/hyperlink" Target="https://chem.echa.europa.eu/substance-search?searchText=554-13-2" TargetMode="External"/><Relationship Id="rId5339" Type="http://schemas.openxmlformats.org/officeDocument/2006/relationships/hyperlink" Target="https://www.google.com/search?q=64742-88-7+SDS+safety+data+sheet+filetype:pdf" TargetMode="External"/><Relationship Id="rId4355" Type="http://schemas.openxmlformats.org/officeDocument/2006/relationships/hyperlink" Target="https://www.google.com/search?q=1305-99-3+SDS+safety+data+sheet+filetype:pdf" TargetMode="External"/><Relationship Id="rId5753" Type="http://schemas.openxmlformats.org/officeDocument/2006/relationships/hyperlink" Target="https://chemicalsafety.ilo.org/dyn/icsc/showcard.display?p_card_id=1492&amp;p_lang=en" TargetMode="External"/><Relationship Id="rId6804" Type="http://schemas.openxmlformats.org/officeDocument/2006/relationships/hyperlink" Target="https://chem.echa.europa.eu/substance-search?searchText=463-82-1" TargetMode="External"/><Relationship Id="rId1949" Type="http://schemas.openxmlformats.org/officeDocument/2006/relationships/hyperlink" Target="https://chemicalsafety.ilo.org/dyn/icsc/showcard.display?p_card_id=0494&amp;p_lang=en" TargetMode="External"/><Relationship Id="rId4008" Type="http://schemas.openxmlformats.org/officeDocument/2006/relationships/hyperlink" Target="https://chem.echa.europa.eu/substance-search?searchText=110-85-0" TargetMode="External"/><Relationship Id="rId5406" Type="http://schemas.openxmlformats.org/officeDocument/2006/relationships/hyperlink" Target="https://chemicalsafety.ilo.org/dyn/icsc/showcard.display?p_card_id=1400&amp;p_lang=tr" TargetMode="External"/><Relationship Id="rId5820" Type="http://schemas.openxmlformats.org/officeDocument/2006/relationships/hyperlink" Target="https://chem.echa.europa.eu/substance-search?searchText=7440-21-3" TargetMode="External"/><Relationship Id="rId292" Type="http://schemas.openxmlformats.org/officeDocument/2006/relationships/hyperlink" Target="https://chem.echa.europa.eu/substance-search?searchText=100-42-5" TargetMode="External"/><Relationship Id="rId3371" Type="http://schemas.openxmlformats.org/officeDocument/2006/relationships/hyperlink" Target="https://www.google.com/search?q=124-02-7+SDS+safety+data+sheet+filetype:pdf" TargetMode="External"/><Relationship Id="rId4422" Type="http://schemas.openxmlformats.org/officeDocument/2006/relationships/hyperlink" Target="https://chemicalsafety.ilo.org/dyn/icsc/showcard.display?p_card_id=1144&amp;p_lang=tr" TargetMode="External"/><Relationship Id="rId3024" Type="http://schemas.openxmlformats.org/officeDocument/2006/relationships/hyperlink" Target="https://chem.echa.europa.eu/substance-search?searchText=7803-52-3" TargetMode="External"/><Relationship Id="rId6594" Type="http://schemas.openxmlformats.org/officeDocument/2006/relationships/hyperlink" Target="https://chemicalsafety.ilo.org/dyn/icsc/showcard.display?p_card_id=1719&amp;p_lang=tr" TargetMode="External"/><Relationship Id="rId2040" Type="http://schemas.openxmlformats.org/officeDocument/2006/relationships/hyperlink" Target="https://chem.echa.europa.eu/substance-search?searchText=54-11-5" TargetMode="External"/><Relationship Id="rId5196" Type="http://schemas.openxmlformats.org/officeDocument/2006/relationships/hyperlink" Target="https://chem.echa.europa.eu/substance-search?searchText=1806-26-4" TargetMode="External"/><Relationship Id="rId6247" Type="http://schemas.openxmlformats.org/officeDocument/2006/relationships/hyperlink" Target="https://www.google.com/search?q=24083-03-2+SDS+safety+data+sheet+filetype:pdf" TargetMode="External"/><Relationship Id="rId6661" Type="http://schemas.openxmlformats.org/officeDocument/2006/relationships/hyperlink" Target="https://chemicalsafety.ilo.org/dyn/icsc/showcard.display?p_card_id=1737&amp;p_lang=en" TargetMode="External"/><Relationship Id="rId5263" Type="http://schemas.openxmlformats.org/officeDocument/2006/relationships/hyperlink" Target="https://www.google.com/search?q=526-73-8+SDS+safety+data+sheet+filetype:pdf" TargetMode="External"/><Relationship Id="rId6314" Type="http://schemas.openxmlformats.org/officeDocument/2006/relationships/hyperlink" Target="https://chemicalsafety.ilo.org/dyn/icsc/showcard.display?p_card_id=1635&amp;p_lang=tr" TargetMode="External"/><Relationship Id="rId1459" Type="http://schemas.openxmlformats.org/officeDocument/2006/relationships/hyperlink" Target="https://www.google.com/search?q=77-99-6+SDS+safety+data+sheet+filetype:pdf" TargetMode="External"/><Relationship Id="rId2857" Type="http://schemas.openxmlformats.org/officeDocument/2006/relationships/hyperlink" Target="https://chemicalsafety.ilo.org/dyn/icsc/showcard.display?p_card_id=0735&amp;p_lang=en" TargetMode="External"/><Relationship Id="rId3908" Type="http://schemas.openxmlformats.org/officeDocument/2006/relationships/hyperlink" Target="https://chem.echa.europa.eu/substance-search?searchText=7601-90-3" TargetMode="External"/><Relationship Id="rId5330" Type="http://schemas.openxmlformats.org/officeDocument/2006/relationships/hyperlink" Target="https://chemicalsafety.ilo.org/dyn/icsc/showcard.display?p_card_id=1379&amp;p_lang=tr" TargetMode="External"/><Relationship Id="rId98" Type="http://schemas.openxmlformats.org/officeDocument/2006/relationships/hyperlink" Target="https://chemicalsafety.ilo.org/dyn/icsc/showcard.display?p_card_id=0025&amp;p_lang=tr" TargetMode="External"/><Relationship Id="rId829" Type="http://schemas.openxmlformats.org/officeDocument/2006/relationships/hyperlink" Target="https://chemicalsafety.ilo.org/dyn/icsc/showcard.display?p_card_id=0209&amp;p_lang=en" TargetMode="External"/><Relationship Id="rId1873" Type="http://schemas.openxmlformats.org/officeDocument/2006/relationships/hyperlink" Target="https://chemicalsafety.ilo.org/dyn/icsc/showcard.display?p_card_id=0475&amp;p_lang=en" TargetMode="External"/><Relationship Id="rId2924" Type="http://schemas.openxmlformats.org/officeDocument/2006/relationships/hyperlink" Target="https://chem.echa.europa.eu/substance-search?searchText=7758-98-7" TargetMode="External"/><Relationship Id="rId1526" Type="http://schemas.openxmlformats.org/officeDocument/2006/relationships/hyperlink" Target="https://chemicalsafety.ilo.org/dyn/icsc/showcard.display?p_card_id=0384&amp;p_lang=tr" TargetMode="External"/><Relationship Id="rId1940" Type="http://schemas.openxmlformats.org/officeDocument/2006/relationships/hyperlink" Target="https://chem.echa.europa.eu/substance-search?searchText=629-11-8" TargetMode="External"/><Relationship Id="rId3698" Type="http://schemas.openxmlformats.org/officeDocument/2006/relationships/hyperlink" Target="https://chemicalsafety.ilo.org/dyn/icsc/showcard.display?p_card_id=0948&amp;p_lang=tr" TargetMode="External"/><Relationship Id="rId4749" Type="http://schemas.openxmlformats.org/officeDocument/2006/relationships/hyperlink" Target="https://chemicalsafety.ilo.org/dyn/icsc/showcard.display?p_card_id=1230&amp;p_lang=en" TargetMode="External"/><Relationship Id="rId3765" Type="http://schemas.openxmlformats.org/officeDocument/2006/relationships/hyperlink" Target="https://chemicalsafety.ilo.org/dyn/icsc/showcard.display?p_card_id=0965&amp;p_lang=en" TargetMode="External"/><Relationship Id="rId4816" Type="http://schemas.openxmlformats.org/officeDocument/2006/relationships/hyperlink" Target="https://chem.echa.europa.eu/substance-search?searchText=1918-02-1" TargetMode="External"/><Relationship Id="rId6171" Type="http://schemas.openxmlformats.org/officeDocument/2006/relationships/hyperlink" Target="https://www.google.com/search?q=8042-47-5+SDS+safety+data+sheet+filetype:pdf" TargetMode="External"/><Relationship Id="rId686" Type="http://schemas.openxmlformats.org/officeDocument/2006/relationships/hyperlink" Target="https://chemicalsafety.ilo.org/dyn/icsc/showcard.display?p_card_id=0172&amp;p_lang=tr" TargetMode="External"/><Relationship Id="rId2367" Type="http://schemas.openxmlformats.org/officeDocument/2006/relationships/hyperlink" Target="https://www.google.com/search?q=3710-30-3+SDS+safety+data+sheet+filetype:pdf" TargetMode="External"/><Relationship Id="rId2781" Type="http://schemas.openxmlformats.org/officeDocument/2006/relationships/hyperlink" Target="https://chemicalsafety.ilo.org/dyn/icsc/showcard.display?p_card_id=0716&amp;p_lang=en" TargetMode="External"/><Relationship Id="rId3418" Type="http://schemas.openxmlformats.org/officeDocument/2006/relationships/hyperlink" Target="https://chemicalsafety.ilo.org/dyn/icsc/showcard.display?p_card_id=0878&amp;p_lang=tr" TargetMode="External"/><Relationship Id="rId339" Type="http://schemas.openxmlformats.org/officeDocument/2006/relationships/hyperlink" Target="https://www.google.com/search?q=108-38-3+SDS+safety+data+sheet+filetype:pdf" TargetMode="External"/><Relationship Id="rId753" Type="http://schemas.openxmlformats.org/officeDocument/2006/relationships/hyperlink" Target="https://chemicalsafety.ilo.org/dyn/icsc/showcard.display?p_card_id=0189&amp;p_lang=en" TargetMode="External"/><Relationship Id="rId1383" Type="http://schemas.openxmlformats.org/officeDocument/2006/relationships/hyperlink" Target="https://www.google.com/search?q=108-05-4+SDS+safety+data+sheet+filetype:pdf" TargetMode="External"/><Relationship Id="rId2434" Type="http://schemas.openxmlformats.org/officeDocument/2006/relationships/hyperlink" Target="https://chemicalsafety.ilo.org/dyn/icsc/showcard.display?p_card_id=0623&amp;p_lang=tr" TargetMode="External"/><Relationship Id="rId3832" Type="http://schemas.openxmlformats.org/officeDocument/2006/relationships/hyperlink" Target="https://chem.echa.europa.eu/substance-search?searchText=7783-35-9" TargetMode="External"/><Relationship Id="rId406" Type="http://schemas.openxmlformats.org/officeDocument/2006/relationships/hyperlink" Target="https://chemicalsafety.ilo.org/dyn/icsc/showcard.display?p_card_id=0102&amp;p_lang=tr" TargetMode="External"/><Relationship Id="rId1036" Type="http://schemas.openxmlformats.org/officeDocument/2006/relationships/hyperlink" Target="https://chem.echa.europa.eu/substance-search?searchText=124-40-3" TargetMode="External"/><Relationship Id="rId820" Type="http://schemas.openxmlformats.org/officeDocument/2006/relationships/hyperlink" Target="https://chem.echa.europa.eu/substance-search?searchText=1582-09-8" TargetMode="External"/><Relationship Id="rId1450" Type="http://schemas.openxmlformats.org/officeDocument/2006/relationships/hyperlink" Target="https://chemicalsafety.ilo.org/dyn/icsc/showcard.display?p_card_id=0364&amp;p_lang=tr" TargetMode="External"/><Relationship Id="rId2501" Type="http://schemas.openxmlformats.org/officeDocument/2006/relationships/hyperlink" Target="https://chemicalsafety.ilo.org/dyn/icsc/showcard.display?p_card_id=0641&amp;p_lang=en" TargetMode="External"/><Relationship Id="rId5657" Type="http://schemas.openxmlformats.org/officeDocument/2006/relationships/hyperlink" Target="https://chemicalsafety.ilo.org/dyn/icsc/showcard.display?p_card_id=1466&amp;p_lang=en" TargetMode="External"/><Relationship Id="rId6708" Type="http://schemas.openxmlformats.org/officeDocument/2006/relationships/hyperlink" Target="https://chem.echa.europa.eu/substance-search?searchText=590-86-3" TargetMode="External"/><Relationship Id="rId1103" Type="http://schemas.openxmlformats.org/officeDocument/2006/relationships/hyperlink" Target="https://www.google.com/search?q=151-67-7+SDS+safety+data+sheet+filetype:pdf" TargetMode="External"/><Relationship Id="rId4259" Type="http://schemas.openxmlformats.org/officeDocument/2006/relationships/hyperlink" Target="https://www.google.com/search?q=55335-06-3+SDS+safety+data+sheet+filetype:pdf" TargetMode="External"/><Relationship Id="rId4673" Type="http://schemas.openxmlformats.org/officeDocument/2006/relationships/hyperlink" Target="https://chemicalsafety.ilo.org/dyn/icsc/showcard.display?p_card_id=1211&amp;p_lang=en" TargetMode="External"/><Relationship Id="rId5724" Type="http://schemas.openxmlformats.org/officeDocument/2006/relationships/hyperlink" Target="https://chem.echa.europa.eu/substance-search?searchText=75-50-3" TargetMode="External"/><Relationship Id="rId3275" Type="http://schemas.openxmlformats.org/officeDocument/2006/relationships/hyperlink" Target="https://www.google.com/search?q=128-37-0+SDS+safety+data+sheet+filetype:pdf" TargetMode="External"/><Relationship Id="rId4326" Type="http://schemas.openxmlformats.org/officeDocument/2006/relationships/hyperlink" Target="https://chemicalsafety.ilo.org/dyn/icsc/showcard.display?p_card_id=1119&amp;p_lang=tr" TargetMode="External"/><Relationship Id="rId4740" Type="http://schemas.openxmlformats.org/officeDocument/2006/relationships/hyperlink" Target="https://chem.echa.europa.eu/substance-search?searchText=109-55-7" TargetMode="External"/><Relationship Id="rId196" Type="http://schemas.openxmlformats.org/officeDocument/2006/relationships/hyperlink" Target="https://chem.echa.europa.eu/substance-search?searchText=75-45-6" TargetMode="External"/><Relationship Id="rId2291" Type="http://schemas.openxmlformats.org/officeDocument/2006/relationships/hyperlink" Target="https://www.google.com/search?q=52-68-6+SDS+safety+data+sheet+filetype:pdf" TargetMode="External"/><Relationship Id="rId3342" Type="http://schemas.openxmlformats.org/officeDocument/2006/relationships/hyperlink" Target="https://chemicalsafety.ilo.org/dyn/icsc/showcard.display?p_card_id=0858&amp;p_lang=tr" TargetMode="External"/><Relationship Id="rId6498" Type="http://schemas.openxmlformats.org/officeDocument/2006/relationships/hyperlink" Target="https://chemicalsafety.ilo.org/dyn/icsc/showcard.display?p_card_id=1695&amp;p_lang=tr" TargetMode="External"/><Relationship Id="rId263" Type="http://schemas.openxmlformats.org/officeDocument/2006/relationships/hyperlink" Target="https://www.google.com/search?q=100-02-7+SDS+safety+data+sheet+filetype:pdf" TargetMode="External"/><Relationship Id="rId6565" Type="http://schemas.openxmlformats.org/officeDocument/2006/relationships/hyperlink" Target="https://chemicalsafety.ilo.org/dyn/icsc/showcard.display?p_card_id=1712&amp;p_lang=en" TargetMode="External"/><Relationship Id="rId330" Type="http://schemas.openxmlformats.org/officeDocument/2006/relationships/hyperlink" Target="https://chemicalsafety.ilo.org/dyn/icsc/showcard.display?p_card_id=0083&amp;p_lang=tr" TargetMode="External"/><Relationship Id="rId2011" Type="http://schemas.openxmlformats.org/officeDocument/2006/relationships/hyperlink" Target="https://www.google.com/search?q=74-88-4+SDS+safety+data+sheet+filetype:pdf" TargetMode="External"/><Relationship Id="rId5167" Type="http://schemas.openxmlformats.org/officeDocument/2006/relationships/hyperlink" Target="https://www.google.com/search?q=100-46-9+SDS+safety+data+sheet+filetype:pdf" TargetMode="External"/><Relationship Id="rId6218" Type="http://schemas.openxmlformats.org/officeDocument/2006/relationships/hyperlink" Target="https://chemicalsafety.ilo.org/dyn/icsc/showcard.display?p_card_id=1609&amp;p_lang=tr" TargetMode="External"/><Relationship Id="rId4183" Type="http://schemas.openxmlformats.org/officeDocument/2006/relationships/hyperlink" Target="https://www.google.com/search?q=616-38-6+SDS+safety+data+sheet+filetype:pdf" TargetMode="External"/><Relationship Id="rId5581" Type="http://schemas.openxmlformats.org/officeDocument/2006/relationships/hyperlink" Target="https://chemicalsafety.ilo.org/dyn/icsc/showcard.display?p_card_id=1444&amp;p_lang=en" TargetMode="External"/><Relationship Id="rId6632" Type="http://schemas.openxmlformats.org/officeDocument/2006/relationships/hyperlink" Target="https://chem.echa.europa.eu/substance-search?searchText=75-37-6" TargetMode="External"/><Relationship Id="rId1777" Type="http://schemas.openxmlformats.org/officeDocument/2006/relationships/hyperlink" Target="https://chemicalsafety.ilo.org/dyn/icsc/showcard.display?p_card_id=0449&amp;p_lang=en" TargetMode="External"/><Relationship Id="rId2828" Type="http://schemas.openxmlformats.org/officeDocument/2006/relationships/hyperlink" Target="https://chem.echa.europa.eu/substance-search?searchText=121-14-2" TargetMode="External"/><Relationship Id="rId5234" Type="http://schemas.openxmlformats.org/officeDocument/2006/relationships/hyperlink" Target="https://chemicalsafety.ilo.org/dyn/icsc/showcard.display?p_card_id=1355&amp;p_lang=tr" TargetMode="External"/><Relationship Id="rId69" Type="http://schemas.openxmlformats.org/officeDocument/2006/relationships/hyperlink" Target="https://chemicalsafety.ilo.org/dyn/icsc/showcard.display?p_card_id=0018&amp;p_lang=en" TargetMode="External"/><Relationship Id="rId1844" Type="http://schemas.openxmlformats.org/officeDocument/2006/relationships/hyperlink" Target="https://chem.echa.europa.eu/substance-search?searchText=102-06-7" TargetMode="External"/><Relationship Id="rId4250" Type="http://schemas.openxmlformats.org/officeDocument/2006/relationships/hyperlink" Target="https://chemicalsafety.ilo.org/dyn/icsc/showcard.display?p_card_id=1098&amp;p_lang=tr" TargetMode="External"/><Relationship Id="rId5301" Type="http://schemas.openxmlformats.org/officeDocument/2006/relationships/hyperlink" Target="https://chemicalsafety.ilo.org/dyn/icsc/showcard.display?p_card_id=1372&amp;p_lang=en" TargetMode="External"/><Relationship Id="rId1911" Type="http://schemas.openxmlformats.org/officeDocument/2006/relationships/hyperlink" Target="https://www.google.com/search?q=62-74-8+SDS+safety+data+sheet+filetype:pdf" TargetMode="External"/><Relationship Id="rId3669" Type="http://schemas.openxmlformats.org/officeDocument/2006/relationships/hyperlink" Target="https://chemicalsafety.ilo.org/dyn/icsc/showcard.display?p_card_id=0941&amp;p_lang=en" TargetMode="External"/><Relationship Id="rId6075" Type="http://schemas.openxmlformats.org/officeDocument/2006/relationships/hyperlink" Target="https://www.google.com/search?q=1569-02-4+SDS+safety+data+sheet+filetype:pdf" TargetMode="External"/><Relationship Id="rId5091" Type="http://schemas.openxmlformats.org/officeDocument/2006/relationships/hyperlink" Target="https://www.google.com/search?q=10049-05-5+SDS+safety+data+sheet+filetype:pdf" TargetMode="External"/><Relationship Id="rId6142" Type="http://schemas.openxmlformats.org/officeDocument/2006/relationships/hyperlink" Target="https://chemicalsafety.ilo.org/dyn/icsc/showcard.display?p_card_id=1590&amp;p_lang=tr" TargetMode="External"/><Relationship Id="rId1287" Type="http://schemas.openxmlformats.org/officeDocument/2006/relationships/hyperlink" Target="https://www.google.com/search?q=110-86-1+SDS+safety+data+sheet+filetype:pdf" TargetMode="External"/><Relationship Id="rId2685" Type="http://schemas.openxmlformats.org/officeDocument/2006/relationships/hyperlink" Target="https://chemicalsafety.ilo.org/dyn/icsc/showcard.display?p_card_id=0691&amp;p_lang=en" TargetMode="External"/><Relationship Id="rId3736" Type="http://schemas.openxmlformats.org/officeDocument/2006/relationships/hyperlink" Target="https://chem.echa.europa.eu/substance-search?searchText=7789-06-2" TargetMode="External"/><Relationship Id="rId657" Type="http://schemas.openxmlformats.org/officeDocument/2006/relationships/hyperlink" Target="https://chemicalsafety.ilo.org/dyn/icsc/showcard.display?p_card_id=0165&amp;p_lang=en" TargetMode="External"/><Relationship Id="rId2338" Type="http://schemas.openxmlformats.org/officeDocument/2006/relationships/hyperlink" Target="https://chemicalsafety.ilo.org/dyn/icsc/showcard.display?p_card_id=0597&amp;p_lang=tr" TargetMode="External"/><Relationship Id="rId2752" Type="http://schemas.openxmlformats.org/officeDocument/2006/relationships/hyperlink" Target="https://chem.echa.europa.eu/substance-search?searchText=944-22-9" TargetMode="External"/><Relationship Id="rId3803" Type="http://schemas.openxmlformats.org/officeDocument/2006/relationships/hyperlink" Target="https://www.google.com/search?q=299-84-3+SDS+safety+data+sheet+filetype:pdf" TargetMode="External"/><Relationship Id="rId724" Type="http://schemas.openxmlformats.org/officeDocument/2006/relationships/hyperlink" Target="https://chem.echa.europa.eu/substance-search?searchText=6923-22-4" TargetMode="External"/><Relationship Id="rId1354" Type="http://schemas.openxmlformats.org/officeDocument/2006/relationships/hyperlink" Target="https://chemicalsafety.ilo.org/dyn/icsc/showcard.display?p_card_id=0340&amp;p_lang=tr" TargetMode="External"/><Relationship Id="rId2405" Type="http://schemas.openxmlformats.org/officeDocument/2006/relationships/hyperlink" Target="https://chemicalsafety.ilo.org/dyn/icsc/showcard.display?p_card_id=0616&amp;p_lang=en" TargetMode="External"/><Relationship Id="rId5975" Type="http://schemas.openxmlformats.org/officeDocument/2006/relationships/hyperlink" Target="https://www.google.com/search?q=91-17-8+SDS+safety+data+sheet+filetype:pdf" TargetMode="External"/><Relationship Id="rId60" Type="http://schemas.openxmlformats.org/officeDocument/2006/relationships/hyperlink" Target="https://chem.echa.europa.eu/substance-search?searchText=71-43-2" TargetMode="External"/><Relationship Id="rId1007" Type="http://schemas.openxmlformats.org/officeDocument/2006/relationships/hyperlink" Target="https://www.google.com/search?q=601-88-7+SDS+safety+data+sheet+filetype:pdf" TargetMode="External"/><Relationship Id="rId1421" Type="http://schemas.openxmlformats.org/officeDocument/2006/relationships/hyperlink" Target="https://chemicalsafety.ilo.org/dyn/icsc/showcard.display?p_card_id=0357&amp;p_lang=en" TargetMode="External"/><Relationship Id="rId4577" Type="http://schemas.openxmlformats.org/officeDocument/2006/relationships/hyperlink" Target="https://chemicalsafety.ilo.org/dyn/icsc/showcard.display?p_card_id=1183&amp;p_lang=en" TargetMode="External"/><Relationship Id="rId4991" Type="http://schemas.openxmlformats.org/officeDocument/2006/relationships/hyperlink" Target="https://www.google.com/search?q=122-62-3+SDS+safety+data+sheet+filetype:pdf" TargetMode="External"/><Relationship Id="rId5628" Type="http://schemas.openxmlformats.org/officeDocument/2006/relationships/hyperlink" Target="https://chem.echa.europa.eu/substance-search?searchText=1308-14-1" TargetMode="External"/><Relationship Id="rId3179" Type="http://schemas.openxmlformats.org/officeDocument/2006/relationships/hyperlink" Target="https://www.google.com/search?q=110-12-3+SDS+safety+data+sheet+filetype:pdf" TargetMode="External"/><Relationship Id="rId3593" Type="http://schemas.openxmlformats.org/officeDocument/2006/relationships/hyperlink" Target="https://chemicalsafety.ilo.org/dyn/icsc/showcard.display?p_card_id=0922&amp;p_lang=en" TargetMode="External"/><Relationship Id="rId4644" Type="http://schemas.openxmlformats.org/officeDocument/2006/relationships/hyperlink" Target="https://chem.echa.europa.eu/substance-search?searchText=7446-11-9" TargetMode="External"/><Relationship Id="rId2195" Type="http://schemas.openxmlformats.org/officeDocument/2006/relationships/hyperlink" Target="https://www.google.com/search?q=74-99-7+SDS+safety+data+sheet+filetype:pdf" TargetMode="External"/><Relationship Id="rId3246" Type="http://schemas.openxmlformats.org/officeDocument/2006/relationships/hyperlink" Target="https://chemicalsafety.ilo.org/dyn/icsc/showcard.display?p_card_id=0833&amp;p_lang=tr" TargetMode="External"/><Relationship Id="rId167" Type="http://schemas.openxmlformats.org/officeDocument/2006/relationships/hyperlink" Target="https://www.google.com/search?q=112-55-0+SDS+safety+data+sheet+filetype:pdf" TargetMode="External"/><Relationship Id="rId581" Type="http://schemas.openxmlformats.org/officeDocument/2006/relationships/hyperlink" Target="https://chemicalsafety.ilo.org/dyn/icsc/showcard.display?p_card_id=0146&amp;p_lang=en" TargetMode="External"/><Relationship Id="rId2262" Type="http://schemas.openxmlformats.org/officeDocument/2006/relationships/hyperlink" Target="https://chemicalsafety.ilo.org/dyn/icsc/showcard.display?p_card_id=0577&amp;p_lang=tr" TargetMode="External"/><Relationship Id="rId3660" Type="http://schemas.openxmlformats.org/officeDocument/2006/relationships/hyperlink" Target="https://chem.echa.europa.eu/substance-search?searchText=100-63-0" TargetMode="External"/><Relationship Id="rId4711" Type="http://schemas.openxmlformats.org/officeDocument/2006/relationships/hyperlink" Target="https://www.google.com/search?q=6858-44-2+SDS+safety+data+sheet+filetype:pdf" TargetMode="External"/><Relationship Id="rId234" Type="http://schemas.openxmlformats.org/officeDocument/2006/relationships/hyperlink" Target="https://chemicalsafety.ilo.org/dyn/icsc/showcard.display?p_card_id=0059&amp;p_lang=tr" TargetMode="External"/><Relationship Id="rId3313" Type="http://schemas.openxmlformats.org/officeDocument/2006/relationships/hyperlink" Target="https://chemicalsafety.ilo.org/dyn/icsc/showcard.display?p_card_id=0851&amp;p_lang=en" TargetMode="External"/><Relationship Id="rId6469" Type="http://schemas.openxmlformats.org/officeDocument/2006/relationships/hyperlink" Target="https://chemicalsafety.ilo.org/dyn/icsc/showcard.display?p_card_id=1683&amp;p_lang=en" TargetMode="External"/><Relationship Id="rId5485" Type="http://schemas.openxmlformats.org/officeDocument/2006/relationships/hyperlink" Target="https://chemicalsafety.ilo.org/dyn/icsc/showcard.display?p_card_id=1420&amp;p_lang=en" TargetMode="External"/><Relationship Id="rId6536" Type="http://schemas.openxmlformats.org/officeDocument/2006/relationships/hyperlink" Target="https://chem.echa.europa.eu/substance-search?searchText=79-92-5" TargetMode="External"/><Relationship Id="rId301" Type="http://schemas.openxmlformats.org/officeDocument/2006/relationships/hyperlink" Target="https://chemicalsafety.ilo.org/dyn/icsc/showcard.display?p_card_id=0076&amp;p_lang=en" TargetMode="External"/><Relationship Id="rId4087" Type="http://schemas.openxmlformats.org/officeDocument/2006/relationships/hyperlink" Target="https://www.google.com/search?q=7440-39-3+SDS+safety+data+sheet+filetype:pdf" TargetMode="External"/><Relationship Id="rId5138" Type="http://schemas.openxmlformats.org/officeDocument/2006/relationships/hyperlink" Target="https://chemicalsafety.ilo.org/dyn/icsc/showcard.display?p_card_id=1331&amp;p_lang=tr" TargetMode="External"/><Relationship Id="rId5552" Type="http://schemas.openxmlformats.org/officeDocument/2006/relationships/hyperlink" Target="https://chem.echa.europa.eu/substance-search?searchText=28523-86-6" TargetMode="External"/><Relationship Id="rId6603" Type="http://schemas.openxmlformats.org/officeDocument/2006/relationships/hyperlink" Target="https://www.google.com/search?q=288-32-4+SDS+safety+data+sheet+filetype:pdf" TargetMode="External"/><Relationship Id="rId1748" Type="http://schemas.openxmlformats.org/officeDocument/2006/relationships/hyperlink" Target="https://chem.echa.europa.eu/substance-search?searchText=78-87-5" TargetMode="External"/><Relationship Id="rId4154" Type="http://schemas.openxmlformats.org/officeDocument/2006/relationships/hyperlink" Target="https://chemicalsafety.ilo.org/dyn/icsc/showcard.display?p_card_id=1071&amp;p_lang=tr" TargetMode="External"/><Relationship Id="rId5205" Type="http://schemas.openxmlformats.org/officeDocument/2006/relationships/hyperlink" Target="https://chemicalsafety.ilo.org/dyn/icsc/showcard.display?p_card_id=1348&amp;p_lang=en" TargetMode="External"/><Relationship Id="rId3170" Type="http://schemas.openxmlformats.org/officeDocument/2006/relationships/hyperlink" Target="https://chemicalsafety.ilo.org/dyn/icsc/showcard.display?p_card_id=0813&amp;p_lang=tr" TargetMode="External"/><Relationship Id="rId4221" Type="http://schemas.openxmlformats.org/officeDocument/2006/relationships/hyperlink" Target="https://chemicalsafety.ilo.org/dyn/icsc/showcard.display?p_card_id=1090&amp;p_lang=en" TargetMode="External"/><Relationship Id="rId1815" Type="http://schemas.openxmlformats.org/officeDocument/2006/relationships/hyperlink" Target="https://www.google.com/search?q=67-68-5+SDS+safety+data+sheet+filetype:pdf" TargetMode="External"/><Relationship Id="rId6393" Type="http://schemas.openxmlformats.org/officeDocument/2006/relationships/hyperlink" Target="https://chemicalsafety.ilo.org/dyn/icsc/showcard.display?p_card_id=1664&amp;p_lang=en" TargetMode="External"/><Relationship Id="rId3987" Type="http://schemas.openxmlformats.org/officeDocument/2006/relationships/hyperlink" Target="https://www.google.com/search?q=115-11-7+SDS+safety+data+sheet+filetype:pdf" TargetMode="External"/><Relationship Id="rId6046" Type="http://schemas.openxmlformats.org/officeDocument/2006/relationships/hyperlink" Target="https://chemicalsafety.ilo.org/dyn/icsc/showcard.display?p_card_id=1566&amp;p_lang=tr" TargetMode="External"/><Relationship Id="rId2589" Type="http://schemas.openxmlformats.org/officeDocument/2006/relationships/hyperlink" Target="https://chemicalsafety.ilo.org/dyn/icsc/showcard.display?p_card_id=0664&amp;p_lang=en" TargetMode="External"/><Relationship Id="rId6460" Type="http://schemas.openxmlformats.org/officeDocument/2006/relationships/hyperlink" Target="https://chem.echa.europa.eu/substance-search?searchText=91-76-9" TargetMode="External"/><Relationship Id="rId975" Type="http://schemas.openxmlformats.org/officeDocument/2006/relationships/hyperlink" Target="https://www.google.com/search?q=108-91-8+SDS+safety+data+sheet+filetype:pdf" TargetMode="External"/><Relationship Id="rId2656" Type="http://schemas.openxmlformats.org/officeDocument/2006/relationships/hyperlink" Target="https://chem.echa.europa.eu/substance-search?searchText=96-18-4" TargetMode="External"/><Relationship Id="rId3707" Type="http://schemas.openxmlformats.org/officeDocument/2006/relationships/hyperlink" Target="https://www.google.com/search?q=26628-22-8+SDS+safety+data+sheet+filetype:pdf" TargetMode="External"/><Relationship Id="rId5062" Type="http://schemas.openxmlformats.org/officeDocument/2006/relationships/hyperlink" Target="https://chemicalsafety.ilo.org/dyn/icsc/showcard.display?p_card_id=1310&amp;p_lang=tr" TargetMode="External"/><Relationship Id="rId6113" Type="http://schemas.openxmlformats.org/officeDocument/2006/relationships/hyperlink" Target="https://chemicalsafety.ilo.org/dyn/icsc/showcard.display?p_card_id=1583&amp;p_lang=en" TargetMode="External"/><Relationship Id="rId628" Type="http://schemas.openxmlformats.org/officeDocument/2006/relationships/hyperlink" Target="https://chem.echa.europa.eu/substance-search?searchText=GLASS+WOOL" TargetMode="External"/><Relationship Id="rId1258" Type="http://schemas.openxmlformats.org/officeDocument/2006/relationships/hyperlink" Target="https://chemicalsafety.ilo.org/dyn/icsc/showcard.display?p_card_id=0316&amp;p_lang=tr" TargetMode="External"/><Relationship Id="rId1672" Type="http://schemas.openxmlformats.org/officeDocument/2006/relationships/hyperlink" Target="https://chem.echa.europa.eu/substance-search?searchText=56-72-4" TargetMode="External"/><Relationship Id="rId2309" Type="http://schemas.openxmlformats.org/officeDocument/2006/relationships/hyperlink" Target="https://chemicalsafety.ilo.org/dyn/icsc/showcard.display?p_card_id=0590&amp;p_lang=en" TargetMode="External"/><Relationship Id="rId2723" Type="http://schemas.openxmlformats.org/officeDocument/2006/relationships/hyperlink" Target="https://www.google.com/search?q=7439-95-4+SDS+safety+data+sheet+filetype:pdf" TargetMode="External"/><Relationship Id="rId5879" Type="http://schemas.openxmlformats.org/officeDocument/2006/relationships/hyperlink" Target="https://www.google.com/search?q=111-31-9+SDS+safety+data+sheet+filetype:pdf" TargetMode="External"/><Relationship Id="rId1325" Type="http://schemas.openxmlformats.org/officeDocument/2006/relationships/hyperlink" Target="https://chemicalsafety.ilo.org/dyn/icsc/showcard.display?p_card_id=0333&amp;p_lang=en" TargetMode="External"/><Relationship Id="rId3497" Type="http://schemas.openxmlformats.org/officeDocument/2006/relationships/hyperlink" Target="https://chemicalsafety.ilo.org/dyn/icsc/showcard.display?p_card_id=0898&amp;p_lang=en" TargetMode="External"/><Relationship Id="rId4895" Type="http://schemas.openxmlformats.org/officeDocument/2006/relationships/hyperlink" Target="https://www.google.com/search?q=86479-06-3+SDS+safety+data+sheet+filetype:pdf" TargetMode="External"/><Relationship Id="rId5946" Type="http://schemas.openxmlformats.org/officeDocument/2006/relationships/hyperlink" Target="https://chemicalsafety.ilo.org/dyn/icsc/showcard.display?p_card_id=1540&amp;p_lang=tr" TargetMode="External"/><Relationship Id="rId31" Type="http://schemas.openxmlformats.org/officeDocument/2006/relationships/hyperlink" Target="https://www.google.com/search?q=78-00-2+SDS+safety+data+sheet+filetype:pdf" TargetMode="External"/><Relationship Id="rId2099" Type="http://schemas.openxmlformats.org/officeDocument/2006/relationships/hyperlink" Target="https://www.google.com/search?q=71-41-0+SDS+safety+data+sheet+filetype:pdf" TargetMode="External"/><Relationship Id="rId4548" Type="http://schemas.openxmlformats.org/officeDocument/2006/relationships/hyperlink" Target="https://chem.echa.europa.eu/substance-search?searchText=16731-55-8" TargetMode="External"/><Relationship Id="rId4962" Type="http://schemas.openxmlformats.org/officeDocument/2006/relationships/hyperlink" Target="https://chemicalsafety.ilo.org/dyn/icsc/showcard.display?p_card_id=1283&amp;p_lang=tr" TargetMode="External"/><Relationship Id="rId3564" Type="http://schemas.openxmlformats.org/officeDocument/2006/relationships/hyperlink" Target="https://chem.echa.europa.eu/substance-search?searchText=1310-66-3" TargetMode="External"/><Relationship Id="rId4615" Type="http://schemas.openxmlformats.org/officeDocument/2006/relationships/hyperlink" Target="https://www.google.com/search?q=471-34-1+SDS+safety+data+sheet+filetype:pdf" TargetMode="External"/><Relationship Id="rId485" Type="http://schemas.openxmlformats.org/officeDocument/2006/relationships/hyperlink" Target="https://chemicalsafety.ilo.org/dyn/icsc/showcard.display?p_card_id=0122&amp;p_lang=en" TargetMode="External"/><Relationship Id="rId2166" Type="http://schemas.openxmlformats.org/officeDocument/2006/relationships/hyperlink" Target="https://chemicalsafety.ilo.org/dyn/icsc/showcard.display?p_card_id=0553&amp;p_lang=tr" TargetMode="External"/><Relationship Id="rId2580" Type="http://schemas.openxmlformats.org/officeDocument/2006/relationships/hyperlink" Target="https://chem.echa.europa.eu/substance-search?searchText=7803-49-8" TargetMode="External"/><Relationship Id="rId3217" Type="http://schemas.openxmlformats.org/officeDocument/2006/relationships/hyperlink" Target="https://chemicalsafety.ilo.org/dyn/icsc/showcard.display?p_card_id=0825&amp;p_lang=en" TargetMode="External"/><Relationship Id="rId3631" Type="http://schemas.openxmlformats.org/officeDocument/2006/relationships/hyperlink" Target="https://www.google.com/search?q=88-72-2+SDS+safety+data+sheet+filetype:pdf" TargetMode="External"/><Relationship Id="rId6787" Type="http://schemas.openxmlformats.org/officeDocument/2006/relationships/hyperlink" Target="https://www.google.com/search?q=GLASS+FIBRES+SDS+safety+data+sheet+filetype:pdf" TargetMode="External"/><Relationship Id="rId138" Type="http://schemas.openxmlformats.org/officeDocument/2006/relationships/hyperlink" Target="https://chemicalsafety.ilo.org/dyn/icsc/showcard.display?p_card_id=0035&amp;p_lang=tr" TargetMode="External"/><Relationship Id="rId552" Type="http://schemas.openxmlformats.org/officeDocument/2006/relationships/hyperlink" Target="https://chem.echa.europa.eu/substance-search?searchText=7782-44-7" TargetMode="External"/><Relationship Id="rId1182" Type="http://schemas.openxmlformats.org/officeDocument/2006/relationships/hyperlink" Target="https://chemicalsafety.ilo.org/dyn/icsc/showcard.display?p_card_id=0297&amp;p_lang=tr" TargetMode="External"/><Relationship Id="rId2233" Type="http://schemas.openxmlformats.org/officeDocument/2006/relationships/hyperlink" Target="https://chemicalsafety.ilo.org/dyn/icsc/showcard.display?p_card_id=0570&amp;p_lang=en" TargetMode="External"/><Relationship Id="rId5389" Type="http://schemas.openxmlformats.org/officeDocument/2006/relationships/hyperlink" Target="https://chemicalsafety.ilo.org/dyn/icsc/showcard.display?p_card_id=1395&amp;p_lang=en" TargetMode="External"/><Relationship Id="rId205" Type="http://schemas.openxmlformats.org/officeDocument/2006/relationships/hyperlink" Target="https://chemicalsafety.ilo.org/dyn/icsc/showcard.display?p_card_id=0052&amp;p_lang=en" TargetMode="External"/><Relationship Id="rId2300" Type="http://schemas.openxmlformats.org/officeDocument/2006/relationships/hyperlink" Target="https://chem.echa.europa.eu/substance-search?searchText=2431-50-7" TargetMode="External"/><Relationship Id="rId5456" Type="http://schemas.openxmlformats.org/officeDocument/2006/relationships/hyperlink" Target="https://chem.echa.europa.eu/substance-search?searchText=298-07-7" TargetMode="External"/><Relationship Id="rId6507" Type="http://schemas.openxmlformats.org/officeDocument/2006/relationships/hyperlink" Target="https://www.google.com/search?q=19430-93-4+SDS+safety+data+sheet+filetype:pdf" TargetMode="External"/><Relationship Id="rId1999" Type="http://schemas.openxmlformats.org/officeDocument/2006/relationships/hyperlink" Target="https://www.google.com/search?q=137-32-6+SDS+safety+data+sheet+filetype:pdf" TargetMode="External"/><Relationship Id="rId4058" Type="http://schemas.openxmlformats.org/officeDocument/2006/relationships/hyperlink" Target="https://chemicalsafety.ilo.org/dyn/icsc/showcard.display?p_card_id=1045&amp;p_lang=tr" TargetMode="External"/><Relationship Id="rId4472" Type="http://schemas.openxmlformats.org/officeDocument/2006/relationships/hyperlink" Target="https://chem.echa.europa.eu/substance-search?searchText=98-86-2" TargetMode="External"/><Relationship Id="rId5109" Type="http://schemas.openxmlformats.org/officeDocument/2006/relationships/hyperlink" Target="https://chemicalsafety.ilo.org/dyn/icsc/showcard.display?p_card_id=1322&amp;p_lang=en" TargetMode="External"/><Relationship Id="rId5870" Type="http://schemas.openxmlformats.org/officeDocument/2006/relationships/hyperlink" Target="https://chemicalsafety.ilo.org/dyn/icsc/showcard.display?p_card_id=1521&amp;p_lang=tr" TargetMode="External"/><Relationship Id="rId3074" Type="http://schemas.openxmlformats.org/officeDocument/2006/relationships/hyperlink" Target="https://chemicalsafety.ilo.org/dyn/icsc/showcard.display?p_card_id=0789&amp;p_lang=tr" TargetMode="External"/><Relationship Id="rId4125" Type="http://schemas.openxmlformats.org/officeDocument/2006/relationships/hyperlink" Target="https://chemicalsafety.ilo.org/dyn/icsc/showcard.display?p_card_id=1063&amp;p_lang=en" TargetMode="External"/><Relationship Id="rId5523" Type="http://schemas.openxmlformats.org/officeDocument/2006/relationships/hyperlink" Target="https://www.google.com/search?q=9003-04-7+SDS+safety+data+sheet+filetype:pdf" TargetMode="External"/><Relationship Id="rId1719" Type="http://schemas.openxmlformats.org/officeDocument/2006/relationships/hyperlink" Target="https://www.google.com/search?q=594-72-9+SDS+safety+data+sheet+filetype:pdf" TargetMode="External"/><Relationship Id="rId2090" Type="http://schemas.openxmlformats.org/officeDocument/2006/relationships/hyperlink" Target="https://chemicalsafety.ilo.org/dyn/icsc/showcard.display?p_card_id=0533&amp;p_lang=tr" TargetMode="External"/><Relationship Id="rId3141" Type="http://schemas.openxmlformats.org/officeDocument/2006/relationships/hyperlink" Target="https://chemicalsafety.ilo.org/dyn/icsc/showcard.display?p_card_id=0806&amp;p_lang=en" TargetMode="External"/><Relationship Id="rId6297" Type="http://schemas.openxmlformats.org/officeDocument/2006/relationships/hyperlink" Target="https://chemicalsafety.ilo.org/dyn/icsc/showcard.display?p_card_id=1631&amp;p_lang=en" TargetMode="External"/><Relationship Id="rId3958" Type="http://schemas.openxmlformats.org/officeDocument/2006/relationships/hyperlink" Target="https://chemicalsafety.ilo.org/dyn/icsc/showcard.display?p_card_id=1020&amp;p_lang=tr" TargetMode="External"/><Relationship Id="rId6364" Type="http://schemas.openxmlformats.org/officeDocument/2006/relationships/hyperlink" Target="https://chem.echa.europa.eu/substance-search?searchText=1313-59-3" TargetMode="External"/><Relationship Id="rId879" Type="http://schemas.openxmlformats.org/officeDocument/2006/relationships/hyperlink" Target="https://www.google.com/search?q=7784-34-1+SDS+safety+data+sheet+filetype:pdf" TargetMode="External"/><Relationship Id="rId5380" Type="http://schemas.openxmlformats.org/officeDocument/2006/relationships/hyperlink" Target="https://chem.echa.europa.eu/substance-search?searchText=6423-43-4" TargetMode="External"/><Relationship Id="rId6017" Type="http://schemas.openxmlformats.org/officeDocument/2006/relationships/hyperlink" Target="https://chemicalsafety.ilo.org/dyn/icsc/showcard.display?p_card_id=1559&amp;p_lang=en" TargetMode="External"/><Relationship Id="rId6431" Type="http://schemas.openxmlformats.org/officeDocument/2006/relationships/hyperlink" Target="https://www.google.com/search?q=76-05-1+SDS+safety+data+sheet+filetype:pdf" TargetMode="External"/><Relationship Id="rId1576" Type="http://schemas.openxmlformats.org/officeDocument/2006/relationships/hyperlink" Target="https://chem.echa.europa.eu/substance-search?searchText=590-18-1" TargetMode="External"/><Relationship Id="rId2974" Type="http://schemas.openxmlformats.org/officeDocument/2006/relationships/hyperlink" Target="https://chemicalsafety.ilo.org/dyn/icsc/showcard.display?p_card_id=0764&amp;p_lang=tr" TargetMode="External"/><Relationship Id="rId5033" Type="http://schemas.openxmlformats.org/officeDocument/2006/relationships/hyperlink" Target="https://chemicalsafety.ilo.org/dyn/icsc/showcard.display?p_card_id=1301&amp;p_lang=en" TargetMode="External"/><Relationship Id="rId946" Type="http://schemas.openxmlformats.org/officeDocument/2006/relationships/hyperlink" Target="https://chemicalsafety.ilo.org/dyn/icsc/showcard.display?p_card_id=0238&amp;p_lang=tr" TargetMode="External"/><Relationship Id="rId1229" Type="http://schemas.openxmlformats.org/officeDocument/2006/relationships/hyperlink" Target="https://chemicalsafety.ilo.org/dyn/icsc/showcard.display?p_card_id=0309&amp;p_lang=en" TargetMode="External"/><Relationship Id="rId1990" Type="http://schemas.openxmlformats.org/officeDocument/2006/relationships/hyperlink" Target="https://chemicalsafety.ilo.org/dyn/icsc/showcard.display?p_card_id=0504&amp;p_lang=tr" TargetMode="External"/><Relationship Id="rId2627" Type="http://schemas.openxmlformats.org/officeDocument/2006/relationships/hyperlink" Target="https://www.google.com/search?q=141-52-6+SDS+safety+data+sheet+filetype:pdf" TargetMode="External"/><Relationship Id="rId5100" Type="http://schemas.openxmlformats.org/officeDocument/2006/relationships/hyperlink" Target="https://chem.echa.europa.eu/substance-search?searchText=12070-08-5" TargetMode="External"/><Relationship Id="rId1643" Type="http://schemas.openxmlformats.org/officeDocument/2006/relationships/hyperlink" Target="https://www.google.com/search?q=52-51-7+SDS+safety+data+sheet+filetype:pdf" TargetMode="External"/><Relationship Id="rId4799" Type="http://schemas.openxmlformats.org/officeDocument/2006/relationships/hyperlink" Target="https://www.google.com/search?q=16871-90-2+SDS+safety+data+sheet+filetype:pdf" TargetMode="External"/><Relationship Id="rId1710" Type="http://schemas.openxmlformats.org/officeDocument/2006/relationships/hyperlink" Target="https://chemicalsafety.ilo.org/dyn/icsc/showcard.display?p_card_id=0432&amp;p_lang=tr" TargetMode="External"/><Relationship Id="rId4866" Type="http://schemas.openxmlformats.org/officeDocument/2006/relationships/hyperlink" Target="https://chemicalsafety.ilo.org/dyn/icsc/showcard.display?p_card_id=1259&amp;p_lang=tr" TargetMode="External"/><Relationship Id="rId5917" Type="http://schemas.openxmlformats.org/officeDocument/2006/relationships/hyperlink" Target="https://chemicalsafety.ilo.org/dyn/icsc/showcard.display?p_card_id=1533&amp;p_lang=en" TargetMode="External"/><Relationship Id="rId3468" Type="http://schemas.openxmlformats.org/officeDocument/2006/relationships/hyperlink" Target="https://chem.echa.europa.eu/substance-search?searchText=104-76-7" TargetMode="External"/><Relationship Id="rId3882" Type="http://schemas.openxmlformats.org/officeDocument/2006/relationships/hyperlink" Target="https://chemicalsafety.ilo.org/dyn/icsc/showcard.display?p_card_id=0999&amp;p_lang=tr" TargetMode="External"/><Relationship Id="rId4519" Type="http://schemas.openxmlformats.org/officeDocument/2006/relationships/hyperlink" Target="https://www.google.com/search?q=431-03-8+SDS+safety+data+sheet+filetype:pdf" TargetMode="External"/><Relationship Id="rId4933" Type="http://schemas.openxmlformats.org/officeDocument/2006/relationships/hyperlink" Target="https://chemicalsafety.ilo.org/dyn/icsc/showcard.display?p_card_id=1276&amp;p_lang=en" TargetMode="External"/><Relationship Id="rId389" Type="http://schemas.openxmlformats.org/officeDocument/2006/relationships/hyperlink" Target="https://chemicalsafety.ilo.org/dyn/icsc/showcard.display?p_card_id=0098&amp;p_lang=en" TargetMode="External"/><Relationship Id="rId2484" Type="http://schemas.openxmlformats.org/officeDocument/2006/relationships/hyperlink" Target="https://chem.echa.europa.eu/substance-search?searchText=353-59-3" TargetMode="External"/><Relationship Id="rId3535" Type="http://schemas.openxmlformats.org/officeDocument/2006/relationships/hyperlink" Target="https://www.google.com/search?q=108-21-4+SDS+safety+data+sheet+filetype:pdf" TargetMode="External"/><Relationship Id="rId456" Type="http://schemas.openxmlformats.org/officeDocument/2006/relationships/hyperlink" Target="https://chem.echa.europa.eu/substance-search?searchText=75-65-0" TargetMode="External"/><Relationship Id="rId870" Type="http://schemas.openxmlformats.org/officeDocument/2006/relationships/hyperlink" Target="https://chemicalsafety.ilo.org/dyn/icsc/showcard.display?p_card_id=0219&amp;p_lang=tr" TargetMode="External"/><Relationship Id="rId1086" Type="http://schemas.openxmlformats.org/officeDocument/2006/relationships/hyperlink" Target="https://chemicalsafety.ilo.org/dyn/icsc/showcard.display?p_card_id=0273&amp;p_lang=tr" TargetMode="External"/><Relationship Id="rId2137" Type="http://schemas.openxmlformats.org/officeDocument/2006/relationships/hyperlink" Target="https://chemicalsafety.ilo.org/dyn/icsc/showcard.display?p_card_id=0545&amp;p_lang=en" TargetMode="External"/><Relationship Id="rId2551" Type="http://schemas.openxmlformats.org/officeDocument/2006/relationships/hyperlink" Target="https://www.google.com/search?q=108-01-0+SDS+safety+data+sheet+filetype:pdf" TargetMode="External"/><Relationship Id="rId109" Type="http://schemas.openxmlformats.org/officeDocument/2006/relationships/hyperlink" Target="https://chemicalsafety.ilo.org/dyn/icsc/showcard.display?p_card_id=0028&amp;p_lang=en" TargetMode="External"/><Relationship Id="rId523" Type="http://schemas.openxmlformats.org/officeDocument/2006/relationships/hyperlink" Target="https://www.google.com/search?q=59-50-7+SDS+safety+data+sheet+filetype:pdf" TargetMode="External"/><Relationship Id="rId1153" Type="http://schemas.openxmlformats.org/officeDocument/2006/relationships/hyperlink" Target="https://chemicalsafety.ilo.org/dyn/icsc/showcard.display?p_card_id=0290&amp;p_lang=en" TargetMode="External"/><Relationship Id="rId2204" Type="http://schemas.openxmlformats.org/officeDocument/2006/relationships/hyperlink" Target="https://chem.echa.europa.eu/substance-search?searchText=616-45-5" TargetMode="External"/><Relationship Id="rId3602" Type="http://schemas.openxmlformats.org/officeDocument/2006/relationships/hyperlink" Target="https://chemicalsafety.ilo.org/dyn/icsc/showcard.display?p_card_id=0924&amp;p_lang=tr" TargetMode="External"/><Relationship Id="rId6758" Type="http://schemas.openxmlformats.org/officeDocument/2006/relationships/hyperlink" Target="https://chemicalsafety.ilo.org/dyn/icsc/showcard.display?p_card_id=1762&amp;p_lang=tr" TargetMode="External"/><Relationship Id="rId5774" Type="http://schemas.openxmlformats.org/officeDocument/2006/relationships/hyperlink" Target="https://chemicalsafety.ilo.org/dyn/icsc/showcard.display?p_card_id=1497&amp;p_lang=tr" TargetMode="External"/><Relationship Id="rId6825" Type="http://schemas.openxmlformats.org/officeDocument/2006/relationships/hyperlink" Target="https://chemicalsafety.ilo.org/dyn/icsc/showcard.display?p_card_id=1779&amp;p_lang=en" TargetMode="External"/><Relationship Id="rId1220" Type="http://schemas.openxmlformats.org/officeDocument/2006/relationships/hyperlink" Target="https://chem.echa.europa.eu/substance-search?searchText=88-74-4" TargetMode="External"/><Relationship Id="rId4376" Type="http://schemas.openxmlformats.org/officeDocument/2006/relationships/hyperlink" Target="https://chem.echa.europa.eu/substance-search?searchText=13746-66-2" TargetMode="External"/><Relationship Id="rId4790" Type="http://schemas.openxmlformats.org/officeDocument/2006/relationships/hyperlink" Target="https://chemicalsafety.ilo.org/dyn/icsc/showcard.display?p_card_id=1240&amp;p_lang=tr" TargetMode="External"/><Relationship Id="rId5427" Type="http://schemas.openxmlformats.org/officeDocument/2006/relationships/hyperlink" Target="https://www.google.com/search?q=7440-67-7+SDS+safety+data+sheet+filetype:pdf" TargetMode="External"/><Relationship Id="rId5841" Type="http://schemas.openxmlformats.org/officeDocument/2006/relationships/hyperlink" Target="https://chemicalsafety.ilo.org/dyn/icsc/showcard.display?p_card_id=1514&amp;p_lang=en" TargetMode="External"/><Relationship Id="rId3392" Type="http://schemas.openxmlformats.org/officeDocument/2006/relationships/hyperlink" Target="https://chem.echa.europa.eu/substance-search?searchText=99-30-9" TargetMode="External"/><Relationship Id="rId4029" Type="http://schemas.openxmlformats.org/officeDocument/2006/relationships/hyperlink" Target="https://chemicalsafety.ilo.org/dyn/icsc/showcard.display?p_card_id=1038&amp;p_lang=en" TargetMode="External"/><Relationship Id="rId4443" Type="http://schemas.openxmlformats.org/officeDocument/2006/relationships/hyperlink" Target="https://www.google.com/search?q=112-48-1+SDS+safety+data+sheet+filetype:pdf" TargetMode="External"/><Relationship Id="rId3045" Type="http://schemas.openxmlformats.org/officeDocument/2006/relationships/hyperlink" Target="https://chemicalsafety.ilo.org/dyn/icsc/showcard.display?p_card_id=0782&amp;p_lang=en" TargetMode="External"/><Relationship Id="rId4510" Type="http://schemas.openxmlformats.org/officeDocument/2006/relationships/hyperlink" Target="https://chemicalsafety.ilo.org/dyn/icsc/showcard.display?p_card_id=1166&amp;p_lang=tr" TargetMode="External"/><Relationship Id="rId380" Type="http://schemas.openxmlformats.org/officeDocument/2006/relationships/hyperlink" Target="https://chem.echa.europa.eu/substance-search?searchText=107-18-6" TargetMode="External"/><Relationship Id="rId2061" Type="http://schemas.openxmlformats.org/officeDocument/2006/relationships/hyperlink" Target="https://chemicalsafety.ilo.org/dyn/icsc/showcard.display?p_card_id=0526&amp;p_lang=en" TargetMode="External"/><Relationship Id="rId3112" Type="http://schemas.openxmlformats.org/officeDocument/2006/relationships/hyperlink" Target="https://chem.echa.europa.eu/substance-search?searchText=123-51-3" TargetMode="External"/><Relationship Id="rId6268" Type="http://schemas.openxmlformats.org/officeDocument/2006/relationships/hyperlink" Target="https://chem.echa.europa.eu/substance-search?searchText=5332-52-5" TargetMode="External"/><Relationship Id="rId6682" Type="http://schemas.openxmlformats.org/officeDocument/2006/relationships/hyperlink" Target="https://chemicalsafety.ilo.org/dyn/icsc/showcard.display?p_card_id=1742&amp;p_lang=tr" TargetMode="External"/><Relationship Id="rId5284" Type="http://schemas.openxmlformats.org/officeDocument/2006/relationships/hyperlink" Target="https://chem.echa.europa.eu/substance-search?searchText=110-94-1" TargetMode="External"/><Relationship Id="rId6335" Type="http://schemas.openxmlformats.org/officeDocument/2006/relationships/hyperlink" Target="https://www.google.com/search?q=121-82-4+SDS+safety+data+sheet+filetype:pdf" TargetMode="External"/><Relationship Id="rId100" Type="http://schemas.openxmlformats.org/officeDocument/2006/relationships/hyperlink" Target="https://chem.echa.europa.eu/substance-search?searchText=2917-26-2" TargetMode="External"/><Relationship Id="rId2878" Type="http://schemas.openxmlformats.org/officeDocument/2006/relationships/hyperlink" Target="https://chemicalsafety.ilo.org/dyn/icsc/showcard.display?p_card_id=0740&amp;p_lang=tr" TargetMode="External"/><Relationship Id="rId3929" Type="http://schemas.openxmlformats.org/officeDocument/2006/relationships/hyperlink" Target="https://chemicalsafety.ilo.org/dyn/icsc/showcard.display?p_card_id=1013&amp;p_lang=en" TargetMode="External"/><Relationship Id="rId1894" Type="http://schemas.openxmlformats.org/officeDocument/2006/relationships/hyperlink" Target="https://chemicalsafety.ilo.org/dyn/icsc/showcard.display?p_card_id=0480&amp;p_lang=tr" TargetMode="External"/><Relationship Id="rId2945" Type="http://schemas.openxmlformats.org/officeDocument/2006/relationships/hyperlink" Target="https://chemicalsafety.ilo.org/dyn/icsc/showcard.display?p_card_id=0757&amp;p_lang=en" TargetMode="External"/><Relationship Id="rId5351" Type="http://schemas.openxmlformats.org/officeDocument/2006/relationships/hyperlink" Target="https://www.google.com/search?q=103-69-5+SDS+safety+data+sheet+filetype:pdf" TargetMode="External"/><Relationship Id="rId6402" Type="http://schemas.openxmlformats.org/officeDocument/2006/relationships/hyperlink" Target="https://chemicalsafety.ilo.org/dyn/icsc/showcard.display?p_card_id=1666&amp;p_lang=tr" TargetMode="External"/><Relationship Id="rId917" Type="http://schemas.openxmlformats.org/officeDocument/2006/relationships/hyperlink" Target="https://chemicalsafety.ilo.org/dyn/icsc/showcard.display?p_card_id=0231&amp;p_lang=en" TargetMode="External"/><Relationship Id="rId1547" Type="http://schemas.openxmlformats.org/officeDocument/2006/relationships/hyperlink" Target="https://www.google.com/search?q=119-61-9+SDS+safety+data+sheet+filetype:pdf" TargetMode="External"/><Relationship Id="rId1961" Type="http://schemas.openxmlformats.org/officeDocument/2006/relationships/hyperlink" Target="https://chemicalsafety.ilo.org/dyn/icsc/showcard.display?p_card_id=0497&amp;p_lang=en" TargetMode="External"/><Relationship Id="rId5004" Type="http://schemas.openxmlformats.org/officeDocument/2006/relationships/hyperlink" Target="https://chem.echa.europa.eu/substance-search?searchText=7440-74-6" TargetMode="External"/><Relationship Id="rId1614" Type="http://schemas.openxmlformats.org/officeDocument/2006/relationships/hyperlink" Target="https://chemicalsafety.ilo.org/dyn/icsc/showcard.display?p_card_id=0407&amp;p_lang=tr" TargetMode="External"/><Relationship Id="rId4020" Type="http://schemas.openxmlformats.org/officeDocument/2006/relationships/hyperlink" Target="https://chem.echa.europa.eu/substance-search?searchText=12124-99-1" TargetMode="External"/><Relationship Id="rId3786" Type="http://schemas.openxmlformats.org/officeDocument/2006/relationships/hyperlink" Target="https://chemicalsafety.ilo.org/dyn/icsc/showcard.display?p_card_id=0970&amp;p_lang=tr" TargetMode="External"/><Relationship Id="rId6192" Type="http://schemas.openxmlformats.org/officeDocument/2006/relationships/hyperlink" Target="https://chem.echa.europa.eu/substance-search?searchText=68411-30-3" TargetMode="External"/><Relationship Id="rId2388" Type="http://schemas.openxmlformats.org/officeDocument/2006/relationships/hyperlink" Target="https://chem.echa.europa.eu/substance-search?searchText=75-86-5" TargetMode="External"/><Relationship Id="rId3439" Type="http://schemas.openxmlformats.org/officeDocument/2006/relationships/hyperlink" Target="https://www.google.com/search?q=78-34-2+SDS+safety+data+sheet+filetype:pdf" TargetMode="External"/><Relationship Id="rId4837" Type="http://schemas.openxmlformats.org/officeDocument/2006/relationships/hyperlink" Target="https://chemicalsafety.ilo.org/dyn/icsc/showcard.display?p_card_id=1252&amp;p_lang=en" TargetMode="External"/><Relationship Id="rId3853" Type="http://schemas.openxmlformats.org/officeDocument/2006/relationships/hyperlink" Target="https://chemicalsafety.ilo.org/dyn/icsc/showcard.display?p_card_id=0988&amp;p_lang=en" TargetMode="External"/><Relationship Id="rId4904" Type="http://schemas.openxmlformats.org/officeDocument/2006/relationships/hyperlink" Target="https://chem.echa.europa.eu/substance-search?searchText=95266-40-3" TargetMode="External"/><Relationship Id="rId774" Type="http://schemas.openxmlformats.org/officeDocument/2006/relationships/hyperlink" Target="https://chemicalsafety.ilo.org/dyn/icsc/showcard.display?p_card_id=0194&amp;p_lang=tr" TargetMode="External"/><Relationship Id="rId1057" Type="http://schemas.openxmlformats.org/officeDocument/2006/relationships/hyperlink" Target="https://chemicalsafety.ilo.org/dyn/icsc/showcard.display?p_card_id=0266&amp;p_lang=en" TargetMode="External"/><Relationship Id="rId2455" Type="http://schemas.openxmlformats.org/officeDocument/2006/relationships/hyperlink" Target="https://www.google.com/search?q=12185-10-3+SDS+safety+data+sheet+filetype:pdf" TargetMode="External"/><Relationship Id="rId3506" Type="http://schemas.openxmlformats.org/officeDocument/2006/relationships/hyperlink" Target="https://chemicalsafety.ilo.org/dyn/icsc/showcard.display?p_card_id=0900&amp;p_lang=tr" TargetMode="External"/><Relationship Id="rId3920" Type="http://schemas.openxmlformats.org/officeDocument/2006/relationships/hyperlink" Target="https://chem.echa.europa.eu/substance-search?searchText=7681-82-5" TargetMode="External"/><Relationship Id="rId427" Type="http://schemas.openxmlformats.org/officeDocument/2006/relationships/hyperlink" Target="https://www.google.com/search?q=7726-95-6+SDS+safety+data+sheet+filetype:pdf" TargetMode="External"/><Relationship Id="rId841" Type="http://schemas.openxmlformats.org/officeDocument/2006/relationships/hyperlink" Target="https://chemicalsafety.ilo.org/dyn/icsc/showcard.display?p_card_id=0212&amp;p_lang=en" TargetMode="External"/><Relationship Id="rId1471" Type="http://schemas.openxmlformats.org/officeDocument/2006/relationships/hyperlink" Target="https://www.google.com/search?q=124-04-9+SDS+safety+data+sheet+filetype:pdf" TargetMode="External"/><Relationship Id="rId2108" Type="http://schemas.openxmlformats.org/officeDocument/2006/relationships/hyperlink" Target="https://chem.echa.europa.eu/substance-search?searchText=2050-92-2" TargetMode="External"/><Relationship Id="rId2522" Type="http://schemas.openxmlformats.org/officeDocument/2006/relationships/hyperlink" Target="https://chemicalsafety.ilo.org/dyn/icsc/showcard.display?p_card_id=0647&amp;p_lang=tr" TargetMode="External"/><Relationship Id="rId5678" Type="http://schemas.openxmlformats.org/officeDocument/2006/relationships/hyperlink" Target="https://chemicalsafety.ilo.org/dyn/icsc/showcard.display?p_card_id=1471&amp;p_lang=tr" TargetMode="External"/><Relationship Id="rId6729" Type="http://schemas.openxmlformats.org/officeDocument/2006/relationships/hyperlink" Target="https://chemicalsafety.ilo.org/dyn/icsc/showcard.display?p_card_id=1755&amp;p_lang=en" TargetMode="External"/><Relationship Id="rId1124" Type="http://schemas.openxmlformats.org/officeDocument/2006/relationships/hyperlink" Target="https://chem.echa.europa.eu/substance-search?searchText=10035-10-6" TargetMode="External"/><Relationship Id="rId4694" Type="http://schemas.openxmlformats.org/officeDocument/2006/relationships/hyperlink" Target="https://chemicalsafety.ilo.org/dyn/icsc/showcard.display?p_card_id=1216&amp;p_lang=tr" TargetMode="External"/><Relationship Id="rId5745" Type="http://schemas.openxmlformats.org/officeDocument/2006/relationships/hyperlink" Target="https://chemicalsafety.ilo.org/dyn/icsc/showcard.display?p_card_id=1490&amp;p_lang=en" TargetMode="External"/><Relationship Id="rId3296" Type="http://schemas.openxmlformats.org/officeDocument/2006/relationships/hyperlink" Target="https://chem.echa.europa.eu/substance-search?searchText=100-00-5" TargetMode="External"/><Relationship Id="rId4347" Type="http://schemas.openxmlformats.org/officeDocument/2006/relationships/hyperlink" Target="https://www.google.com/search?q=101-02-0+SDS+safety+data+sheet+filetype:pdf" TargetMode="External"/><Relationship Id="rId4761" Type="http://schemas.openxmlformats.org/officeDocument/2006/relationships/hyperlink" Target="https://chemicalsafety.ilo.org/dyn/icsc/showcard.display?p_card_id=1233&amp;p_lang=en" TargetMode="External"/><Relationship Id="rId3363" Type="http://schemas.openxmlformats.org/officeDocument/2006/relationships/hyperlink" Target="https://www.google.com/search?q=126-75-0+SDS+safety+data+sheet+filetype:pdf" TargetMode="External"/><Relationship Id="rId4414" Type="http://schemas.openxmlformats.org/officeDocument/2006/relationships/hyperlink" Target="https://chemicalsafety.ilo.org/dyn/icsc/showcard.display?p_card_id=1142&amp;p_lang=tr" TargetMode="External"/><Relationship Id="rId5812" Type="http://schemas.openxmlformats.org/officeDocument/2006/relationships/hyperlink" Target="https://chem.echa.europa.eu/substance-search?searchText=1592-23-0" TargetMode="External"/><Relationship Id="rId284" Type="http://schemas.openxmlformats.org/officeDocument/2006/relationships/hyperlink" Target="https://chem.echa.europa.eu/substance-search?searchText=91-22-5" TargetMode="External"/><Relationship Id="rId3016" Type="http://schemas.openxmlformats.org/officeDocument/2006/relationships/hyperlink" Target="https://chem.echa.europa.eu/substance-search?searchText=309-00-2" TargetMode="External"/><Relationship Id="rId3430" Type="http://schemas.openxmlformats.org/officeDocument/2006/relationships/hyperlink" Target="https://chemicalsafety.ilo.org/dyn/icsc/showcard.display?p_card_id=0881&amp;p_lang=tr" TargetMode="External"/><Relationship Id="rId5188" Type="http://schemas.openxmlformats.org/officeDocument/2006/relationships/hyperlink" Target="https://chem.echa.europa.eu/substance-search?searchText=306-83-2" TargetMode="External"/><Relationship Id="rId6586" Type="http://schemas.openxmlformats.org/officeDocument/2006/relationships/hyperlink" Target="https://chemicalsafety.ilo.org/dyn/icsc/showcard.display?p_card_id=1717&amp;p_lang=tr" TargetMode="External"/><Relationship Id="rId351" Type="http://schemas.openxmlformats.org/officeDocument/2006/relationships/hyperlink" Target="https://www.google.com/search?q=75-05-8+SDS+safety+data+sheet+filetype:pdf" TargetMode="External"/><Relationship Id="rId2032" Type="http://schemas.openxmlformats.org/officeDocument/2006/relationships/hyperlink" Target="https://chem.echa.europa.eu/substance-search?searchText=21087-64-9" TargetMode="External"/><Relationship Id="rId6239" Type="http://schemas.openxmlformats.org/officeDocument/2006/relationships/hyperlink" Target="https://www.google.com/search?q=5131-66-8+SDS+safety+data+sheet+filetype:pdf" TargetMode="External"/><Relationship Id="rId6653" Type="http://schemas.openxmlformats.org/officeDocument/2006/relationships/hyperlink" Target="https://chemicalsafety.ilo.org/dyn/icsc/showcard.display?p_card_id=1735&amp;p_lang=en" TargetMode="External"/><Relationship Id="rId1798" Type="http://schemas.openxmlformats.org/officeDocument/2006/relationships/hyperlink" Target="https://chemicalsafety.ilo.org/dyn/icsc/showcard.display?p_card_id=0455&amp;p_lang=tr" TargetMode="External"/><Relationship Id="rId2849" Type="http://schemas.openxmlformats.org/officeDocument/2006/relationships/hyperlink" Target="https://chemicalsafety.ilo.org/dyn/icsc/showcard.display?p_card_id=0733&amp;p_lang=en" TargetMode="External"/><Relationship Id="rId5255" Type="http://schemas.openxmlformats.org/officeDocument/2006/relationships/hyperlink" Target="https://www.google.com/search?q=51218-45-2+SDS+safety+data+sheet+filetype:pdf" TargetMode="External"/><Relationship Id="rId6306" Type="http://schemas.openxmlformats.org/officeDocument/2006/relationships/hyperlink" Target="https://chemicalsafety.ilo.org/dyn/icsc/showcard.display?p_card_id=1633&amp;p_lang=tr" TargetMode="External"/><Relationship Id="rId6720" Type="http://schemas.openxmlformats.org/officeDocument/2006/relationships/hyperlink" Target="https://chem.echa.europa.eu/substance-search?searchText=25498-49-1" TargetMode="External"/><Relationship Id="rId1865" Type="http://schemas.openxmlformats.org/officeDocument/2006/relationships/hyperlink" Target="https://chemicalsafety.ilo.org/dyn/icsc/showcard.display?p_card_id=0473&amp;p_lang=en" TargetMode="External"/><Relationship Id="rId4271" Type="http://schemas.openxmlformats.org/officeDocument/2006/relationships/hyperlink" Target="https://www.google.com/search?q=91-64-5+SDS+safety+data+sheet+filetype:pdf" TargetMode="External"/><Relationship Id="rId5322" Type="http://schemas.openxmlformats.org/officeDocument/2006/relationships/hyperlink" Target="https://chemicalsafety.ilo.org/dyn/icsc/showcard.display?p_card_id=1377&amp;p_lang=tr" TargetMode="External"/><Relationship Id="rId1518" Type="http://schemas.openxmlformats.org/officeDocument/2006/relationships/hyperlink" Target="https://chemicalsafety.ilo.org/dyn/icsc/showcard.display?p_card_id=0382&amp;p_lang=tr" TargetMode="External"/><Relationship Id="rId2916" Type="http://schemas.openxmlformats.org/officeDocument/2006/relationships/hyperlink" Target="https://chem.echa.europa.eu/substance-search?searchText=510-15-6" TargetMode="External"/><Relationship Id="rId1932" Type="http://schemas.openxmlformats.org/officeDocument/2006/relationships/hyperlink" Target="https://chem.echa.europa.eu/substance-search?searchText=591-78-6" TargetMode="External"/><Relationship Id="rId6096" Type="http://schemas.openxmlformats.org/officeDocument/2006/relationships/hyperlink" Target="https://chem.echa.europa.eu/substance-search?searchText=615-05-4" TargetMode="External"/><Relationship Id="rId6163" Type="http://schemas.openxmlformats.org/officeDocument/2006/relationships/hyperlink" Target="https://www.google.com/search?q=109-61-5+SDS+safety+data+sheet+filetype:pdf" TargetMode="External"/><Relationship Id="rId3757" Type="http://schemas.openxmlformats.org/officeDocument/2006/relationships/hyperlink" Target="https://chemicalsafety.ilo.org/dyn/icsc/showcard.display?p_card_id=0963&amp;p_lang=en" TargetMode="External"/><Relationship Id="rId4808" Type="http://schemas.openxmlformats.org/officeDocument/2006/relationships/hyperlink" Target="https://chem.echa.europa.eu/substance-search?searchText=7782-65-2" TargetMode="External"/><Relationship Id="rId678" Type="http://schemas.openxmlformats.org/officeDocument/2006/relationships/hyperlink" Target="https://chemicalsafety.ilo.org/dyn/icsc/showcard.display?p_card_id=0170&amp;p_lang=tr" TargetMode="External"/><Relationship Id="rId2359" Type="http://schemas.openxmlformats.org/officeDocument/2006/relationships/hyperlink" Target="https://www.google.com/search?q=7440-59-7+SDS+safety+data+sheet+filetype:pdf" TargetMode="External"/><Relationship Id="rId2773" Type="http://schemas.openxmlformats.org/officeDocument/2006/relationships/hyperlink" Target="https://chemicalsafety.ilo.org/dyn/icsc/showcard.display?p_card_id=0714&amp;p_lang=en" TargetMode="External"/><Relationship Id="rId3824" Type="http://schemas.openxmlformats.org/officeDocument/2006/relationships/hyperlink" Target="https://chem.echa.europa.eu/substance-search?searchText=10045-94-0" TargetMode="External"/><Relationship Id="rId6230" Type="http://schemas.openxmlformats.org/officeDocument/2006/relationships/hyperlink" Target="https://chemicalsafety.ilo.org/dyn/icsc/showcard.display?p_card_id=1612&amp;p_lang=tr" TargetMode="External"/><Relationship Id="rId745" Type="http://schemas.openxmlformats.org/officeDocument/2006/relationships/hyperlink" Target="https://chemicalsafety.ilo.org/dyn/icsc/showcard.display?p_card_id=0187&amp;p_lang=en" TargetMode="External"/><Relationship Id="rId1375" Type="http://schemas.openxmlformats.org/officeDocument/2006/relationships/hyperlink" Target="https://www.google.com/search?q=552-30-7+SDS+safety+data+sheet+filetype:pdf" TargetMode="External"/><Relationship Id="rId2426" Type="http://schemas.openxmlformats.org/officeDocument/2006/relationships/hyperlink" Target="https://chemicalsafety.ilo.org/dyn/icsc/showcard.display?p_card_id=0621&amp;p_lang=tr" TargetMode="External"/><Relationship Id="rId5996" Type="http://schemas.openxmlformats.org/officeDocument/2006/relationships/hyperlink" Target="https://chem.echa.europa.eu/substance-search?searchText=9005-25-8" TargetMode="External"/><Relationship Id="rId81" Type="http://schemas.openxmlformats.org/officeDocument/2006/relationships/hyperlink" Target="https://chemicalsafety.ilo.org/dyn/icsc/showcard.display?p_card_id=0021&amp;p_lang=en" TargetMode="External"/><Relationship Id="rId812" Type="http://schemas.openxmlformats.org/officeDocument/2006/relationships/hyperlink" Target="https://chem.echa.europa.eu/substance-search?searchText=121-44-8" TargetMode="External"/><Relationship Id="rId1028" Type="http://schemas.openxmlformats.org/officeDocument/2006/relationships/hyperlink" Target="https://chem.echa.europa.eu/substance-search?searchText=84-66-2" TargetMode="External"/><Relationship Id="rId1442" Type="http://schemas.openxmlformats.org/officeDocument/2006/relationships/hyperlink" Target="https://chemicalsafety.ilo.org/dyn/icsc/showcard.display?p_card_id=0362&amp;p_lang=tr" TargetMode="External"/><Relationship Id="rId2840" Type="http://schemas.openxmlformats.org/officeDocument/2006/relationships/hyperlink" Target="https://chem.echa.europa.eu/substance-search?searchText=193-39-5" TargetMode="External"/><Relationship Id="rId4598" Type="http://schemas.openxmlformats.org/officeDocument/2006/relationships/hyperlink" Target="https://chemicalsafety.ilo.org/dyn/icsc/showcard.display?p_card_id=1189&amp;p_lang=tr" TargetMode="External"/><Relationship Id="rId5649" Type="http://schemas.openxmlformats.org/officeDocument/2006/relationships/hyperlink" Target="https://chemicalsafety.ilo.org/dyn/icsc/showcard.display?p_card_id=1464&amp;p_lang=en" TargetMode="External"/><Relationship Id="rId3267" Type="http://schemas.openxmlformats.org/officeDocument/2006/relationships/hyperlink" Target="https://www.google.com/search?q=112-07-2+SDS+safety+data+sheet+filetype:pdf" TargetMode="External"/><Relationship Id="rId4665" Type="http://schemas.openxmlformats.org/officeDocument/2006/relationships/hyperlink" Target="https://chemicalsafety.ilo.org/dyn/icsc/showcard.display?p_card_id=1209&amp;p_lang=en" TargetMode="External"/><Relationship Id="rId5716" Type="http://schemas.openxmlformats.org/officeDocument/2006/relationships/hyperlink" Target="https://chem.echa.europa.eu/substance-search?searchText=75-04-7" TargetMode="External"/><Relationship Id="rId188" Type="http://schemas.openxmlformats.org/officeDocument/2006/relationships/hyperlink" Target="https://chem.echa.europa.eu/substance-search?searchText=75-69-4" TargetMode="External"/><Relationship Id="rId3681" Type="http://schemas.openxmlformats.org/officeDocument/2006/relationships/hyperlink" Target="https://chemicalsafety.ilo.org/dyn/icsc/showcard.display?p_card_id=0944&amp;p_lang=en" TargetMode="External"/><Relationship Id="rId4318" Type="http://schemas.openxmlformats.org/officeDocument/2006/relationships/hyperlink" Target="https://chemicalsafety.ilo.org/dyn/icsc/showcard.display?p_card_id=1117&amp;p_lang=tr" TargetMode="External"/><Relationship Id="rId4732" Type="http://schemas.openxmlformats.org/officeDocument/2006/relationships/hyperlink" Target="https://chem.echa.europa.eu/substance-search?searchText=100-39-0" TargetMode="External"/><Relationship Id="rId2283" Type="http://schemas.openxmlformats.org/officeDocument/2006/relationships/hyperlink" Target="https://www.google.com/search?q=95-80-7+SDS+safety+data+sheet+filetype:pdf" TargetMode="External"/><Relationship Id="rId3334" Type="http://schemas.openxmlformats.org/officeDocument/2006/relationships/hyperlink" Target="https://chemicalsafety.ilo.org/dyn/icsc/showcard.display?p_card_id=0856&amp;p_lang=tr" TargetMode="External"/><Relationship Id="rId255" Type="http://schemas.openxmlformats.org/officeDocument/2006/relationships/hyperlink" Target="https://www.google.com/search?q=13463-39-3+SDS+safety+data+sheet+filetype:pdf" TargetMode="External"/><Relationship Id="rId2350" Type="http://schemas.openxmlformats.org/officeDocument/2006/relationships/hyperlink" Target="https://chemicalsafety.ilo.org/dyn/icsc/showcard.display?p_card_id=0601&amp;p_lang=tr" TargetMode="External"/><Relationship Id="rId3401" Type="http://schemas.openxmlformats.org/officeDocument/2006/relationships/hyperlink" Target="https://chemicalsafety.ilo.org/dyn/icsc/showcard.display?p_card_id=0874&amp;p_lang=en" TargetMode="External"/><Relationship Id="rId6557" Type="http://schemas.openxmlformats.org/officeDocument/2006/relationships/hyperlink" Target="https://chemicalsafety.ilo.org/dyn/icsc/showcard.display?p_card_id=1710&amp;p_lang=en" TargetMode="External"/><Relationship Id="rId322" Type="http://schemas.openxmlformats.org/officeDocument/2006/relationships/hyperlink" Target="https://chemicalsafety.ilo.org/dyn/icsc/showcard.display?p_card_id=0081&amp;p_lang=tr" TargetMode="External"/><Relationship Id="rId2003" Type="http://schemas.openxmlformats.org/officeDocument/2006/relationships/hyperlink" Target="https://www.google.com/search?q=79-20-9+SDS+safety+data+sheet+filetype:pdf" TargetMode="External"/><Relationship Id="rId5159" Type="http://schemas.openxmlformats.org/officeDocument/2006/relationships/hyperlink" Target="https://www.google.com/search?q=109-83-1+SDS+safety+data+sheet+filetype:pdf" TargetMode="External"/><Relationship Id="rId5573" Type="http://schemas.openxmlformats.org/officeDocument/2006/relationships/hyperlink" Target="https://chemicalsafety.ilo.org/dyn/icsc/showcard.display?p_card_id=1442&amp;p_lang=en" TargetMode="External"/><Relationship Id="rId6624" Type="http://schemas.openxmlformats.org/officeDocument/2006/relationships/hyperlink" Target="https://chem.echa.europa.eu/substance-search?searchText=95-73-8" TargetMode="External"/><Relationship Id="rId4175" Type="http://schemas.openxmlformats.org/officeDocument/2006/relationships/hyperlink" Target="https://www.google.com/search?q=590-88-5+SDS+safety+data+sheet+filetype:pdf" TargetMode="External"/><Relationship Id="rId5226" Type="http://schemas.openxmlformats.org/officeDocument/2006/relationships/hyperlink" Target="https://chemicalsafety.ilo.org/dyn/icsc/showcard.display?p_card_id=1353&amp;p_lang=tr" TargetMode="External"/><Relationship Id="rId1769" Type="http://schemas.openxmlformats.org/officeDocument/2006/relationships/hyperlink" Target="https://chemicalsafety.ilo.org/dyn/icsc/showcard.display?p_card_id=0447&amp;p_lang=en" TargetMode="External"/><Relationship Id="rId3191" Type="http://schemas.openxmlformats.org/officeDocument/2006/relationships/hyperlink" Target="https://www.google.com/search?q=7783-41-7+SDS+safety+data+sheet+filetype:pdf" TargetMode="External"/><Relationship Id="rId4242" Type="http://schemas.openxmlformats.org/officeDocument/2006/relationships/hyperlink" Target="https://chemicalsafety.ilo.org/dyn/icsc/showcard.display?p_card_id=1096&amp;p_lang=tr" TargetMode="External"/><Relationship Id="rId5640" Type="http://schemas.openxmlformats.org/officeDocument/2006/relationships/hyperlink" Target="https://chem.echa.europa.eu/substance-search?searchText=95-49-8" TargetMode="External"/><Relationship Id="rId1836" Type="http://schemas.openxmlformats.org/officeDocument/2006/relationships/hyperlink" Target="https://chem.echa.europa.eu/substance-search?searchText=25321-14-6" TargetMode="External"/><Relationship Id="rId1903" Type="http://schemas.openxmlformats.org/officeDocument/2006/relationships/hyperlink" Target="https://www.google.com/search?q=7681-52-9+SDS+safety+data+sheet+filetype:pdf" TargetMode="External"/><Relationship Id="rId6067" Type="http://schemas.openxmlformats.org/officeDocument/2006/relationships/hyperlink" Target="https://www.google.com/search?q=112-25-4+SDS+safety+data+sheet+filetype:pdf" TargetMode="External"/><Relationship Id="rId6481" Type="http://schemas.openxmlformats.org/officeDocument/2006/relationships/hyperlink" Target="https://chemicalsafety.ilo.org/dyn/icsc/showcard.display?p_card_id=1686&amp;p_lang=en" TargetMode="External"/><Relationship Id="rId996" Type="http://schemas.openxmlformats.org/officeDocument/2006/relationships/hyperlink" Target="https://chem.echa.europa.eu/substance-search?searchText=107-06-2" TargetMode="External"/><Relationship Id="rId2677" Type="http://schemas.openxmlformats.org/officeDocument/2006/relationships/hyperlink" Target="https://chemicalsafety.ilo.org/dyn/icsc/showcard.display?p_card_id=0689&amp;p_lang=en" TargetMode="External"/><Relationship Id="rId3728" Type="http://schemas.openxmlformats.org/officeDocument/2006/relationships/hyperlink" Target="https://chem.echa.europa.eu/substance-search?searchText=7772-99-8" TargetMode="External"/><Relationship Id="rId5083" Type="http://schemas.openxmlformats.org/officeDocument/2006/relationships/hyperlink" Target="https://www.google.com/search?q=123-75-1+SDS+safety+data+sheet+filetype:pdf" TargetMode="External"/><Relationship Id="rId6134" Type="http://schemas.openxmlformats.org/officeDocument/2006/relationships/hyperlink" Target="https://chemicalsafety.ilo.org/dyn/icsc/showcard.display?p_card_id=1588&amp;p_lang=tr" TargetMode="External"/><Relationship Id="rId649" Type="http://schemas.openxmlformats.org/officeDocument/2006/relationships/hyperlink" Target="https://chemicalsafety.ilo.org/dyn/icsc/showcard.display?p_card_id=0163&amp;p_lang=en" TargetMode="External"/><Relationship Id="rId1279" Type="http://schemas.openxmlformats.org/officeDocument/2006/relationships/hyperlink" Target="https://www.google.com/search?q=57-55-6+SDS+safety+data+sheet+filetype:pdf" TargetMode="External"/><Relationship Id="rId5150" Type="http://schemas.openxmlformats.org/officeDocument/2006/relationships/hyperlink" Target="https://chemicalsafety.ilo.org/dyn/icsc/showcard.display?p_card_id=1334&amp;p_lang=tr" TargetMode="External"/><Relationship Id="rId6201" Type="http://schemas.openxmlformats.org/officeDocument/2006/relationships/hyperlink" Target="https://chemicalsafety.ilo.org/dyn/icsc/showcard.display?p_card_id=1605&amp;p_lang=en" TargetMode="External"/><Relationship Id="rId1346" Type="http://schemas.openxmlformats.org/officeDocument/2006/relationships/hyperlink" Target="https://chemicalsafety.ilo.org/dyn/icsc/showcard.display?p_card_id=0338&amp;p_lang=tr" TargetMode="External"/><Relationship Id="rId1693" Type="http://schemas.openxmlformats.org/officeDocument/2006/relationships/hyperlink" Target="https://chemicalsafety.ilo.org/dyn/icsc/showcard.display?p_card_id=0428&amp;p_lang=en" TargetMode="External"/><Relationship Id="rId2744" Type="http://schemas.openxmlformats.org/officeDocument/2006/relationships/hyperlink" Target="https://chem.echa.europa.eu/substance-search?searchText=107-20-0" TargetMode="External"/><Relationship Id="rId716" Type="http://schemas.openxmlformats.org/officeDocument/2006/relationships/hyperlink" Target="https://chem.echa.europa.eu/substance-search?searchText=78-93-3" TargetMode="External"/><Relationship Id="rId1760" Type="http://schemas.openxmlformats.org/officeDocument/2006/relationships/hyperlink" Target="https://chem.echa.europa.eu/substance-search?searchText=109-89-7" TargetMode="External"/><Relationship Id="rId2811" Type="http://schemas.openxmlformats.org/officeDocument/2006/relationships/hyperlink" Target="https://www.google.com/search?q=78-99-9+SDS+safety+data+sheet+filetype:pdf" TargetMode="External"/><Relationship Id="rId5967" Type="http://schemas.openxmlformats.org/officeDocument/2006/relationships/hyperlink" Target="https://www.google.com/search?q=35691-65-7+SDS+safety+data+sheet+filetype:pdf" TargetMode="External"/><Relationship Id="rId52" Type="http://schemas.openxmlformats.org/officeDocument/2006/relationships/hyperlink" Target="https://chem.echa.europa.eu/substance-search?searchText=7440-38-2" TargetMode="External"/><Relationship Id="rId1413" Type="http://schemas.openxmlformats.org/officeDocument/2006/relationships/hyperlink" Target="https://chemicalsafety.ilo.org/dyn/icsc/showcard.display?p_card_id=0355&amp;p_lang=en" TargetMode="External"/><Relationship Id="rId4569" Type="http://schemas.openxmlformats.org/officeDocument/2006/relationships/hyperlink" Target="https://chemicalsafety.ilo.org/dyn/icsc/showcard.display?p_card_id=1181&amp;p_lang=en" TargetMode="External"/><Relationship Id="rId4983" Type="http://schemas.openxmlformats.org/officeDocument/2006/relationships/hyperlink" Target="https://www.google.com/search?q=2499-95-8+SDS+safety+data+sheet+filetype:pdf" TargetMode="External"/><Relationship Id="rId3585" Type="http://schemas.openxmlformats.org/officeDocument/2006/relationships/hyperlink" Target="https://chemicalsafety.ilo.org/dyn/icsc/showcard.display?p_card_id=0920&amp;p_lang=en" TargetMode="External"/><Relationship Id="rId4636" Type="http://schemas.openxmlformats.org/officeDocument/2006/relationships/hyperlink" Target="https://chem.echa.europa.eu/substance-search?searchText=7757-83-7" TargetMode="External"/><Relationship Id="rId2187" Type="http://schemas.openxmlformats.org/officeDocument/2006/relationships/hyperlink" Target="https://www.google.com/search?q=123-62-6+SDS+safety+data+sheet+filetype:pdf" TargetMode="External"/><Relationship Id="rId3238" Type="http://schemas.openxmlformats.org/officeDocument/2006/relationships/hyperlink" Target="https://chemicalsafety.ilo.org/dyn/icsc/showcard.display?p_card_id=0831&amp;p_lang=tr" TargetMode="External"/><Relationship Id="rId3652" Type="http://schemas.openxmlformats.org/officeDocument/2006/relationships/hyperlink" Target="https://chem.echa.europa.eu/substance-search?searchText=60-12-8" TargetMode="External"/><Relationship Id="rId4703" Type="http://schemas.openxmlformats.org/officeDocument/2006/relationships/hyperlink" Target="https://www.google.com/search?q=68-04-2+SDS+safety+data+sheet+filetype:pdf" TargetMode="External"/><Relationship Id="rId159" Type="http://schemas.openxmlformats.org/officeDocument/2006/relationships/hyperlink" Target="https://www.google.com/search?q=111-77-3+SDS+safety+data+sheet+filetype:pdf" TargetMode="External"/><Relationship Id="rId573" Type="http://schemas.openxmlformats.org/officeDocument/2006/relationships/hyperlink" Target="https://chemicalsafety.ilo.org/dyn/icsc/showcard.display?p_card_id=0144&amp;p_lang=en" TargetMode="External"/><Relationship Id="rId2254" Type="http://schemas.openxmlformats.org/officeDocument/2006/relationships/hyperlink" Target="https://chemicalsafety.ilo.org/dyn/icsc/showcard.display?p_card_id=0575&amp;p_lang=tr" TargetMode="External"/><Relationship Id="rId3305" Type="http://schemas.openxmlformats.org/officeDocument/2006/relationships/hyperlink" Target="https://chemicalsafety.ilo.org/dyn/icsc/showcard.display?p_card_id=0849&amp;p_lang=en" TargetMode="External"/><Relationship Id="rId226" Type="http://schemas.openxmlformats.org/officeDocument/2006/relationships/hyperlink" Target="https://chemicalsafety.ilo.org/dyn/icsc/showcard.display?p_card_id=0057&amp;p_lang=tr" TargetMode="External"/><Relationship Id="rId1270" Type="http://schemas.openxmlformats.org/officeDocument/2006/relationships/hyperlink" Target="https://chemicalsafety.ilo.org/dyn/icsc/showcard.display?p_card_id=0319&amp;p_lang=tr" TargetMode="External"/><Relationship Id="rId5477" Type="http://schemas.openxmlformats.org/officeDocument/2006/relationships/hyperlink" Target="https://chemicalsafety.ilo.org/dyn/icsc/showcard.display?p_card_id=1418&amp;p_lang=en" TargetMode="External"/><Relationship Id="rId640" Type="http://schemas.openxmlformats.org/officeDocument/2006/relationships/hyperlink" Target="https://chem.echa.europa.eu/substance-search?searchText=1071-83-6" TargetMode="External"/><Relationship Id="rId2321" Type="http://schemas.openxmlformats.org/officeDocument/2006/relationships/hyperlink" Target="https://chemicalsafety.ilo.org/dyn/icsc/showcard.display?p_card_id=0593&amp;p_lang=en" TargetMode="External"/><Relationship Id="rId4079" Type="http://schemas.openxmlformats.org/officeDocument/2006/relationships/hyperlink" Target="https://www.google.com/search?q=108-03-2+SDS+safety+data+sheet+filetype:pdf" TargetMode="External"/><Relationship Id="rId5891" Type="http://schemas.openxmlformats.org/officeDocument/2006/relationships/hyperlink" Target="https://www.google.com/search?q=712-48-1+SDS+safety+data+sheet+filetype:pdf" TargetMode="External"/><Relationship Id="rId6528" Type="http://schemas.openxmlformats.org/officeDocument/2006/relationships/hyperlink" Target="https://chem.echa.europa.eu/substance-search?searchText=59-67-6" TargetMode="External"/><Relationship Id="rId4493" Type="http://schemas.openxmlformats.org/officeDocument/2006/relationships/hyperlink" Target="https://chemicalsafety.ilo.org/dyn/icsc/showcard.display?p_card_id=1162&amp;p_lang=en" TargetMode="External"/><Relationship Id="rId5544" Type="http://schemas.openxmlformats.org/officeDocument/2006/relationships/hyperlink" Target="https://chem.echa.europa.eu/substance-search?searchText=640-19-7" TargetMode="External"/><Relationship Id="rId3095" Type="http://schemas.openxmlformats.org/officeDocument/2006/relationships/hyperlink" Target="https://www.google.com/search?q=98-00-0+SDS+safety+data+sheet+filetype:pdf" TargetMode="External"/><Relationship Id="rId4146" Type="http://schemas.openxmlformats.org/officeDocument/2006/relationships/hyperlink" Target="https://chemicalsafety.ilo.org/dyn/icsc/showcard.display?p_card_id=1069&amp;p_lang=tr" TargetMode="External"/><Relationship Id="rId4560" Type="http://schemas.openxmlformats.org/officeDocument/2006/relationships/hyperlink" Target="https://chem.echa.europa.eu/substance-search?searchText=7601-54-9" TargetMode="External"/><Relationship Id="rId5611" Type="http://schemas.openxmlformats.org/officeDocument/2006/relationships/hyperlink" Target="https://www.google.com/search?q=7778-80-5+SDS+safety+data+sheet+filetype:pdf" TargetMode="External"/><Relationship Id="rId1807" Type="http://schemas.openxmlformats.org/officeDocument/2006/relationships/hyperlink" Target="https://www.google.com/search?q=68-12-2+SDS+safety+data+sheet+filetype:pdf" TargetMode="External"/><Relationship Id="rId3162" Type="http://schemas.openxmlformats.org/officeDocument/2006/relationships/hyperlink" Target="https://chemicalsafety.ilo.org/dyn/icsc/showcard.display?p_card_id=0811&amp;p_lang=tr" TargetMode="External"/><Relationship Id="rId4213" Type="http://schemas.openxmlformats.org/officeDocument/2006/relationships/hyperlink" Target="https://chemicalsafety.ilo.org/dyn/icsc/showcard.display?p_card_id=1088&amp;p_lang=en" TargetMode="External"/><Relationship Id="rId6385" Type="http://schemas.openxmlformats.org/officeDocument/2006/relationships/hyperlink" Target="https://chemicalsafety.ilo.org/dyn/icsc/showcard.display?p_card_id=1661&amp;p_lang=en" TargetMode="External"/><Relationship Id="rId150" Type="http://schemas.openxmlformats.org/officeDocument/2006/relationships/hyperlink" Target="https://chemicalsafety.ilo.org/dyn/icsc/showcard.display?p_card_id=0038&amp;p_lang=tr" TargetMode="External"/><Relationship Id="rId3979" Type="http://schemas.openxmlformats.org/officeDocument/2006/relationships/hyperlink" Target="https://www.google.com/search?q=541-41-3+SDS+safety+data+sheet+filetype:pdf" TargetMode="External"/><Relationship Id="rId6038" Type="http://schemas.openxmlformats.org/officeDocument/2006/relationships/hyperlink" Target="https://chemicalsafety.ilo.org/dyn/icsc/showcard.display?p_card_id=1564&amp;p_lang=tr" TargetMode="External"/><Relationship Id="rId6452" Type="http://schemas.openxmlformats.org/officeDocument/2006/relationships/hyperlink" Target="https://chem.echa.europa.eu/substance-search?searchText=613-35-4" TargetMode="External"/><Relationship Id="rId2995" Type="http://schemas.openxmlformats.org/officeDocument/2006/relationships/hyperlink" Target="https://www.google.com/search?q=12136-45-7+SDS+safety+data+sheet+filetype:pdf" TargetMode="External"/><Relationship Id="rId5054" Type="http://schemas.openxmlformats.org/officeDocument/2006/relationships/hyperlink" Target="https://chemicalsafety.ilo.org/dyn/icsc/showcard.display?p_card_id=1306&amp;p_lang=tr" TargetMode="External"/><Relationship Id="rId6105" Type="http://schemas.openxmlformats.org/officeDocument/2006/relationships/hyperlink" Target="https://chemicalsafety.ilo.org/dyn/icsc/showcard.display?p_card_id=1581&amp;p_lang=en" TargetMode="External"/><Relationship Id="rId967" Type="http://schemas.openxmlformats.org/officeDocument/2006/relationships/hyperlink" Target="https://www.google.com/search?q=108-93-0+SDS+safety+data+sheet+filetype:pdf" TargetMode="External"/><Relationship Id="rId1597" Type="http://schemas.openxmlformats.org/officeDocument/2006/relationships/hyperlink" Target="https://chemicalsafety.ilo.org/dyn/icsc/showcard.display?p_card_id=0403&amp;p_lang=en" TargetMode="External"/><Relationship Id="rId2648" Type="http://schemas.openxmlformats.org/officeDocument/2006/relationships/hyperlink" Target="https://chem.echa.europa.eu/substance-search?searchText=62-56-6" TargetMode="External"/><Relationship Id="rId1664" Type="http://schemas.openxmlformats.org/officeDocument/2006/relationships/hyperlink" Target="https://chem.echa.europa.eu/substance-search?searchText=75-72-9" TargetMode="External"/><Relationship Id="rId2715" Type="http://schemas.openxmlformats.org/officeDocument/2006/relationships/hyperlink" Target="https://www.google.com/search?q=122-34-9+SDS+safety+data+sheet+filetype:pdf" TargetMode="External"/><Relationship Id="rId4070" Type="http://schemas.openxmlformats.org/officeDocument/2006/relationships/hyperlink" Target="https://chemicalsafety.ilo.org/dyn/icsc/showcard.display?p_card_id=1048&amp;p_lang=tr" TargetMode="External"/><Relationship Id="rId5121" Type="http://schemas.openxmlformats.org/officeDocument/2006/relationships/hyperlink" Target="https://chemicalsafety.ilo.org/dyn/icsc/showcard.display?p_card_id=1325&amp;p_lang=en" TargetMode="External"/><Relationship Id="rId1317" Type="http://schemas.openxmlformats.org/officeDocument/2006/relationships/hyperlink" Target="https://chemicalsafety.ilo.org/dyn/icsc/showcard.display?p_card_id=0331&amp;p_lang=en" TargetMode="External"/><Relationship Id="rId1731" Type="http://schemas.openxmlformats.org/officeDocument/2006/relationships/hyperlink" Target="https://www.google.com/search?q=2893-78-9+SDS+safety+data+sheet+filetype:pdf" TargetMode="External"/><Relationship Id="rId4887" Type="http://schemas.openxmlformats.org/officeDocument/2006/relationships/hyperlink" Target="https://www.google.com/search?q=116255-48-2+SDS+safety+data+sheet+filetype:pdf" TargetMode="External"/><Relationship Id="rId5938" Type="http://schemas.openxmlformats.org/officeDocument/2006/relationships/hyperlink" Target="https://chemicalsafety.ilo.org/dyn/icsc/showcard.display?p_card_id=1538&amp;p_lang=tr" TargetMode="External"/><Relationship Id="rId23" Type="http://schemas.openxmlformats.org/officeDocument/2006/relationships/hyperlink" Target="https://www.google.com/search?q=56-38-2+SDS+safety+data+sheet+filetype:pdf" TargetMode="External"/><Relationship Id="rId3489" Type="http://schemas.openxmlformats.org/officeDocument/2006/relationships/hyperlink" Target="https://chemicalsafety.ilo.org/dyn/icsc/showcard.display?p_card_id=0896&amp;p_lang=en" TargetMode="External"/><Relationship Id="rId3556" Type="http://schemas.openxmlformats.org/officeDocument/2006/relationships/hyperlink" Target="https://chem.echa.europa.eu/substance-search?searchText=78-70-6" TargetMode="External"/><Relationship Id="rId4954" Type="http://schemas.openxmlformats.org/officeDocument/2006/relationships/hyperlink" Target="https://chemicalsafety.ilo.org/dyn/icsc/showcard.display?p_card_id=1281&amp;p_lang=tr" TargetMode="External"/><Relationship Id="rId477" Type="http://schemas.openxmlformats.org/officeDocument/2006/relationships/hyperlink" Target="https://chemicalsafety.ilo.org/dyn/icsc/showcard.display?p_card_id=0120&amp;p_lang=en" TargetMode="External"/><Relationship Id="rId2158" Type="http://schemas.openxmlformats.org/officeDocument/2006/relationships/hyperlink" Target="https://chemicalsafety.ilo.org/dyn/icsc/showcard.display?p_card_id=0551&amp;p_lang=tr" TargetMode="External"/><Relationship Id="rId3209" Type="http://schemas.openxmlformats.org/officeDocument/2006/relationships/hyperlink" Target="https://chemicalsafety.ilo.org/dyn/icsc/showcard.display?p_card_id=0823&amp;p_lang=en" TargetMode="External"/><Relationship Id="rId3970" Type="http://schemas.openxmlformats.org/officeDocument/2006/relationships/hyperlink" Target="https://chemicalsafety.ilo.org/dyn/icsc/showcard.display?p_card_id=1023&amp;p_lang=tr" TargetMode="External"/><Relationship Id="rId4607" Type="http://schemas.openxmlformats.org/officeDocument/2006/relationships/hyperlink" Target="https://www.google.com/search?q=10043-01-3+SDS+safety+data+sheet+filetype:pdf" TargetMode="External"/><Relationship Id="rId891" Type="http://schemas.openxmlformats.org/officeDocument/2006/relationships/hyperlink" Target="https://www.google.com/search?q=92-87-5+SDS+safety+data+sheet+filetype:pdf" TargetMode="External"/><Relationship Id="rId2572" Type="http://schemas.openxmlformats.org/officeDocument/2006/relationships/hyperlink" Target="https://chem.echa.europa.eu/substance-search?searchText=124-09-4" TargetMode="External"/><Relationship Id="rId3623" Type="http://schemas.openxmlformats.org/officeDocument/2006/relationships/hyperlink" Target="https://www.google.com/search?q=1836-75-5+SDS+safety+data+sheet+filetype:pdf" TargetMode="External"/><Relationship Id="rId6779" Type="http://schemas.openxmlformats.org/officeDocument/2006/relationships/hyperlink" Target="https://www.google.com/search?q=96182-53-5+SDS+safety+data+sheet+filetype:pdf" TargetMode="External"/><Relationship Id="rId544" Type="http://schemas.openxmlformats.org/officeDocument/2006/relationships/hyperlink" Target="https://chem.echa.europa.eu/substance-search?searchText=506-68-3" TargetMode="External"/><Relationship Id="rId1174" Type="http://schemas.openxmlformats.org/officeDocument/2006/relationships/hyperlink" Target="https://chemicalsafety.ilo.org/dyn/icsc/showcard.display?p_card_id=0295&amp;p_lang=tr" TargetMode="External"/><Relationship Id="rId2225" Type="http://schemas.openxmlformats.org/officeDocument/2006/relationships/hyperlink" Target="https://chemicalsafety.ilo.org/dyn/icsc/showcard.display?p_card_id=0568&amp;p_lang=en" TargetMode="External"/><Relationship Id="rId5795" Type="http://schemas.openxmlformats.org/officeDocument/2006/relationships/hyperlink" Target="https://www.google.com/search?q=168316-95-8+SDS+safety+data+sheet+filetype:pdf" TargetMode="External"/><Relationship Id="rId6846" Type="http://schemas.openxmlformats.org/officeDocument/2006/relationships/hyperlink" Target="https://chemicalsafety.ilo.org/dyn/icsc/showcard.display?p_card_id=1785&amp;p_lang=tr" TargetMode="External"/><Relationship Id="rId611" Type="http://schemas.openxmlformats.org/officeDocument/2006/relationships/hyperlink" Target="https://www.google.com/search?q=75-04-7+SDS+safety+data+sheet+filetype:pdf" TargetMode="External"/><Relationship Id="rId1241" Type="http://schemas.openxmlformats.org/officeDocument/2006/relationships/hyperlink" Target="https://chemicalsafety.ilo.org/dyn/icsc/showcard.display?p_card_id=0312&amp;p_lang=en" TargetMode="External"/><Relationship Id="rId4397" Type="http://schemas.openxmlformats.org/officeDocument/2006/relationships/hyperlink" Target="https://chemicalsafety.ilo.org/dyn/icsc/showcard.display?p_card_id=1138&amp;p_lang=en" TargetMode="External"/><Relationship Id="rId5448" Type="http://schemas.openxmlformats.org/officeDocument/2006/relationships/hyperlink" Target="https://chem.echa.europa.eu/substance-search?searchText=96-34-4" TargetMode="External"/><Relationship Id="rId5862" Type="http://schemas.openxmlformats.org/officeDocument/2006/relationships/hyperlink" Target="https://chemicalsafety.ilo.org/dyn/icsc/showcard.display?p_card_id=1519&amp;p_lang=tr" TargetMode="External"/><Relationship Id="rId4464" Type="http://schemas.openxmlformats.org/officeDocument/2006/relationships/hyperlink" Target="https://chem.echa.europa.eu/substance-search?searchText=108-78-1" TargetMode="External"/><Relationship Id="rId5515" Type="http://schemas.openxmlformats.org/officeDocument/2006/relationships/hyperlink" Target="https://www.google.com/search?q=107-16-4+SDS+safety+data+sheet+filetype:pdf" TargetMode="External"/><Relationship Id="rId3066" Type="http://schemas.openxmlformats.org/officeDocument/2006/relationships/hyperlink" Target="https://chemicalsafety.ilo.org/dyn/icsc/showcard.display?p_card_id=0787&amp;p_lang=tr" TargetMode="External"/><Relationship Id="rId3480" Type="http://schemas.openxmlformats.org/officeDocument/2006/relationships/hyperlink" Target="https://chem.echa.europa.eu/substance-search?searchText=7782-42-5" TargetMode="External"/><Relationship Id="rId4117" Type="http://schemas.openxmlformats.org/officeDocument/2006/relationships/hyperlink" Target="https://chemicalsafety.ilo.org/dyn/icsc/showcard.display?p_card_id=1061&amp;p_lang=en" TargetMode="External"/><Relationship Id="rId4531" Type="http://schemas.openxmlformats.org/officeDocument/2006/relationships/hyperlink" Target="https://www.google.com/search?q=77-58-7+SDS+safety+data+sheet+filetype:pdf" TargetMode="External"/><Relationship Id="rId2082" Type="http://schemas.openxmlformats.org/officeDocument/2006/relationships/hyperlink" Target="https://chemicalsafety.ilo.org/dyn/icsc/showcard.display?p_card_id=0531&amp;p_lang=tr" TargetMode="External"/><Relationship Id="rId3133" Type="http://schemas.openxmlformats.org/officeDocument/2006/relationships/hyperlink" Target="https://chemicalsafety.ilo.org/dyn/icsc/showcard.display?p_card_id=0804&amp;p_lang=en" TargetMode="External"/><Relationship Id="rId6289" Type="http://schemas.openxmlformats.org/officeDocument/2006/relationships/hyperlink" Target="https://chemicalsafety.ilo.org/dyn/icsc/showcard.display?p_card_id=1628&amp;p_lang=en" TargetMode="External"/><Relationship Id="rId2899" Type="http://schemas.openxmlformats.org/officeDocument/2006/relationships/hyperlink" Target="https://www.google.com/search?q=82-68-8+SDS+safety+data+sheet+filetype:pdf" TargetMode="External"/><Relationship Id="rId3200" Type="http://schemas.openxmlformats.org/officeDocument/2006/relationships/hyperlink" Target="https://chem.echa.europa.eu/substance-search?searchText=106-87-6" TargetMode="External"/><Relationship Id="rId6356" Type="http://schemas.openxmlformats.org/officeDocument/2006/relationships/hyperlink" Target="https://chem.echa.europa.eu/substance-search?searchText=542-56-3" TargetMode="External"/><Relationship Id="rId6770" Type="http://schemas.openxmlformats.org/officeDocument/2006/relationships/hyperlink" Target="https://chemicalsafety.ilo.org/dyn/icsc/showcard.display?p_card_id=1765&amp;p_lang=tr" TargetMode="External"/><Relationship Id="rId121" Type="http://schemas.openxmlformats.org/officeDocument/2006/relationships/hyperlink" Target="https://chemicalsafety.ilo.org/dyn/icsc/showcard.display?p_card_id=0031&amp;p_lang=en" TargetMode="External"/><Relationship Id="rId2966" Type="http://schemas.openxmlformats.org/officeDocument/2006/relationships/hyperlink" Target="https://chemicalsafety.ilo.org/dyn/icsc/showcard.display?p_card_id=0762&amp;p_lang=tr" TargetMode="External"/><Relationship Id="rId5372" Type="http://schemas.openxmlformats.org/officeDocument/2006/relationships/hyperlink" Target="https://chem.echa.europa.eu/substance-search?searchText=460-19-5" TargetMode="External"/><Relationship Id="rId6009" Type="http://schemas.openxmlformats.org/officeDocument/2006/relationships/hyperlink" Target="https://chemicalsafety.ilo.org/dyn/icsc/showcard.display?p_card_id=1557&amp;p_lang=en" TargetMode="External"/><Relationship Id="rId6423" Type="http://schemas.openxmlformats.org/officeDocument/2006/relationships/hyperlink" Target="https://www.google.com/search?q=463-56-9+SDS+safety+data+sheet+filetype:pdf" TargetMode="External"/><Relationship Id="rId938" Type="http://schemas.openxmlformats.org/officeDocument/2006/relationships/hyperlink" Target="https://chemicalsafety.ilo.org/dyn/icsc/showcard.display?p_card_id=0236&amp;p_lang=tr" TargetMode="External"/><Relationship Id="rId1568" Type="http://schemas.openxmlformats.org/officeDocument/2006/relationships/hyperlink" Target="https://chem.echa.europa.eu/substance-search?searchText=584-03-2" TargetMode="External"/><Relationship Id="rId2619" Type="http://schemas.openxmlformats.org/officeDocument/2006/relationships/hyperlink" Target="https://www.google.com/search?q=7722-64-7+SDS+safety+data+sheet+filetype:pdf" TargetMode="External"/><Relationship Id="rId5025" Type="http://schemas.openxmlformats.org/officeDocument/2006/relationships/hyperlink" Target="https://chemicalsafety.ilo.org/dyn/icsc/showcard.display?p_card_id=1299&amp;p_lang=en" TargetMode="External"/><Relationship Id="rId1635" Type="http://schemas.openxmlformats.org/officeDocument/2006/relationships/hyperlink" Target="https://www.google.com/search?q=127-65-1+SDS+safety+data+sheet+filetype:pdf" TargetMode="External"/><Relationship Id="rId1982" Type="http://schemas.openxmlformats.org/officeDocument/2006/relationships/hyperlink" Target="https://chemicalsafety.ilo.org/dyn/icsc/showcard.display?p_card_id=0502&amp;p_lang=tr" TargetMode="External"/><Relationship Id="rId4041" Type="http://schemas.openxmlformats.org/officeDocument/2006/relationships/hyperlink" Target="https://chemicalsafety.ilo.org/dyn/icsc/showcard.display?p_card_id=1041&amp;p_lang=en" TargetMode="External"/><Relationship Id="rId1702" Type="http://schemas.openxmlformats.org/officeDocument/2006/relationships/hyperlink" Target="https://chemicalsafety.ilo.org/dyn/icsc/showcard.display?p_card_id=0430&amp;p_lang=tr" TargetMode="External"/><Relationship Id="rId4858" Type="http://schemas.openxmlformats.org/officeDocument/2006/relationships/hyperlink" Target="https://chemicalsafety.ilo.org/dyn/icsc/showcard.display?p_card_id=1257&amp;p_lang=tr" TargetMode="External"/><Relationship Id="rId5909" Type="http://schemas.openxmlformats.org/officeDocument/2006/relationships/hyperlink" Target="https://chemicalsafety.ilo.org/dyn/icsc/showcard.display?p_card_id=1531&amp;p_lang=en" TargetMode="External"/><Relationship Id="rId3874" Type="http://schemas.openxmlformats.org/officeDocument/2006/relationships/hyperlink" Target="https://chemicalsafety.ilo.org/dyn/icsc/showcard.display?p_card_id=0996&amp;p_lang=tr" TargetMode="External"/><Relationship Id="rId4925" Type="http://schemas.openxmlformats.org/officeDocument/2006/relationships/hyperlink" Target="https://chemicalsafety.ilo.org/dyn/icsc/showcard.display?p_card_id=1274&amp;p_lang=en" TargetMode="External"/><Relationship Id="rId6280" Type="http://schemas.openxmlformats.org/officeDocument/2006/relationships/hyperlink" Target="https://chem.echa.europa.eu/substance-search?searchText=7778-39-4" TargetMode="External"/><Relationship Id="rId795" Type="http://schemas.openxmlformats.org/officeDocument/2006/relationships/hyperlink" Target="https://www.google.com/search?q=3383-96-8+SDS+safety+data+sheet+filetype:pdf" TargetMode="External"/><Relationship Id="rId2476" Type="http://schemas.openxmlformats.org/officeDocument/2006/relationships/hyperlink" Target="https://chem.echa.europa.eu/substance-search?searchText=353-50-4" TargetMode="External"/><Relationship Id="rId2890" Type="http://schemas.openxmlformats.org/officeDocument/2006/relationships/hyperlink" Target="https://chemicalsafety.ilo.org/dyn/icsc/showcard.display?p_card_id=0743&amp;p_lang=tr" TargetMode="External"/><Relationship Id="rId3527" Type="http://schemas.openxmlformats.org/officeDocument/2006/relationships/hyperlink" Target="https://www.google.com/search?q=78-96-6+SDS+safety+data+sheet+filetype:pdf" TargetMode="External"/><Relationship Id="rId3941" Type="http://schemas.openxmlformats.org/officeDocument/2006/relationships/hyperlink" Target="https://chemicalsafety.ilo.org/dyn/icsc/showcard.display?p_card_id=1016&amp;p_lang=en" TargetMode="External"/><Relationship Id="rId448" Type="http://schemas.openxmlformats.org/officeDocument/2006/relationships/hyperlink" Target="https://chem.echa.europa.eu/substance-search?searchText=78-92-2" TargetMode="External"/><Relationship Id="rId862" Type="http://schemas.openxmlformats.org/officeDocument/2006/relationships/hyperlink" Target="https://chemicalsafety.ilo.org/dyn/icsc/showcard.display?p_card_id=0217&amp;p_lang=tr" TargetMode="External"/><Relationship Id="rId1078" Type="http://schemas.openxmlformats.org/officeDocument/2006/relationships/hyperlink" Target="https://chemicalsafety.ilo.org/dyn/icsc/showcard.display?p_card_id=0271&amp;p_lang=tr" TargetMode="External"/><Relationship Id="rId1492" Type="http://schemas.openxmlformats.org/officeDocument/2006/relationships/hyperlink" Target="https://chem.echa.europa.eu/substance-search?searchText=536-90-3" TargetMode="External"/><Relationship Id="rId2129" Type="http://schemas.openxmlformats.org/officeDocument/2006/relationships/hyperlink" Target="https://chemicalsafety.ilo.org/dyn/icsc/showcard.display?p_card_id=0543&amp;p_lang=en" TargetMode="External"/><Relationship Id="rId2543" Type="http://schemas.openxmlformats.org/officeDocument/2006/relationships/hyperlink" Target="https://www.google.com/search?q=126-98-7+SDS+safety+data+sheet+filetype:pdf" TargetMode="External"/><Relationship Id="rId5699" Type="http://schemas.openxmlformats.org/officeDocument/2006/relationships/hyperlink" Target="https://www.google.com/search?q=1570-64-5+SDS+safety+data+sheet+filetype:pdf" TargetMode="External"/><Relationship Id="rId6000" Type="http://schemas.openxmlformats.org/officeDocument/2006/relationships/hyperlink" Target="https://chem.echa.europa.eu/substance-search?searchText=57-48-7" TargetMode="External"/><Relationship Id="rId515" Type="http://schemas.openxmlformats.org/officeDocument/2006/relationships/hyperlink" Target="https://www.google.com/search?q=95-51-2+SDS+safety+data+sheet+filetype:pdf" TargetMode="External"/><Relationship Id="rId1145" Type="http://schemas.openxmlformats.org/officeDocument/2006/relationships/hyperlink" Target="https://chemicalsafety.ilo.org/dyn/icsc/showcard.display?p_card_id=0288&amp;p_lang=en" TargetMode="External"/><Relationship Id="rId5766" Type="http://schemas.openxmlformats.org/officeDocument/2006/relationships/hyperlink" Target="https://chemicalsafety.ilo.org/dyn/icsc/showcard.display?p_card_id=1495&amp;p_lang=tr" TargetMode="External"/><Relationship Id="rId1212" Type="http://schemas.openxmlformats.org/officeDocument/2006/relationships/hyperlink" Target="https://chem.echa.europa.eu/substance-search?searchText=61790-14-5" TargetMode="External"/><Relationship Id="rId2610" Type="http://schemas.openxmlformats.org/officeDocument/2006/relationships/hyperlink" Target="https://chemicalsafety.ilo.org/dyn/icsc/showcard.display?p_card_id=0670&amp;p_lang=tr" TargetMode="External"/><Relationship Id="rId4368" Type="http://schemas.openxmlformats.org/officeDocument/2006/relationships/hyperlink" Target="https://chem.echa.europa.eu/substance-search?searchText=7558-79-4" TargetMode="External"/><Relationship Id="rId5419" Type="http://schemas.openxmlformats.org/officeDocument/2006/relationships/hyperlink" Target="https://www.google.com/search?q=557-04-0+SDS+safety+data+sheet+filetype:pdf" TargetMode="External"/><Relationship Id="rId6817" Type="http://schemas.openxmlformats.org/officeDocument/2006/relationships/hyperlink" Target="https://chemicalsafety.ilo.org/dyn/icsc/showcard.display?p_card_id=1777&amp;p_lang=en" TargetMode="External"/><Relationship Id="rId4782" Type="http://schemas.openxmlformats.org/officeDocument/2006/relationships/hyperlink" Target="https://chemicalsafety.ilo.org/dyn/icsc/showcard.display?p_card_id=1238&amp;p_lang=tr" TargetMode="External"/><Relationship Id="rId5833" Type="http://schemas.openxmlformats.org/officeDocument/2006/relationships/hyperlink" Target="https://chemicalsafety.ilo.org/dyn/icsc/showcard.display?p_card_id=1512&amp;p_lang=en" TargetMode="External"/><Relationship Id="rId3037" Type="http://schemas.openxmlformats.org/officeDocument/2006/relationships/hyperlink" Target="https://chemicalsafety.ilo.org/dyn/icsc/showcard.display?p_card_id=0780&amp;p_lang=en" TargetMode="External"/><Relationship Id="rId3384" Type="http://schemas.openxmlformats.org/officeDocument/2006/relationships/hyperlink" Target="https://chem.echa.europa.eu/substance-search?searchText=79-36-7" TargetMode="External"/><Relationship Id="rId4435" Type="http://schemas.openxmlformats.org/officeDocument/2006/relationships/hyperlink" Target="https://www.google.com/search?q=998-30-1+SDS+safety+data+sheet+filetype:pdf" TargetMode="External"/><Relationship Id="rId5900" Type="http://schemas.openxmlformats.org/officeDocument/2006/relationships/hyperlink" Target="https://chem.echa.europa.eu/substance-search?searchText=55-55-0" TargetMode="External"/><Relationship Id="rId3451" Type="http://schemas.openxmlformats.org/officeDocument/2006/relationships/hyperlink" Target="https://www.google.com/search?q=60-00-4+SDS+safety+data+sheet+filetype:pdf" TargetMode="External"/><Relationship Id="rId4502" Type="http://schemas.openxmlformats.org/officeDocument/2006/relationships/hyperlink" Target="https://chemicalsafety.ilo.org/dyn/icsc/showcard.display?p_card_id=1164&amp;p_lang=tr" TargetMode="External"/><Relationship Id="rId372" Type="http://schemas.openxmlformats.org/officeDocument/2006/relationships/hyperlink" Target="https://chem.echa.europa.eu/substance-search?searchText=366-18-7" TargetMode="External"/><Relationship Id="rId2053" Type="http://schemas.openxmlformats.org/officeDocument/2006/relationships/hyperlink" Target="https://chemicalsafety.ilo.org/dyn/icsc/showcard.display?p_card_id=0523&amp;p_lang=en" TargetMode="External"/><Relationship Id="rId3104" Type="http://schemas.openxmlformats.org/officeDocument/2006/relationships/hyperlink" Target="https://chem.echa.europa.eu/substance-search?searchText=319-85-7" TargetMode="External"/><Relationship Id="rId6674" Type="http://schemas.openxmlformats.org/officeDocument/2006/relationships/hyperlink" Target="https://chemicalsafety.ilo.org/dyn/icsc/showcard.display?p_card_id=1740&amp;p_lang=tr" TargetMode="External"/><Relationship Id="rId2120" Type="http://schemas.openxmlformats.org/officeDocument/2006/relationships/hyperlink" Target="https://chem.echa.europa.eu/substance-search?searchText=62-38-4" TargetMode="External"/><Relationship Id="rId5276" Type="http://schemas.openxmlformats.org/officeDocument/2006/relationships/hyperlink" Target="https://chem.echa.europa.eu/substance-search?searchText=124-30-1" TargetMode="External"/><Relationship Id="rId5690" Type="http://schemas.openxmlformats.org/officeDocument/2006/relationships/hyperlink" Target="https://chemicalsafety.ilo.org/dyn/icsc/showcard.display?p_card_id=1474&amp;p_lang=tr" TargetMode="External"/><Relationship Id="rId6327" Type="http://schemas.openxmlformats.org/officeDocument/2006/relationships/hyperlink" Target="https://www.google.com/search?q=147-14-8+SDS+safety+data+sheet+filetype:pdf" TargetMode="External"/><Relationship Id="rId6741" Type="http://schemas.openxmlformats.org/officeDocument/2006/relationships/hyperlink" Target="https://chemicalsafety.ilo.org/dyn/icsc/showcard.display?p_card_id=1758&amp;p_lang=en" TargetMode="External"/><Relationship Id="rId4292" Type="http://schemas.openxmlformats.org/officeDocument/2006/relationships/hyperlink" Target="https://chem.echa.europa.eu/substance-search?searchText=79-22-1" TargetMode="External"/><Relationship Id="rId5343" Type="http://schemas.openxmlformats.org/officeDocument/2006/relationships/hyperlink" Target="https://www.google.com/search?q=64741-65-7+SDS+safety+data+sheet+filetype:pdf" TargetMode="External"/><Relationship Id="rId1886" Type="http://schemas.openxmlformats.org/officeDocument/2006/relationships/hyperlink" Target="https://chemicalsafety.ilo.org/dyn/icsc/showcard.display?p_card_id=0478&amp;p_lang=tr" TargetMode="External"/><Relationship Id="rId2937" Type="http://schemas.openxmlformats.org/officeDocument/2006/relationships/hyperlink" Target="https://chemicalsafety.ilo.org/dyn/icsc/showcard.display?p_card_id=0755&amp;p_lang=en" TargetMode="External"/><Relationship Id="rId909" Type="http://schemas.openxmlformats.org/officeDocument/2006/relationships/hyperlink" Target="https://chemicalsafety.ilo.org/dyn/icsc/showcard.display?p_card_id=0229&amp;p_lang=en" TargetMode="External"/><Relationship Id="rId1539" Type="http://schemas.openxmlformats.org/officeDocument/2006/relationships/hyperlink" Target="https://www.google.com/search?q=121-54-0+SDS+safety+data+sheet+filetype:pdf" TargetMode="External"/><Relationship Id="rId1953" Type="http://schemas.openxmlformats.org/officeDocument/2006/relationships/hyperlink" Target="https://chemicalsafety.ilo.org/dyn/icsc/showcard.display?p_card_id=0495&amp;p_lang=en" TargetMode="External"/><Relationship Id="rId5410" Type="http://schemas.openxmlformats.org/officeDocument/2006/relationships/hyperlink" Target="https://chemicalsafety.ilo.org/dyn/icsc/showcard.display?p_card_id=1401&amp;p_lang=tr" TargetMode="External"/><Relationship Id="rId1606" Type="http://schemas.openxmlformats.org/officeDocument/2006/relationships/hyperlink" Target="https://chemicalsafety.ilo.org/dyn/icsc/showcard.display?p_card_id=0405&amp;p_lang=tr" TargetMode="External"/><Relationship Id="rId4012" Type="http://schemas.openxmlformats.org/officeDocument/2006/relationships/hyperlink" Target="https://chem.echa.europa.eu/substance-search?searchText=108-46-3" TargetMode="External"/><Relationship Id="rId3778" Type="http://schemas.openxmlformats.org/officeDocument/2006/relationships/hyperlink" Target="https://chemicalsafety.ilo.org/dyn/icsc/showcard.display?p_card_id=0968&amp;p_lang=tr" TargetMode="External"/><Relationship Id="rId4829" Type="http://schemas.openxmlformats.org/officeDocument/2006/relationships/hyperlink" Target="https://chemicalsafety.ilo.org/dyn/icsc/showcard.display?p_card_id=1250&amp;p_lang=en" TargetMode="External"/><Relationship Id="rId6184" Type="http://schemas.openxmlformats.org/officeDocument/2006/relationships/hyperlink" Target="https://chem.echa.europa.eu/substance-search?searchText=105-59-9" TargetMode="External"/><Relationship Id="rId699" Type="http://schemas.openxmlformats.org/officeDocument/2006/relationships/hyperlink" Target="https://www.google.com/search?q=1313-13-9+SDS+safety+data+sheet+filetype:pdf" TargetMode="External"/><Relationship Id="rId2794" Type="http://schemas.openxmlformats.org/officeDocument/2006/relationships/hyperlink" Target="https://chemicalsafety.ilo.org/dyn/icsc/showcard.display?p_card_id=0719&amp;p_lang=tr" TargetMode="External"/><Relationship Id="rId3845" Type="http://schemas.openxmlformats.org/officeDocument/2006/relationships/hyperlink" Target="https://chemicalsafety.ilo.org/dyn/icsc/showcard.display?p_card_id=0986&amp;p_lang=en" TargetMode="External"/><Relationship Id="rId6251" Type="http://schemas.openxmlformats.org/officeDocument/2006/relationships/hyperlink" Target="https://www.google.com/search?q=29911-28-2+SDS+safety+data+sheet+filetype:pdf" TargetMode="External"/><Relationship Id="rId766" Type="http://schemas.openxmlformats.org/officeDocument/2006/relationships/hyperlink" Target="https://chemicalsafety.ilo.org/dyn/icsc/showcard.display?p_card_id=0192&amp;p_lang=tr" TargetMode="External"/><Relationship Id="rId1396" Type="http://schemas.openxmlformats.org/officeDocument/2006/relationships/hyperlink" Target="https://chem.echa.europa.eu/substance-search?searchText=12122-67-7" TargetMode="External"/><Relationship Id="rId2447" Type="http://schemas.openxmlformats.org/officeDocument/2006/relationships/hyperlink" Target="https://www.google.com/search?q=298-00-0+SDS+safety+data+sheet+filetype:pdf" TargetMode="External"/><Relationship Id="rId419" Type="http://schemas.openxmlformats.org/officeDocument/2006/relationships/hyperlink" Target="https://www.google.com/search?q=98-07-7+SDS+safety+data+sheet+filetype:pdf" TargetMode="External"/><Relationship Id="rId1049" Type="http://schemas.openxmlformats.org/officeDocument/2006/relationships/hyperlink" Target="https://chemicalsafety.ilo.org/dyn/icsc/showcard.display?p_card_id=0264&amp;p_lang=en" TargetMode="External"/><Relationship Id="rId2861" Type="http://schemas.openxmlformats.org/officeDocument/2006/relationships/hyperlink" Target="https://chemicalsafety.ilo.org/dyn/icsc/showcard.display?p_card_id=0736&amp;p_lang=en" TargetMode="External"/><Relationship Id="rId3912" Type="http://schemas.openxmlformats.org/officeDocument/2006/relationships/hyperlink" Target="https://chem.echa.europa.eu/substance-search?searchText=1885-14-9" TargetMode="External"/><Relationship Id="rId833" Type="http://schemas.openxmlformats.org/officeDocument/2006/relationships/hyperlink" Target="https://chemicalsafety.ilo.org/dyn/icsc/showcard.display?p_card_id=0210&amp;p_lang=en" TargetMode="External"/><Relationship Id="rId1116" Type="http://schemas.openxmlformats.org/officeDocument/2006/relationships/hyperlink" Target="https://chem.echa.europa.eu/substance-search?searchText=2935-44-6" TargetMode="External"/><Relationship Id="rId1463" Type="http://schemas.openxmlformats.org/officeDocument/2006/relationships/hyperlink" Target="https://www.google.com/search?q=141-78-6+SDS+safety+data+sheet+filetype:pdf" TargetMode="External"/><Relationship Id="rId2514" Type="http://schemas.openxmlformats.org/officeDocument/2006/relationships/hyperlink" Target="https://chemicalsafety.ilo.org/dyn/icsc/showcard.display?p_card_id=0644&amp;p_lang=tr" TargetMode="External"/><Relationship Id="rId900" Type="http://schemas.openxmlformats.org/officeDocument/2006/relationships/hyperlink" Target="https://chem.echa.europa.eu/substance-search?searchText=7440-41-7" TargetMode="External"/><Relationship Id="rId1530" Type="http://schemas.openxmlformats.org/officeDocument/2006/relationships/hyperlink" Target="https://chemicalsafety.ilo.org/dyn/icsc/showcard.display?p_card_id=0385&amp;p_lang=tr" TargetMode="External"/><Relationship Id="rId4686" Type="http://schemas.openxmlformats.org/officeDocument/2006/relationships/hyperlink" Target="https://chemicalsafety.ilo.org/dyn/icsc/showcard.display?p_card_id=1214&amp;p_lang=tr" TargetMode="External"/><Relationship Id="rId5737" Type="http://schemas.openxmlformats.org/officeDocument/2006/relationships/hyperlink" Target="https://chemicalsafety.ilo.org/dyn/icsc/showcard.display?p_card_id=1488&amp;p_lang=en" TargetMode="External"/><Relationship Id="rId3288" Type="http://schemas.openxmlformats.org/officeDocument/2006/relationships/hyperlink" Target="https://chem.echa.europa.eu/substance-search?searchText=107-14-2" TargetMode="External"/><Relationship Id="rId4339" Type="http://schemas.openxmlformats.org/officeDocument/2006/relationships/hyperlink" Target="https://www.google.com/search?q=88-06-2+SDS+safety+data+sheet+filetype:pdf" TargetMode="External"/><Relationship Id="rId4753" Type="http://schemas.openxmlformats.org/officeDocument/2006/relationships/hyperlink" Target="https://chemicalsafety.ilo.org/dyn/icsc/showcard.display?p_card_id=1231&amp;p_lang=en" TargetMode="External"/><Relationship Id="rId5804" Type="http://schemas.openxmlformats.org/officeDocument/2006/relationships/hyperlink" Target="https://chem.echa.europa.eu/substance-search?searchText=581-89-5" TargetMode="External"/><Relationship Id="rId3355" Type="http://schemas.openxmlformats.org/officeDocument/2006/relationships/hyperlink" Target="https://www.google.com/search?q=8065-48-3+SDS+safety+data+sheet+filetype:pdf" TargetMode="External"/><Relationship Id="rId4406" Type="http://schemas.openxmlformats.org/officeDocument/2006/relationships/hyperlink" Target="https://chemicalsafety.ilo.org/dyn/icsc/showcard.display?p_card_id=1140&amp;p_lang=tr" TargetMode="External"/><Relationship Id="rId276" Type="http://schemas.openxmlformats.org/officeDocument/2006/relationships/hyperlink" Target="https://chem.echa.europa.eu/substance-search?searchText=87-86-5" TargetMode="External"/><Relationship Id="rId690" Type="http://schemas.openxmlformats.org/officeDocument/2006/relationships/hyperlink" Target="https://chemicalsafety.ilo.org/dyn/icsc/showcard.display?p_card_id=0173&amp;p_lang=tr" TargetMode="External"/><Relationship Id="rId2371" Type="http://schemas.openxmlformats.org/officeDocument/2006/relationships/hyperlink" Target="https://www.google.com/search?q=2807-30-9+SDS+safety+data+sheet+filetype:pdf" TargetMode="External"/><Relationship Id="rId3008" Type="http://schemas.openxmlformats.org/officeDocument/2006/relationships/hyperlink" Target="https://chem.echa.europa.eu/substance-search?searchText=133-37-9" TargetMode="External"/><Relationship Id="rId3422" Type="http://schemas.openxmlformats.org/officeDocument/2006/relationships/hyperlink" Target="https://chemicalsafety.ilo.org/dyn/icsc/showcard.display?p_card_id=0879&amp;p_lang=tr" TargetMode="External"/><Relationship Id="rId4820" Type="http://schemas.openxmlformats.org/officeDocument/2006/relationships/hyperlink" Target="https://chem.echa.europa.eu/substance-search?searchText=7440-16-6" TargetMode="External"/><Relationship Id="rId6578" Type="http://schemas.openxmlformats.org/officeDocument/2006/relationships/hyperlink" Target="https://chemicalsafety.ilo.org/dyn/icsc/showcard.display?p_card_id=1715&amp;p_lang=tr" TargetMode="External"/><Relationship Id="rId343" Type="http://schemas.openxmlformats.org/officeDocument/2006/relationships/hyperlink" Target="https://www.google.com/search?q=106-42-3+SDS+safety+data+sheet+filetype:pdf" TargetMode="External"/><Relationship Id="rId2024" Type="http://schemas.openxmlformats.org/officeDocument/2006/relationships/hyperlink" Target="https://chem.echa.europa.eu/substance-search?searchText=25013-15-4" TargetMode="External"/><Relationship Id="rId1040" Type="http://schemas.openxmlformats.org/officeDocument/2006/relationships/hyperlink" Target="https://chem.echa.europa.eu/substance-search?searchText=131-11-3" TargetMode="External"/><Relationship Id="rId4196" Type="http://schemas.openxmlformats.org/officeDocument/2006/relationships/hyperlink" Target="https://chem.echa.europa.eu/substance-search?searchText=543-49-7" TargetMode="External"/><Relationship Id="rId5247" Type="http://schemas.openxmlformats.org/officeDocument/2006/relationships/hyperlink" Target="https://www.google.com/search?q=7085-85-0+SDS+safety+data+sheet+filetype:pdf" TargetMode="External"/><Relationship Id="rId5594" Type="http://schemas.openxmlformats.org/officeDocument/2006/relationships/hyperlink" Target="https://chemicalsafety.ilo.org/dyn/icsc/showcard.display?p_card_id=1447&amp;p_lang=tr" TargetMode="External"/><Relationship Id="rId6645" Type="http://schemas.openxmlformats.org/officeDocument/2006/relationships/hyperlink" Target="https://chemicalsafety.ilo.org/dyn/icsc/showcard.display?p_card_id=1733&amp;p_lang=en" TargetMode="External"/><Relationship Id="rId410" Type="http://schemas.openxmlformats.org/officeDocument/2006/relationships/hyperlink" Target="https://chemicalsafety.ilo.org/dyn/icsc/showcard.display?p_card_id=0103&amp;p_lang=tr" TargetMode="External"/><Relationship Id="rId5661" Type="http://schemas.openxmlformats.org/officeDocument/2006/relationships/hyperlink" Target="https://chemicalsafety.ilo.org/dyn/icsc/showcard.display?p_card_id=1467&amp;p_lang=en" TargetMode="External"/><Relationship Id="rId6712" Type="http://schemas.openxmlformats.org/officeDocument/2006/relationships/hyperlink" Target="https://chem.echa.europa.eu/substance-search?searchText=23783-42-8" TargetMode="External"/><Relationship Id="rId1857" Type="http://schemas.openxmlformats.org/officeDocument/2006/relationships/hyperlink" Target="https://chemicalsafety.ilo.org/dyn/icsc/showcard.display?p_card_id=0471&amp;p_lang=en" TargetMode="External"/><Relationship Id="rId2908" Type="http://schemas.openxmlformats.org/officeDocument/2006/relationships/hyperlink" Target="https://chem.echa.europa.eu/substance-search?searchText=116-29-0" TargetMode="External"/><Relationship Id="rId4263" Type="http://schemas.openxmlformats.org/officeDocument/2006/relationships/hyperlink" Target="https://www.google.com/search?q=100-47-0+SDS+safety+data+sheet+filetype:pdf" TargetMode="External"/><Relationship Id="rId5314" Type="http://schemas.openxmlformats.org/officeDocument/2006/relationships/hyperlink" Target="https://chemicalsafety.ilo.org/dyn/icsc/showcard.display?p_card_id=1375&amp;p_lang=tr" TargetMode="External"/><Relationship Id="rId1924" Type="http://schemas.openxmlformats.org/officeDocument/2006/relationships/hyperlink" Target="https://chem.echa.europa.eu/substance-search?searchText=608-73-1" TargetMode="External"/><Relationship Id="rId4330" Type="http://schemas.openxmlformats.org/officeDocument/2006/relationships/hyperlink" Target="https://chemicalsafety.ilo.org/dyn/icsc/showcard.display?p_card_id=1120&amp;p_lang=tr" TargetMode="External"/><Relationship Id="rId6088" Type="http://schemas.openxmlformats.org/officeDocument/2006/relationships/hyperlink" Target="https://chem.echa.europa.eu/substance-search?searchText=78-11-5" TargetMode="External"/><Relationship Id="rId2698" Type="http://schemas.openxmlformats.org/officeDocument/2006/relationships/hyperlink" Target="https://chemicalsafety.ilo.org/dyn/icsc/showcard.display?p_card_id=0695&amp;p_lang=tr" TargetMode="External"/><Relationship Id="rId6155" Type="http://schemas.openxmlformats.org/officeDocument/2006/relationships/hyperlink" Target="https://www.google.com/search?q=592-34-7+SDS+safety+data+sheet+filetype:pdf" TargetMode="External"/><Relationship Id="rId3749" Type="http://schemas.openxmlformats.org/officeDocument/2006/relationships/hyperlink" Target="https://chemicalsafety.ilo.org/dyn/icsc/showcard.display?p_card_id=0961&amp;p_lang=en" TargetMode="External"/><Relationship Id="rId5171" Type="http://schemas.openxmlformats.org/officeDocument/2006/relationships/hyperlink" Target="https://www.google.com/search?q=101-83-7+SDS+safety+data+sheet+filetype:pdf" TargetMode="External"/><Relationship Id="rId6222" Type="http://schemas.openxmlformats.org/officeDocument/2006/relationships/hyperlink" Target="https://chemicalsafety.ilo.org/dyn/icsc/showcard.display?p_card_id=1610&amp;p_lang=tr" TargetMode="External"/><Relationship Id="rId2765" Type="http://schemas.openxmlformats.org/officeDocument/2006/relationships/hyperlink" Target="https://chemicalsafety.ilo.org/dyn/icsc/showcard.display?p_card_id=0712&amp;p_lang=en" TargetMode="External"/><Relationship Id="rId3816" Type="http://schemas.openxmlformats.org/officeDocument/2006/relationships/hyperlink" Target="https://chem.echa.europa.eu/substance-search?searchText=1600-27-7" TargetMode="External"/><Relationship Id="rId737" Type="http://schemas.openxmlformats.org/officeDocument/2006/relationships/hyperlink" Target="https://chemicalsafety.ilo.org/dyn/icsc/showcard.display?p_card_id=0185&amp;p_lang=en" TargetMode="External"/><Relationship Id="rId1367" Type="http://schemas.openxmlformats.org/officeDocument/2006/relationships/hyperlink" Target="https://www.google.com/search?q=106-49-0+SDS+safety+data+sheet+filetype:pdf" TargetMode="External"/><Relationship Id="rId1781" Type="http://schemas.openxmlformats.org/officeDocument/2006/relationships/hyperlink" Target="https://chemicalsafety.ilo.org/dyn/icsc/showcard.display?p_card_id=0450&amp;p_lang=en" TargetMode="External"/><Relationship Id="rId2418" Type="http://schemas.openxmlformats.org/officeDocument/2006/relationships/hyperlink" Target="https://chemicalsafety.ilo.org/dyn/icsc/showcard.display?p_card_id=0619&amp;p_lang=tr" TargetMode="External"/><Relationship Id="rId2832" Type="http://schemas.openxmlformats.org/officeDocument/2006/relationships/hyperlink" Target="https://chem.echa.europa.eu/substance-search?searchText=606-20-2" TargetMode="External"/><Relationship Id="rId5988" Type="http://schemas.openxmlformats.org/officeDocument/2006/relationships/hyperlink" Target="https://chem.echa.europa.eu/substance-search?searchText=1307-96-6" TargetMode="External"/><Relationship Id="rId73" Type="http://schemas.openxmlformats.org/officeDocument/2006/relationships/hyperlink" Target="https://chemicalsafety.ilo.org/dyn/icsc/showcard.display?p_card_id=0019&amp;p_lang=en" TargetMode="External"/><Relationship Id="rId804" Type="http://schemas.openxmlformats.org/officeDocument/2006/relationships/hyperlink" Target="https://chem.echa.europa.eu/substance-search?searchText=2303-17-5" TargetMode="External"/><Relationship Id="rId1434" Type="http://schemas.openxmlformats.org/officeDocument/2006/relationships/hyperlink" Target="https://chemicalsafety.ilo.org/dyn/icsc/showcard.display?p_card_id=0360&amp;p_lang=tr" TargetMode="External"/><Relationship Id="rId1501" Type="http://schemas.openxmlformats.org/officeDocument/2006/relationships/hyperlink" Target="https://chemicalsafety.ilo.org/dyn/icsc/showcard.display?p_card_id=0378&amp;p_lang=en" TargetMode="External"/><Relationship Id="rId4657" Type="http://schemas.openxmlformats.org/officeDocument/2006/relationships/hyperlink" Target="https://chemicalsafety.ilo.org/dyn/icsc/showcard.display?p_card_id=1207&amp;p_lang=en" TargetMode="External"/><Relationship Id="rId5708" Type="http://schemas.openxmlformats.org/officeDocument/2006/relationships/hyperlink" Target="https://chem.echa.europa.eu/substance-search?searchText=88-12-0" TargetMode="External"/><Relationship Id="rId3259" Type="http://schemas.openxmlformats.org/officeDocument/2006/relationships/hyperlink" Target="https://www.google.com/search?q=1303-86-2+SDS+safety+data+sheet+filetype:pdf" TargetMode="External"/><Relationship Id="rId594" Type="http://schemas.openxmlformats.org/officeDocument/2006/relationships/hyperlink" Target="https://chemicalsafety.ilo.org/dyn/icsc/showcard.display?p_card_id=0149&amp;p_lang=tr" TargetMode="External"/><Relationship Id="rId2275" Type="http://schemas.openxmlformats.org/officeDocument/2006/relationships/hyperlink" Target="https://www.google.com/search?q=640-15-3+SDS+safety+data+sheet+filetype:pdf" TargetMode="External"/><Relationship Id="rId3326" Type="http://schemas.openxmlformats.org/officeDocument/2006/relationships/hyperlink" Target="https://chemicalsafety.ilo.org/dyn/icsc/showcard.display?p_card_id=0854&amp;p_lang=tr" TargetMode="External"/><Relationship Id="rId3673" Type="http://schemas.openxmlformats.org/officeDocument/2006/relationships/hyperlink" Target="https://chemicalsafety.ilo.org/dyn/icsc/showcard.display?p_card_id=0942&amp;p_lang=en" TargetMode="External"/><Relationship Id="rId4724" Type="http://schemas.openxmlformats.org/officeDocument/2006/relationships/hyperlink" Target="https://chem.echa.europa.eu/substance-search?searchText=12125-01-8" TargetMode="External"/><Relationship Id="rId247" Type="http://schemas.openxmlformats.org/officeDocument/2006/relationships/hyperlink" Target="https://www.google.com/search?q=7440-02-0+SDS+safety+data+sheet+filetype:pdf" TargetMode="External"/><Relationship Id="rId3740" Type="http://schemas.openxmlformats.org/officeDocument/2006/relationships/hyperlink" Target="https://chem.echa.europa.eu/substance-search?searchText=10025-67-9" TargetMode="External"/><Relationship Id="rId661" Type="http://schemas.openxmlformats.org/officeDocument/2006/relationships/hyperlink" Target="https://chemicalsafety.ilo.org/dyn/icsc/showcard.display?p_card_id=0166&amp;p_lang=en" TargetMode="External"/><Relationship Id="rId1291" Type="http://schemas.openxmlformats.org/officeDocument/2006/relationships/hyperlink" Target="https://www.google.com/search?q=10453-86-8+SDS+safety+data+sheet+filetype:pdf" TargetMode="External"/><Relationship Id="rId2342" Type="http://schemas.openxmlformats.org/officeDocument/2006/relationships/hyperlink" Target="https://chemicalsafety.ilo.org/dyn/icsc/showcard.display?p_card_id=0598&amp;p_lang=tr" TargetMode="External"/><Relationship Id="rId5498" Type="http://schemas.openxmlformats.org/officeDocument/2006/relationships/hyperlink" Target="https://chemicalsafety.ilo.org/dyn/icsc/showcard.display?p_card_id=1423&amp;p_lang=tr" TargetMode="External"/><Relationship Id="rId6549" Type="http://schemas.openxmlformats.org/officeDocument/2006/relationships/hyperlink" Target="https://chemicalsafety.ilo.org/dyn/icsc/showcard.display?p_card_id=1708&amp;p_lang=en" TargetMode="External"/><Relationship Id="rId314" Type="http://schemas.openxmlformats.org/officeDocument/2006/relationships/hyperlink" Target="https://chemicalsafety.ilo.org/dyn/icsc/showcard.display?p_card_id=0079&amp;p_lang=tr" TargetMode="External"/><Relationship Id="rId5565" Type="http://schemas.openxmlformats.org/officeDocument/2006/relationships/hyperlink" Target="https://chemicalsafety.ilo.org/dyn/icsc/showcard.display?p_card_id=1440&amp;p_lang=en" TargetMode="External"/><Relationship Id="rId6616" Type="http://schemas.openxmlformats.org/officeDocument/2006/relationships/hyperlink" Target="https://chem.echa.europa.eu/substance-search?searchText=868-77-9" TargetMode="External"/><Relationship Id="rId1011" Type="http://schemas.openxmlformats.org/officeDocument/2006/relationships/hyperlink" Target="https://www.google.com/search?q=99-54-7+SDS+safety+data+sheet+filetype:pdf" TargetMode="External"/><Relationship Id="rId4167" Type="http://schemas.openxmlformats.org/officeDocument/2006/relationships/hyperlink" Target="https://www.google.com/search?q=543-90-8+SDS+safety+data+sheet+filetype:pdf" TargetMode="External"/><Relationship Id="rId4581" Type="http://schemas.openxmlformats.org/officeDocument/2006/relationships/hyperlink" Target="https://chemicalsafety.ilo.org/dyn/icsc/showcard.display?p_card_id=1184&amp;p_lang=en" TargetMode="External"/><Relationship Id="rId5218" Type="http://schemas.openxmlformats.org/officeDocument/2006/relationships/hyperlink" Target="https://chemicalsafety.ilo.org/dyn/icsc/showcard.display?p_card_id=1351&amp;p_lang=tr" TargetMode="External"/><Relationship Id="rId5632" Type="http://schemas.openxmlformats.org/officeDocument/2006/relationships/hyperlink" Target="https://chem.echa.europa.eu/substance-search?searchText=7783-60-0" TargetMode="External"/><Relationship Id="rId3183" Type="http://schemas.openxmlformats.org/officeDocument/2006/relationships/hyperlink" Target="https://www.google.com/search?q=107-87-9+SDS+safety+data+sheet+filetype:pdf" TargetMode="External"/><Relationship Id="rId4234" Type="http://schemas.openxmlformats.org/officeDocument/2006/relationships/hyperlink" Target="https://chemicalsafety.ilo.org/dyn/icsc/showcard.display?p_card_id=1093&amp;p_lang=tr" TargetMode="External"/><Relationship Id="rId1828" Type="http://schemas.openxmlformats.org/officeDocument/2006/relationships/hyperlink" Target="https://chem.echa.europa.eu/substance-search?searchText=108-98-5" TargetMode="External"/><Relationship Id="rId3250" Type="http://schemas.openxmlformats.org/officeDocument/2006/relationships/hyperlink" Target="https://chemicalsafety.ilo.org/dyn/icsc/showcard.display?p_card_id=0834&amp;p_lang=tr" TargetMode="External"/><Relationship Id="rId171" Type="http://schemas.openxmlformats.org/officeDocument/2006/relationships/hyperlink" Target="https://www.google.com/search?q=106-89-8+SDS+safety+data+sheet+filetype:pdf" TargetMode="External"/><Relationship Id="rId4301" Type="http://schemas.openxmlformats.org/officeDocument/2006/relationships/hyperlink" Target="https://chemicalsafety.ilo.org/dyn/icsc/showcard.display?p_card_id=1113&amp;p_lang=en" TargetMode="External"/><Relationship Id="rId6059" Type="http://schemas.openxmlformats.org/officeDocument/2006/relationships/hyperlink" Target="https://www.google.com/search?q=629-14-1+SDS+safety+data+sheet+filetype:pdf" TargetMode="External"/><Relationship Id="rId6473" Type="http://schemas.openxmlformats.org/officeDocument/2006/relationships/hyperlink" Target="https://chemicalsafety.ilo.org/dyn/icsc/showcard.display?p_card_id=1684&amp;p_lang=en" TargetMode="External"/><Relationship Id="rId988" Type="http://schemas.openxmlformats.org/officeDocument/2006/relationships/hyperlink" Target="https://chem.echa.europa.eu/substance-search?searchText=61790-53-2" TargetMode="External"/><Relationship Id="rId2669" Type="http://schemas.openxmlformats.org/officeDocument/2006/relationships/hyperlink" Target="https://chemicalsafety.ilo.org/dyn/icsc/showcard.display?p_card_id=0687&amp;p_lang=en" TargetMode="External"/><Relationship Id="rId5075" Type="http://schemas.openxmlformats.org/officeDocument/2006/relationships/hyperlink" Target="https://www.google.com/search?q=108-80-5+SDS+safety+data+sheet+filetype:pdf" TargetMode="External"/><Relationship Id="rId6126" Type="http://schemas.openxmlformats.org/officeDocument/2006/relationships/hyperlink" Target="https://chemicalsafety.ilo.org/dyn/icsc/showcard.display?p_card_id=1586&amp;p_lang=tr" TargetMode="External"/><Relationship Id="rId6540" Type="http://schemas.openxmlformats.org/officeDocument/2006/relationships/hyperlink" Target="https://chem.echa.europa.eu/substance-search?searchText=105-99-7" TargetMode="External"/><Relationship Id="rId1685" Type="http://schemas.openxmlformats.org/officeDocument/2006/relationships/hyperlink" Target="https://chemicalsafety.ilo.org/dyn/icsc/showcard.display?p_card_id=0426&amp;p_lang=en" TargetMode="External"/><Relationship Id="rId2736" Type="http://schemas.openxmlformats.org/officeDocument/2006/relationships/hyperlink" Target="https://chem.echa.europa.eu/substance-search?searchText=5949-29-1" TargetMode="External"/><Relationship Id="rId4091" Type="http://schemas.openxmlformats.org/officeDocument/2006/relationships/hyperlink" Target="https://www.google.com/search?q=506-77-4+SDS+safety+data+sheet+filetype:pdf" TargetMode="External"/><Relationship Id="rId5142" Type="http://schemas.openxmlformats.org/officeDocument/2006/relationships/hyperlink" Target="https://chemicalsafety.ilo.org/dyn/icsc/showcard.display?p_card_id=1332&amp;p_lang=tr" TargetMode="External"/><Relationship Id="rId708" Type="http://schemas.openxmlformats.org/officeDocument/2006/relationships/hyperlink" Target="https://chem.echa.europa.eu/substance-search?searchText=16752-77-5" TargetMode="External"/><Relationship Id="rId1338" Type="http://schemas.openxmlformats.org/officeDocument/2006/relationships/hyperlink" Target="https://chemicalsafety.ilo.org/dyn/icsc/showcard.display?p_card_id=0336&amp;p_lang=tr" TargetMode="External"/><Relationship Id="rId1405" Type="http://schemas.openxmlformats.org/officeDocument/2006/relationships/hyperlink" Target="https://chemicalsafety.ilo.org/dyn/icsc/showcard.display?p_card_id=0353&amp;p_lang=en" TargetMode="External"/><Relationship Id="rId1752" Type="http://schemas.openxmlformats.org/officeDocument/2006/relationships/hyperlink" Target="https://chem.echa.europa.eu/substance-search?searchText=4109-96-0" TargetMode="External"/><Relationship Id="rId2803" Type="http://schemas.openxmlformats.org/officeDocument/2006/relationships/hyperlink" Target="https://www.google.com/search?q=207-08-9+SDS+safety+data+sheet+filetype:pdf" TargetMode="External"/><Relationship Id="rId5959" Type="http://schemas.openxmlformats.org/officeDocument/2006/relationships/hyperlink" Target="https://www.google.com/search?q=615-50-9+SDS+safety+data+sheet+filetype:pdf" TargetMode="External"/><Relationship Id="rId44" Type="http://schemas.openxmlformats.org/officeDocument/2006/relationships/hyperlink" Target="https://chem.echa.europa.eu/substance-search?searchText=62-53-3" TargetMode="External"/><Relationship Id="rId4975" Type="http://schemas.openxmlformats.org/officeDocument/2006/relationships/hyperlink" Target="https://www.google.com/search?q=2223-82-7+SDS+safety+data+sheet+filetype:pdf" TargetMode="External"/><Relationship Id="rId498" Type="http://schemas.openxmlformats.org/officeDocument/2006/relationships/hyperlink" Target="https://chemicalsafety.ilo.org/dyn/icsc/showcard.display?p_card_id=0125&amp;p_lang=tr" TargetMode="External"/><Relationship Id="rId2179" Type="http://schemas.openxmlformats.org/officeDocument/2006/relationships/hyperlink" Target="https://www.google.com/search?q=590-01-2+SDS+safety+data+sheet+filetype:pdf" TargetMode="External"/><Relationship Id="rId3577" Type="http://schemas.openxmlformats.org/officeDocument/2006/relationships/hyperlink" Target="https://chemicalsafety.ilo.org/dyn/icsc/showcard.display?p_card_id=0918&amp;p_lang=en" TargetMode="External"/><Relationship Id="rId3991" Type="http://schemas.openxmlformats.org/officeDocument/2006/relationships/hyperlink" Target="https://www.google.com/search?q=1338-23-4+SDS+safety+data+sheet+filetype:pdf" TargetMode="External"/><Relationship Id="rId4628" Type="http://schemas.openxmlformats.org/officeDocument/2006/relationships/hyperlink" Target="https://chem.echa.europa.eu/substance-search?searchText=7727-37-9" TargetMode="External"/><Relationship Id="rId2593" Type="http://schemas.openxmlformats.org/officeDocument/2006/relationships/hyperlink" Target="https://chemicalsafety.ilo.org/dyn/icsc/showcard.display?p_card_id=0665&amp;p_lang=en" TargetMode="External"/><Relationship Id="rId3644" Type="http://schemas.openxmlformats.org/officeDocument/2006/relationships/hyperlink" Target="https://chem.echa.europa.eu/substance-search?searchText=111-66-0" TargetMode="External"/><Relationship Id="rId6050" Type="http://schemas.openxmlformats.org/officeDocument/2006/relationships/hyperlink" Target="https://chemicalsafety.ilo.org/dyn/icsc/showcard.display?p_card_id=1567&amp;p_lang=tr" TargetMode="External"/><Relationship Id="rId565" Type="http://schemas.openxmlformats.org/officeDocument/2006/relationships/hyperlink" Target="https://chemicalsafety.ilo.org/dyn/icsc/showcard.display?p_card_id=0142&amp;p_lang=en" TargetMode="External"/><Relationship Id="rId1195" Type="http://schemas.openxmlformats.org/officeDocument/2006/relationships/hyperlink" Target="https://www.google.com/search?q=80-62-6+SDS+safety+data+sheet+filetype:pdf" TargetMode="External"/><Relationship Id="rId2246" Type="http://schemas.openxmlformats.org/officeDocument/2006/relationships/hyperlink" Target="https://chemicalsafety.ilo.org/dyn/icsc/showcard.display?p_card_id=0573&amp;p_lang=tr" TargetMode="External"/><Relationship Id="rId2660" Type="http://schemas.openxmlformats.org/officeDocument/2006/relationships/hyperlink" Target="https://chem.echa.europa.eu/substance-search?searchText=122-52-1" TargetMode="External"/><Relationship Id="rId3711" Type="http://schemas.openxmlformats.org/officeDocument/2006/relationships/hyperlink" Target="https://www.google.com/search?q=7681-49-4+SDS+safety+data+sheet+filetype:pdf" TargetMode="External"/><Relationship Id="rId218" Type="http://schemas.openxmlformats.org/officeDocument/2006/relationships/hyperlink" Target="https://chemicalsafety.ilo.org/dyn/icsc/showcard.display?p_card_id=0055&amp;p_lang=tr" TargetMode="External"/><Relationship Id="rId632" Type="http://schemas.openxmlformats.org/officeDocument/2006/relationships/hyperlink" Target="https://chem.echa.europa.eu/substance-search?searchText=111-30-8" TargetMode="External"/><Relationship Id="rId1262" Type="http://schemas.openxmlformats.org/officeDocument/2006/relationships/hyperlink" Target="https://chemicalsafety.ilo.org/dyn/icsc/showcard.display?p_card_id=0317&amp;p_lang=tr" TargetMode="External"/><Relationship Id="rId2313" Type="http://schemas.openxmlformats.org/officeDocument/2006/relationships/hyperlink" Target="https://chemicalsafety.ilo.org/dyn/icsc/showcard.display?p_card_id=0591&amp;p_lang=en" TargetMode="External"/><Relationship Id="rId5469" Type="http://schemas.openxmlformats.org/officeDocument/2006/relationships/hyperlink" Target="https://chemicalsafety.ilo.org/dyn/icsc/showcard.display?p_card_id=1416&amp;p_lang=en" TargetMode="External"/><Relationship Id="rId4485" Type="http://schemas.openxmlformats.org/officeDocument/2006/relationships/hyperlink" Target="https://chemicalsafety.ilo.org/dyn/icsc/showcard.display?p_card_id=1160&amp;p_lang=en" TargetMode="External"/><Relationship Id="rId5536" Type="http://schemas.openxmlformats.org/officeDocument/2006/relationships/hyperlink" Target="https://chem.echa.europa.eu/substance-search?searchText=143-50-0" TargetMode="External"/><Relationship Id="rId5883" Type="http://schemas.openxmlformats.org/officeDocument/2006/relationships/hyperlink" Target="https://www.google.com/search?q=1120-71-4+SDS+safety+data+sheet+filetype:pdf" TargetMode="External"/><Relationship Id="rId3087" Type="http://schemas.openxmlformats.org/officeDocument/2006/relationships/hyperlink" Target="https://www.google.com/search?q=14484-64-1+SDS+safety+data+sheet+filetype:pdf" TargetMode="External"/><Relationship Id="rId4138" Type="http://schemas.openxmlformats.org/officeDocument/2006/relationships/hyperlink" Target="https://chemicalsafety.ilo.org/dyn/icsc/showcard.display?p_card_id=1066&amp;p_lang=tr" TargetMode="External"/><Relationship Id="rId5950" Type="http://schemas.openxmlformats.org/officeDocument/2006/relationships/hyperlink" Target="https://chemicalsafety.ilo.org/dyn/icsc/showcard.display?p_card_id=1542&amp;p_lang=tr" TargetMode="External"/><Relationship Id="rId4552" Type="http://schemas.openxmlformats.org/officeDocument/2006/relationships/hyperlink" Target="https://chem.echa.europa.eu/substance-search?searchText=112-70-9" TargetMode="External"/><Relationship Id="rId5603" Type="http://schemas.openxmlformats.org/officeDocument/2006/relationships/hyperlink" Target="https://www.google.com/search?q=3926-62-3+SDS+safety+data+sheet+filetype:pdf" TargetMode="External"/><Relationship Id="rId3154" Type="http://schemas.openxmlformats.org/officeDocument/2006/relationships/hyperlink" Target="https://chemicalsafety.ilo.org/dyn/icsc/showcard.display?p_card_id=0809&amp;p_lang=tr" TargetMode="External"/><Relationship Id="rId4205" Type="http://schemas.openxmlformats.org/officeDocument/2006/relationships/hyperlink" Target="https://chemicalsafety.ilo.org/dyn/icsc/showcard.display?p_card_id=1086&amp;p_lang=en" TargetMode="External"/><Relationship Id="rId2170" Type="http://schemas.openxmlformats.org/officeDocument/2006/relationships/hyperlink" Target="https://chemicalsafety.ilo.org/dyn/icsc/showcard.display?p_card_id=0554&amp;p_lang=tr" TargetMode="External"/><Relationship Id="rId3221" Type="http://schemas.openxmlformats.org/officeDocument/2006/relationships/hyperlink" Target="https://chemicalsafety.ilo.org/dyn/icsc/showcard.display?p_card_id=0826&amp;p_lang=en" TargetMode="External"/><Relationship Id="rId6377" Type="http://schemas.openxmlformats.org/officeDocument/2006/relationships/hyperlink" Target="https://chemicalsafety.ilo.org/dyn/icsc/showcard.display?p_card_id=1659&amp;p_lang=en" TargetMode="External"/><Relationship Id="rId6791" Type="http://schemas.openxmlformats.org/officeDocument/2006/relationships/hyperlink" Target="https://www.google.com/search?q=7789-00-6+SDS+safety+data+sheet+filetype:pdf" TargetMode="External"/><Relationship Id="rId8" Type="http://schemas.openxmlformats.org/officeDocument/2006/relationships/hyperlink" Target="https://chem.echa.europa.eu/substance-search?searchText=96-12-8" TargetMode="External"/><Relationship Id="rId142" Type="http://schemas.openxmlformats.org/officeDocument/2006/relationships/hyperlink" Target="https://chemicalsafety.ilo.org/dyn/icsc/showcard.display?p_card_id=0036&amp;p_lang=tr" TargetMode="External"/><Relationship Id="rId2987" Type="http://schemas.openxmlformats.org/officeDocument/2006/relationships/hyperlink" Target="https://www.google.com/search?q=30525-89-4+SDS+safety+data+sheet+filetype:pdf" TargetMode="External"/><Relationship Id="rId5393" Type="http://schemas.openxmlformats.org/officeDocument/2006/relationships/hyperlink" Target="https://chemicalsafety.ilo.org/dyn/icsc/showcard.display?p_card_id=1396&amp;p_lang=en" TargetMode="External"/><Relationship Id="rId6444" Type="http://schemas.openxmlformats.org/officeDocument/2006/relationships/hyperlink" Target="https://chem.echa.europa.eu/substance-search?searchText=1239-45-8" TargetMode="External"/><Relationship Id="rId959" Type="http://schemas.openxmlformats.org/officeDocument/2006/relationships/hyperlink" Target="https://www.google.com/search?q=4170-30-3+SDS+safety+data+sheet+filetype:pdf" TargetMode="External"/><Relationship Id="rId1589" Type="http://schemas.openxmlformats.org/officeDocument/2006/relationships/hyperlink" Target="https://chemicalsafety.ilo.org/dyn/icsc/showcard.display?p_card_id=0401&amp;p_lang=en" TargetMode="External"/><Relationship Id="rId5046" Type="http://schemas.openxmlformats.org/officeDocument/2006/relationships/hyperlink" Target="https://chemicalsafety.ilo.org/dyn/icsc/showcard.display?p_card_id=1304&amp;p_lang=tr" TargetMode="External"/><Relationship Id="rId5460" Type="http://schemas.openxmlformats.org/officeDocument/2006/relationships/hyperlink" Target="https://chem.echa.europa.eu/substance-search?searchText=25637-99-4" TargetMode="External"/><Relationship Id="rId6511" Type="http://schemas.openxmlformats.org/officeDocument/2006/relationships/hyperlink" Target="https://www.google.com/search?q=7733-02-0+SDS+safety+data+sheet+filetype:pdf" TargetMode="External"/><Relationship Id="rId4062" Type="http://schemas.openxmlformats.org/officeDocument/2006/relationships/hyperlink" Target="https://chemicalsafety.ilo.org/dyn/icsc/showcard.display?p_card_id=1046&amp;p_lang=tr" TargetMode="External"/><Relationship Id="rId5113" Type="http://schemas.openxmlformats.org/officeDocument/2006/relationships/hyperlink" Target="https://chemicalsafety.ilo.org/dyn/icsc/showcard.display?p_card_id=1323&amp;p_lang=en" TargetMode="External"/><Relationship Id="rId1656" Type="http://schemas.openxmlformats.org/officeDocument/2006/relationships/hyperlink" Target="https://chem.echa.europa.eu/substance-search?searchText=505-60-2" TargetMode="External"/><Relationship Id="rId2707" Type="http://schemas.openxmlformats.org/officeDocument/2006/relationships/hyperlink" Target="https://www.google.com/search?q=139-40-2+SDS+safety+data+sheet+filetype:pdf" TargetMode="External"/><Relationship Id="rId1309" Type="http://schemas.openxmlformats.org/officeDocument/2006/relationships/hyperlink" Target="https://chemicalsafety.ilo.org/dyn/icsc/showcard.display?p_card_id=0329&amp;p_lang=en" TargetMode="External"/><Relationship Id="rId1723" Type="http://schemas.openxmlformats.org/officeDocument/2006/relationships/hyperlink" Target="https://www.google.com/search?q=108-60-1+SDS+safety+data+sheet+filetype:pdf" TargetMode="External"/><Relationship Id="rId4879" Type="http://schemas.openxmlformats.org/officeDocument/2006/relationships/hyperlink" Target="https://www.google.com/search?q=107-83-5+SDS+safety+data+sheet+filetype:pdf" TargetMode="External"/><Relationship Id="rId15" Type="http://schemas.openxmlformats.org/officeDocument/2006/relationships/hyperlink" Target="https://www.google.com/search?q=624-83-9+SDS+safety+data+sheet+filetype:pdf" TargetMode="External"/><Relationship Id="rId3895" Type="http://schemas.openxmlformats.org/officeDocument/2006/relationships/hyperlink" Target="https://www.google.com/search?q=1314-41-6+SDS+safety+data+sheet+filetype:pdf" TargetMode="External"/><Relationship Id="rId4946" Type="http://schemas.openxmlformats.org/officeDocument/2006/relationships/hyperlink" Target="https://chemicalsafety.ilo.org/dyn/icsc/showcard.display?p_card_id=1279&amp;p_lang=tr" TargetMode="External"/><Relationship Id="rId2497" Type="http://schemas.openxmlformats.org/officeDocument/2006/relationships/hyperlink" Target="https://chemicalsafety.ilo.org/dyn/icsc/showcard.display?p_card_id=0640&amp;p_lang=en" TargetMode="External"/><Relationship Id="rId3548" Type="http://schemas.openxmlformats.org/officeDocument/2006/relationships/hyperlink" Target="https://chem.echa.europa.eu/substance-search?searchText=301-04-2" TargetMode="External"/><Relationship Id="rId469" Type="http://schemas.openxmlformats.org/officeDocument/2006/relationships/hyperlink" Target="https://chemicalsafety.ilo.org/dyn/icsc/showcard.display?p_card_id=0118&amp;p_lang=en" TargetMode="External"/><Relationship Id="rId883" Type="http://schemas.openxmlformats.org/officeDocument/2006/relationships/hyperlink" Target="https://www.google.com/search?q=7784-42-1+SDS+safety+data+sheet+filetype:pdf" TargetMode="External"/><Relationship Id="rId1099" Type="http://schemas.openxmlformats.org/officeDocument/2006/relationships/hyperlink" Target="https://www.google.com/search?q=98-01-1+SDS+safety+data+sheet+filetype:pdf" TargetMode="External"/><Relationship Id="rId2564" Type="http://schemas.openxmlformats.org/officeDocument/2006/relationships/hyperlink" Target="https://chem.echa.europa.eu/substance-search?searchText=142-82-5" TargetMode="External"/><Relationship Id="rId3615" Type="http://schemas.openxmlformats.org/officeDocument/2006/relationships/hyperlink" Target="https://www.google.com/search?q=3333-67-3+SDS+safety+data+sheet+filetype:pdf" TargetMode="External"/><Relationship Id="rId3962" Type="http://schemas.openxmlformats.org/officeDocument/2006/relationships/hyperlink" Target="https://chemicalsafety.ilo.org/dyn/icsc/showcard.display?p_card_id=1021&amp;p_lang=tr" TargetMode="External"/><Relationship Id="rId6021" Type="http://schemas.openxmlformats.org/officeDocument/2006/relationships/hyperlink" Target="https://chemicalsafety.ilo.org/dyn/icsc/showcard.display?p_card_id=1560&amp;p_lang=en" TargetMode="External"/><Relationship Id="rId536" Type="http://schemas.openxmlformats.org/officeDocument/2006/relationships/hyperlink" Target="https://chem.echa.europa.eu/substance-search?searchText=1897-45-6" TargetMode="External"/><Relationship Id="rId1166" Type="http://schemas.openxmlformats.org/officeDocument/2006/relationships/hyperlink" Target="https://chemicalsafety.ilo.org/dyn/icsc/showcard.display?p_card_id=0293&amp;p_lang=tr" TargetMode="External"/><Relationship Id="rId2217" Type="http://schemas.openxmlformats.org/officeDocument/2006/relationships/hyperlink" Target="https://chemicalsafety.ilo.org/dyn/icsc/showcard.display?p_card_id=0566&amp;p_lang=en" TargetMode="External"/><Relationship Id="rId950" Type="http://schemas.openxmlformats.org/officeDocument/2006/relationships/hyperlink" Target="https://chemicalsafety.ilo.org/dyn/icsc/showcard.display?p_card_id=0239&amp;p_lang=tr" TargetMode="External"/><Relationship Id="rId1580" Type="http://schemas.openxmlformats.org/officeDocument/2006/relationships/hyperlink" Target="https://chem.echa.europa.eu/substance-search?searchText=624-64-6" TargetMode="External"/><Relationship Id="rId2631" Type="http://schemas.openxmlformats.org/officeDocument/2006/relationships/hyperlink" Target="https://www.google.com/search?q=540-72-7+SDS+safety+data+sheet+filetype:pdf" TargetMode="External"/><Relationship Id="rId4389" Type="http://schemas.openxmlformats.org/officeDocument/2006/relationships/hyperlink" Target="https://chemicalsafety.ilo.org/dyn/icsc/showcard.display?p_card_id=1136&amp;p_lang=en" TargetMode="External"/><Relationship Id="rId5787" Type="http://schemas.openxmlformats.org/officeDocument/2006/relationships/hyperlink" Target="https://www.google.com/search?q=101-21-3+SDS+safety+data+sheet+filetype:pdf" TargetMode="External"/><Relationship Id="rId6838" Type="http://schemas.openxmlformats.org/officeDocument/2006/relationships/hyperlink" Target="https://chemicalsafety.ilo.org/dyn/icsc/showcard.display?p_card_id=1783&amp;p_lang=tr" TargetMode="External"/><Relationship Id="rId603" Type="http://schemas.openxmlformats.org/officeDocument/2006/relationships/hyperlink" Target="https://www.google.com/search?q=1675-54-3+SDS+safety+data+sheet+filetype:pdf" TargetMode="External"/><Relationship Id="rId1233" Type="http://schemas.openxmlformats.org/officeDocument/2006/relationships/hyperlink" Target="https://chemicalsafety.ilo.org/dyn/icsc/showcard.display?p_card_id=0310&amp;p_lang=en" TargetMode="External"/><Relationship Id="rId5854" Type="http://schemas.openxmlformats.org/officeDocument/2006/relationships/hyperlink" Target="https://chemicalsafety.ilo.org/dyn/icsc/showcard.display?p_card_id=1517&amp;p_lang=tr" TargetMode="External"/><Relationship Id="rId1300" Type="http://schemas.openxmlformats.org/officeDocument/2006/relationships/hyperlink" Target="https://chem.echa.europa.eu/substance-search?searchText=10048-95-0" TargetMode="External"/><Relationship Id="rId4456" Type="http://schemas.openxmlformats.org/officeDocument/2006/relationships/hyperlink" Target="https://chem.echa.europa.eu/substance-search?searchText=109-87-5" TargetMode="External"/><Relationship Id="rId4870" Type="http://schemas.openxmlformats.org/officeDocument/2006/relationships/hyperlink" Target="https://chemicalsafety.ilo.org/dyn/icsc/showcard.display?p_card_id=1260&amp;p_lang=tr" TargetMode="External"/><Relationship Id="rId5507" Type="http://schemas.openxmlformats.org/officeDocument/2006/relationships/hyperlink" Target="https://www.google.com/search?q=65997-15-1+SDS+safety+data+sheet+filetype:pdf" TargetMode="External"/><Relationship Id="rId5921" Type="http://schemas.openxmlformats.org/officeDocument/2006/relationships/hyperlink" Target="https://chemicalsafety.ilo.org/dyn/icsc/showcard.display?p_card_id=1534&amp;p_lang=en" TargetMode="External"/><Relationship Id="rId3058" Type="http://schemas.openxmlformats.org/officeDocument/2006/relationships/hyperlink" Target="https://chemicalsafety.ilo.org/dyn/icsc/showcard.display?p_card_id=0785&amp;p_lang=tr" TargetMode="External"/><Relationship Id="rId3472" Type="http://schemas.openxmlformats.org/officeDocument/2006/relationships/hyperlink" Target="https://chem.echa.europa.eu/substance-search?searchText=75-12-7" TargetMode="External"/><Relationship Id="rId4109" Type="http://schemas.openxmlformats.org/officeDocument/2006/relationships/hyperlink" Target="https://chemicalsafety.ilo.org/dyn/icsc/showcard.display?p_card_id=1059&amp;p_lang=en" TargetMode="External"/><Relationship Id="rId4523" Type="http://schemas.openxmlformats.org/officeDocument/2006/relationships/hyperlink" Target="https://www.google.com/search?q=12108-13-3+SDS+safety+data+sheet+filetype:pdf" TargetMode="External"/><Relationship Id="rId393" Type="http://schemas.openxmlformats.org/officeDocument/2006/relationships/hyperlink" Target="https://chemicalsafety.ilo.org/dyn/icsc/showcard.display?p_card_id=0099&amp;p_lang=en" TargetMode="External"/><Relationship Id="rId2074" Type="http://schemas.openxmlformats.org/officeDocument/2006/relationships/hyperlink" Target="https://chemicalsafety.ilo.org/dyn/icsc/showcard.display?p_card_id=0529&amp;p_lang=tr" TargetMode="External"/><Relationship Id="rId3125" Type="http://schemas.openxmlformats.org/officeDocument/2006/relationships/hyperlink" Target="https://chemicalsafety.ilo.org/dyn/icsc/showcard.display?p_card_id=0802&amp;p_lang=en" TargetMode="External"/><Relationship Id="rId6695" Type="http://schemas.openxmlformats.org/officeDocument/2006/relationships/hyperlink" Target="https://www.google.com/search?q=96-31-1+SDS+safety+data+sheet+filetype:pdf" TargetMode="External"/><Relationship Id="rId460" Type="http://schemas.openxmlformats.org/officeDocument/2006/relationships/hyperlink" Target="https://chem.echa.europa.eu/substance-search?searchText=2426-08-6" TargetMode="External"/><Relationship Id="rId1090" Type="http://schemas.openxmlformats.org/officeDocument/2006/relationships/hyperlink" Target="https://chemicalsafety.ilo.org/dyn/icsc/showcard.display?p_card_id=0274&amp;p_lang=tr" TargetMode="External"/><Relationship Id="rId2141" Type="http://schemas.openxmlformats.org/officeDocument/2006/relationships/hyperlink" Target="https://chemicalsafety.ilo.org/dyn/icsc/showcard.display?p_card_id=0547&amp;p_lang=en" TargetMode="External"/><Relationship Id="rId5297" Type="http://schemas.openxmlformats.org/officeDocument/2006/relationships/hyperlink" Target="https://chemicalsafety.ilo.org/dyn/icsc/showcard.display?p_card_id=1371&amp;p_lang=en" TargetMode="External"/><Relationship Id="rId6348" Type="http://schemas.openxmlformats.org/officeDocument/2006/relationships/hyperlink" Target="https://chem.echa.europa.eu/substance-search?searchText=25550-51-0" TargetMode="External"/><Relationship Id="rId113" Type="http://schemas.openxmlformats.org/officeDocument/2006/relationships/hyperlink" Target="https://chemicalsafety.ilo.org/dyn/icsc/showcard.display?p_card_id=0029&amp;p_lang=en" TargetMode="External"/><Relationship Id="rId6762" Type="http://schemas.openxmlformats.org/officeDocument/2006/relationships/hyperlink" Target="https://chemicalsafety.ilo.org/dyn/icsc/showcard.display?p_card_id=1763&amp;p_lang=tr" TargetMode="External"/><Relationship Id="rId2958" Type="http://schemas.openxmlformats.org/officeDocument/2006/relationships/hyperlink" Target="https://chemicalsafety.ilo.org/dyn/icsc/showcard.display?p_card_id=0760&amp;p_lang=tr" TargetMode="External"/><Relationship Id="rId5017" Type="http://schemas.openxmlformats.org/officeDocument/2006/relationships/hyperlink" Target="https://chemicalsafety.ilo.org/dyn/icsc/showcard.display?p_card_id=1297&amp;p_lang=en" TargetMode="External"/><Relationship Id="rId5364" Type="http://schemas.openxmlformats.org/officeDocument/2006/relationships/hyperlink" Target="https://chem.echa.europa.eu/substance-search?searchText=2039-87-4" TargetMode="External"/><Relationship Id="rId6415" Type="http://schemas.openxmlformats.org/officeDocument/2006/relationships/hyperlink" Target="https://www.google.com/search?q=3327-22-8+SDS+safety+data+sheet+filetype:pdf" TargetMode="External"/><Relationship Id="rId1974" Type="http://schemas.openxmlformats.org/officeDocument/2006/relationships/hyperlink" Target="https://chemicalsafety.ilo.org/dyn/icsc/showcard.display?p_card_id=0500&amp;p_lang=tr" TargetMode="External"/><Relationship Id="rId4380" Type="http://schemas.openxmlformats.org/officeDocument/2006/relationships/hyperlink" Target="https://chem.echa.europa.eu/substance-search?searchText=7727-21-1" TargetMode="External"/><Relationship Id="rId5431" Type="http://schemas.openxmlformats.org/officeDocument/2006/relationships/hyperlink" Target="https://www.google.com/search?q=115-90-2+SDS+safety+data+sheet+filetype:pdf" TargetMode="External"/><Relationship Id="rId1627" Type="http://schemas.openxmlformats.org/officeDocument/2006/relationships/hyperlink" Target="https://www.google.com/search?q=786-19-6+SDS+safety+data+sheet+filetype:pdf" TargetMode="External"/><Relationship Id="rId4033" Type="http://schemas.openxmlformats.org/officeDocument/2006/relationships/hyperlink" Target="https://chemicalsafety.ilo.org/dyn/icsc/showcard.display?p_card_id=1039&amp;p_lang=en" TargetMode="External"/><Relationship Id="rId3799" Type="http://schemas.openxmlformats.org/officeDocument/2006/relationships/hyperlink" Target="https://www.google.com/search?q=7789-30-2+SDS+safety+data+sheet+filetype:pdf" TargetMode="External"/><Relationship Id="rId4100" Type="http://schemas.openxmlformats.org/officeDocument/2006/relationships/hyperlink" Target="https://chem.echa.europa.eu/substance-search?searchText=110-98-5" TargetMode="External"/><Relationship Id="rId6272" Type="http://schemas.openxmlformats.org/officeDocument/2006/relationships/hyperlink" Target="https://chem.echa.europa.eu/substance-search?searchText=2885-00-9" TargetMode="External"/><Relationship Id="rId3866" Type="http://schemas.openxmlformats.org/officeDocument/2006/relationships/hyperlink" Target="https://chemicalsafety.ilo.org/dyn/icsc/showcard.display?p_card_id=0992&amp;p_lang=tr" TargetMode="External"/><Relationship Id="rId4917" Type="http://schemas.openxmlformats.org/officeDocument/2006/relationships/hyperlink" Target="https://chemicalsafety.ilo.org/dyn/icsc/showcard.display?p_card_id=1272&amp;p_lang=en" TargetMode="External"/><Relationship Id="rId787" Type="http://schemas.openxmlformats.org/officeDocument/2006/relationships/hyperlink" Target="https://www.google.com/search?q=57-24-9+SDS+safety+data+sheet+filetype:pdf" TargetMode="External"/><Relationship Id="rId2468" Type="http://schemas.openxmlformats.org/officeDocument/2006/relationships/hyperlink" Target="https://chem.echa.europa.eu/substance-search?searchText=61-82-5" TargetMode="External"/><Relationship Id="rId2882" Type="http://schemas.openxmlformats.org/officeDocument/2006/relationships/hyperlink" Target="https://chemicalsafety.ilo.org/dyn/icsc/showcard.display?p_card_id=0741&amp;p_lang=tr" TargetMode="External"/><Relationship Id="rId3519" Type="http://schemas.openxmlformats.org/officeDocument/2006/relationships/hyperlink" Target="https://www.google.com/search?q=79-31-2+SDS+safety+data+sheet+filetype:pdf" TargetMode="External"/><Relationship Id="rId3933" Type="http://schemas.openxmlformats.org/officeDocument/2006/relationships/hyperlink" Target="https://chemicalsafety.ilo.org/dyn/icsc/showcard.display?p_card_id=1014&amp;p_lang=en" TargetMode="External"/><Relationship Id="rId854" Type="http://schemas.openxmlformats.org/officeDocument/2006/relationships/hyperlink" Target="https://chemicalsafety.ilo.org/dyn/icsc/showcard.display?p_card_id=0215&amp;p_lang=tr" TargetMode="External"/><Relationship Id="rId1484" Type="http://schemas.openxmlformats.org/officeDocument/2006/relationships/hyperlink" Target="https://chem.echa.europa.eu/substance-search?searchText=21645-51-2" TargetMode="External"/><Relationship Id="rId2535" Type="http://schemas.openxmlformats.org/officeDocument/2006/relationships/hyperlink" Target="https://www.google.com/search?q=461-58-5+SDS+safety+data+sheet+filetype:pdf" TargetMode="External"/><Relationship Id="rId507" Type="http://schemas.openxmlformats.org/officeDocument/2006/relationships/hyperlink" Target="https://www.google.com/search?q=10049-04-4+SDS+safety+data+sheet+filetype:pdf" TargetMode="External"/><Relationship Id="rId921" Type="http://schemas.openxmlformats.org/officeDocument/2006/relationships/hyperlink" Target="https://chemicalsafety.ilo.org/dyn/icsc/showcard.display?p_card_id=0232&amp;p_lang=en" TargetMode="External"/><Relationship Id="rId1137" Type="http://schemas.openxmlformats.org/officeDocument/2006/relationships/hyperlink" Target="https://chemicalsafety.ilo.org/dyn/icsc/showcard.display?p_card_id=0286&amp;p_lang=en" TargetMode="External"/><Relationship Id="rId1551" Type="http://schemas.openxmlformats.org/officeDocument/2006/relationships/hyperlink" Target="https://www.google.com/search?q=120-51-4+SDS+safety+data+sheet+filetype:pdf" TargetMode="External"/><Relationship Id="rId2602" Type="http://schemas.openxmlformats.org/officeDocument/2006/relationships/hyperlink" Target="https://chemicalsafety.ilo.org/dyn/icsc/showcard.display?p_card_id=0668&amp;p_lang=tr" TargetMode="External"/><Relationship Id="rId5758" Type="http://schemas.openxmlformats.org/officeDocument/2006/relationships/hyperlink" Target="https://chemicalsafety.ilo.org/dyn/icsc/showcard.display?p_card_id=1493&amp;p_lang=tr" TargetMode="External"/><Relationship Id="rId6809" Type="http://schemas.openxmlformats.org/officeDocument/2006/relationships/hyperlink" Target="https://chemicalsafety.ilo.org/dyn/icsc/showcard.display?p_card_id=1775&amp;p_lang=en" TargetMode="External"/><Relationship Id="rId1204" Type="http://schemas.openxmlformats.org/officeDocument/2006/relationships/hyperlink" Target="https://chem.echa.europa.eu/substance-search?searchText=110-91-8" TargetMode="External"/><Relationship Id="rId4774" Type="http://schemas.openxmlformats.org/officeDocument/2006/relationships/hyperlink" Target="https://chemicalsafety.ilo.org/dyn/icsc/showcard.display?p_card_id=1236&amp;p_lang=tr" TargetMode="External"/><Relationship Id="rId5825" Type="http://schemas.openxmlformats.org/officeDocument/2006/relationships/hyperlink" Target="https://chemicalsafety.ilo.org/dyn/icsc/showcard.display?p_card_id=1510&amp;p_lang=en" TargetMode="External"/><Relationship Id="rId3376" Type="http://schemas.openxmlformats.org/officeDocument/2006/relationships/hyperlink" Target="https://chem.echa.europa.eu/substance-search?searchText=1194-65-6" TargetMode="External"/><Relationship Id="rId4427" Type="http://schemas.openxmlformats.org/officeDocument/2006/relationships/hyperlink" Target="https://www.google.com/search?q=13454-96-1+SDS+safety+data+sheet+filetype:pdf" TargetMode="External"/><Relationship Id="rId297" Type="http://schemas.openxmlformats.org/officeDocument/2006/relationships/hyperlink" Target="https://chemicalsafety.ilo.org/dyn/icsc/showcard.display?p_card_id=0075&amp;p_lang=en" TargetMode="External"/><Relationship Id="rId2392" Type="http://schemas.openxmlformats.org/officeDocument/2006/relationships/hyperlink" Target="https://chem.echa.europa.eu/substance-search?searchText=8052-42-4" TargetMode="External"/><Relationship Id="rId3029" Type="http://schemas.openxmlformats.org/officeDocument/2006/relationships/hyperlink" Target="https://chemicalsafety.ilo.org/dyn/icsc/showcard.display?p_card_id=0778&amp;p_lang=en" TargetMode="External"/><Relationship Id="rId3790" Type="http://schemas.openxmlformats.org/officeDocument/2006/relationships/hyperlink" Target="https://chemicalsafety.ilo.org/dyn/icsc/showcard.display?p_card_id=0971&amp;p_lang=tr" TargetMode="External"/><Relationship Id="rId4841" Type="http://schemas.openxmlformats.org/officeDocument/2006/relationships/hyperlink" Target="https://chemicalsafety.ilo.org/dyn/icsc/showcard.display?p_card_id=1253&amp;p_lang=en" TargetMode="External"/><Relationship Id="rId6599" Type="http://schemas.openxmlformats.org/officeDocument/2006/relationships/hyperlink" Target="https://www.google.com/search?q=156-43-4+SDS+safety+data+sheet+filetype:pdf" TargetMode="External"/><Relationship Id="rId364" Type="http://schemas.openxmlformats.org/officeDocument/2006/relationships/hyperlink" Target="https://chem.echa.europa.eu/substance-search?searchText=79-06-1" TargetMode="External"/><Relationship Id="rId2045" Type="http://schemas.openxmlformats.org/officeDocument/2006/relationships/hyperlink" Target="https://chemicalsafety.ilo.org/dyn/icsc/showcard.display?p_card_id=0521&amp;p_lang=en" TargetMode="External"/><Relationship Id="rId3443" Type="http://schemas.openxmlformats.org/officeDocument/2006/relationships/hyperlink" Target="https://www.google.com/search?q=34590-94-8+SDS+safety+data+sheet+filetype:pdf" TargetMode="External"/><Relationship Id="rId3510" Type="http://schemas.openxmlformats.org/officeDocument/2006/relationships/hyperlink" Target="https://chemicalsafety.ilo.org/dyn/icsc/showcard.display?p_card_id=0901&amp;p_lang=tr" TargetMode="External"/><Relationship Id="rId6666" Type="http://schemas.openxmlformats.org/officeDocument/2006/relationships/hyperlink" Target="https://chemicalsafety.ilo.org/dyn/icsc/showcard.display?p_card_id=1738&amp;p_lang=tr" TargetMode="External"/><Relationship Id="rId431" Type="http://schemas.openxmlformats.org/officeDocument/2006/relationships/hyperlink" Target="https://www.google.com/search?q=75-25-2+SDS+safety+data+sheet+filetype:pdf" TargetMode="External"/><Relationship Id="rId1061" Type="http://schemas.openxmlformats.org/officeDocument/2006/relationships/hyperlink" Target="https://chemicalsafety.ilo.org/dyn/icsc/showcard.display?p_card_id=0267&amp;p_lang=en" TargetMode="External"/><Relationship Id="rId2112" Type="http://schemas.openxmlformats.org/officeDocument/2006/relationships/hyperlink" Target="https://chem.echa.europa.eu/substance-search?searchText=122-99-6" TargetMode="External"/><Relationship Id="rId5268" Type="http://schemas.openxmlformats.org/officeDocument/2006/relationships/hyperlink" Target="https://chem.echa.europa.eu/substance-search?searchText=85-00-7" TargetMode="External"/><Relationship Id="rId5682" Type="http://schemas.openxmlformats.org/officeDocument/2006/relationships/hyperlink" Target="https://chemicalsafety.ilo.org/dyn/icsc/showcard.display?p_card_id=1472&amp;p_lang=tr" TargetMode="External"/><Relationship Id="rId6319" Type="http://schemas.openxmlformats.org/officeDocument/2006/relationships/hyperlink" Target="https://www.google.com/search?q=76-38-0+SDS+safety+data+sheet+filetype:pdf" TargetMode="External"/><Relationship Id="rId6733" Type="http://schemas.openxmlformats.org/officeDocument/2006/relationships/hyperlink" Target="https://chemicalsafety.ilo.org/dyn/icsc/showcard.display?p_card_id=1756&amp;p_lang=en" TargetMode="External"/><Relationship Id="rId1878" Type="http://schemas.openxmlformats.org/officeDocument/2006/relationships/hyperlink" Target="https://chemicalsafety.ilo.org/dyn/icsc/showcard.display?p_card_id=0476&amp;p_lang=tr" TargetMode="External"/><Relationship Id="rId2929" Type="http://schemas.openxmlformats.org/officeDocument/2006/relationships/hyperlink" Target="https://chemicalsafety.ilo.org/dyn/icsc/showcard.display?p_card_id=0753&amp;p_lang=en" TargetMode="External"/><Relationship Id="rId4284" Type="http://schemas.openxmlformats.org/officeDocument/2006/relationships/hyperlink" Target="https://chem.echa.europa.eu/substance-search?searchText=101-72-4" TargetMode="External"/><Relationship Id="rId5335" Type="http://schemas.openxmlformats.org/officeDocument/2006/relationships/hyperlink" Target="https://www.google.com/search?q=64742-48-9+SDS+safety+data+sheet+filetype:pdf" TargetMode="External"/><Relationship Id="rId4351" Type="http://schemas.openxmlformats.org/officeDocument/2006/relationships/hyperlink" Target="https://www.google.com/search?q=7446-70-0+SDS+safety+data+sheet+filetype:pdf" TargetMode="External"/><Relationship Id="rId5402" Type="http://schemas.openxmlformats.org/officeDocument/2006/relationships/hyperlink" Target="https://chemicalsafety.ilo.org/dyn/icsc/showcard.display?p_card_id=1398&amp;p_lang=tr" TargetMode="External"/><Relationship Id="rId6800" Type="http://schemas.openxmlformats.org/officeDocument/2006/relationships/hyperlink" Target="https://chem.echa.europa.eu/substance-search?searchText=104-90-5" TargetMode="External"/><Relationship Id="rId1945" Type="http://schemas.openxmlformats.org/officeDocument/2006/relationships/hyperlink" Target="https://chemicalsafety.ilo.org/dyn/icsc/showcard.display?p_card_id=0493&amp;p_lang=en" TargetMode="External"/><Relationship Id="rId4004" Type="http://schemas.openxmlformats.org/officeDocument/2006/relationships/hyperlink" Target="https://chem.echa.europa.eu/substance-search?searchText=79-21-0" TargetMode="External"/><Relationship Id="rId3020" Type="http://schemas.openxmlformats.org/officeDocument/2006/relationships/hyperlink" Target="https://chem.echa.europa.eu/substance-search?searchText=7440-36-0" TargetMode="External"/><Relationship Id="rId6176" Type="http://schemas.openxmlformats.org/officeDocument/2006/relationships/hyperlink" Target="https://chem.echa.europa.eu/substance-search?searchText=68608-26-4" TargetMode="External"/><Relationship Id="rId6590" Type="http://schemas.openxmlformats.org/officeDocument/2006/relationships/hyperlink" Target="https://chemicalsafety.ilo.org/dyn/icsc/showcard.display?p_card_id=1718&amp;p_lang=tr" TargetMode="External"/><Relationship Id="rId2786" Type="http://schemas.openxmlformats.org/officeDocument/2006/relationships/hyperlink" Target="https://chemicalsafety.ilo.org/dyn/icsc/showcard.display?p_card_id=0717&amp;p_lang=tr" TargetMode="External"/><Relationship Id="rId3837" Type="http://schemas.openxmlformats.org/officeDocument/2006/relationships/hyperlink" Target="https://chemicalsafety.ilo.org/dyn/icsc/showcard.display?p_card_id=0984&amp;p_lang=en" TargetMode="External"/><Relationship Id="rId5192" Type="http://schemas.openxmlformats.org/officeDocument/2006/relationships/hyperlink" Target="https://chem.echa.europa.eu/substance-search?searchText=3953-10-4" TargetMode="External"/><Relationship Id="rId6243" Type="http://schemas.openxmlformats.org/officeDocument/2006/relationships/hyperlink" Target="https://www.google.com/search?q=57018-52-7+SDS+safety+data+sheet+filetype:pdf" TargetMode="External"/><Relationship Id="rId758" Type="http://schemas.openxmlformats.org/officeDocument/2006/relationships/hyperlink" Target="https://chemicalsafety.ilo.org/dyn/icsc/showcard.display?p_card_id=0190&amp;p_lang=tr" TargetMode="External"/><Relationship Id="rId1388" Type="http://schemas.openxmlformats.org/officeDocument/2006/relationships/hyperlink" Target="https://chem.echa.europa.eu/substance-search?searchText=137-30-4" TargetMode="External"/><Relationship Id="rId2439" Type="http://schemas.openxmlformats.org/officeDocument/2006/relationships/hyperlink" Target="https://www.google.com/search?q=56-81-5+SDS+safety+data+sheet+filetype:pdf" TargetMode="External"/><Relationship Id="rId2853" Type="http://schemas.openxmlformats.org/officeDocument/2006/relationships/hyperlink" Target="https://chemicalsafety.ilo.org/dyn/icsc/showcard.display?p_card_id=0734&amp;p_lang=en" TargetMode="External"/><Relationship Id="rId3904" Type="http://schemas.openxmlformats.org/officeDocument/2006/relationships/hyperlink" Target="https://chem.echa.europa.eu/substance-search?searchText=112-80-1" TargetMode="External"/><Relationship Id="rId6310" Type="http://schemas.openxmlformats.org/officeDocument/2006/relationships/hyperlink" Target="https://chemicalsafety.ilo.org/dyn/icsc/showcard.display?p_card_id=1634&amp;p_lang=tr" TargetMode="External"/><Relationship Id="rId94" Type="http://schemas.openxmlformats.org/officeDocument/2006/relationships/hyperlink" Target="https://chemicalsafety.ilo.org/dyn/icsc/showcard.display?p_card_id=0024&amp;p_lang=tr" TargetMode="External"/><Relationship Id="rId825" Type="http://schemas.openxmlformats.org/officeDocument/2006/relationships/hyperlink" Target="https://chemicalsafety.ilo.org/dyn/icsc/showcard.display?p_card_id=0208&amp;p_lang=en" TargetMode="External"/><Relationship Id="rId1455" Type="http://schemas.openxmlformats.org/officeDocument/2006/relationships/hyperlink" Target="https://www.google.com/search?q=506-96-7+SDS+safety+data+sheet+filetype:pdf" TargetMode="External"/><Relationship Id="rId2506" Type="http://schemas.openxmlformats.org/officeDocument/2006/relationships/hyperlink" Target="https://chemicalsafety.ilo.org/dyn/icsc/showcard.display?p_card_id=0642&amp;p_lang=tr" TargetMode="External"/><Relationship Id="rId1108" Type="http://schemas.openxmlformats.org/officeDocument/2006/relationships/hyperlink" Target="https://chem.echa.europa.eu/substance-search?searchText=822-06-0" TargetMode="External"/><Relationship Id="rId2920" Type="http://schemas.openxmlformats.org/officeDocument/2006/relationships/hyperlink" Target="https://chem.echa.europa.eu/substance-search?searchText=76-06-2" TargetMode="External"/><Relationship Id="rId4678" Type="http://schemas.openxmlformats.org/officeDocument/2006/relationships/hyperlink" Target="https://chemicalsafety.ilo.org/dyn/icsc/showcard.display?p_card_id=1212&amp;p_lang=tr" TargetMode="External"/><Relationship Id="rId1522" Type="http://schemas.openxmlformats.org/officeDocument/2006/relationships/hyperlink" Target="https://chemicalsafety.ilo.org/dyn/icsc/showcard.display?p_card_id=0383&amp;p_lang=tr" TargetMode="External"/><Relationship Id="rId5729" Type="http://schemas.openxmlformats.org/officeDocument/2006/relationships/hyperlink" Target="https://chemicalsafety.ilo.org/dyn/icsc/showcard.display?p_card_id=1486&amp;p_lang=en" TargetMode="External"/><Relationship Id="rId3694" Type="http://schemas.openxmlformats.org/officeDocument/2006/relationships/hyperlink" Target="https://chemicalsafety.ilo.org/dyn/icsc/showcard.display?p_card_id=0947&amp;p_lang=tr" TargetMode="External"/><Relationship Id="rId4745" Type="http://schemas.openxmlformats.org/officeDocument/2006/relationships/hyperlink" Target="https://chemicalsafety.ilo.org/dyn/icsc/showcard.display?p_card_id=1229&amp;p_lang=en" TargetMode="External"/><Relationship Id="rId2296" Type="http://schemas.openxmlformats.org/officeDocument/2006/relationships/hyperlink" Target="https://chem.echa.europa.eu/substance-search?searchText=76-03-9" TargetMode="External"/><Relationship Id="rId3347" Type="http://schemas.openxmlformats.org/officeDocument/2006/relationships/hyperlink" Target="https://www.google.com/search?q=91465-08-6+SDS+safety+data+sheet+filetype:pdf" TargetMode="External"/><Relationship Id="rId3761" Type="http://schemas.openxmlformats.org/officeDocument/2006/relationships/hyperlink" Target="https://chemicalsafety.ilo.org/dyn/icsc/showcard.display?p_card_id=0964&amp;p_lang=en" TargetMode="External"/><Relationship Id="rId4812" Type="http://schemas.openxmlformats.org/officeDocument/2006/relationships/hyperlink" Target="https://chem.echa.europa.eu/substance-search?searchText=111-84-2" TargetMode="External"/><Relationship Id="rId268" Type="http://schemas.openxmlformats.org/officeDocument/2006/relationships/hyperlink" Target="https://chem.echa.europa.eu/substance-search?searchText=10024-97-2" TargetMode="External"/><Relationship Id="rId682" Type="http://schemas.openxmlformats.org/officeDocument/2006/relationships/hyperlink" Target="https://chemicalsafety.ilo.org/dyn/icsc/showcard.display?p_card_id=0171&amp;p_lang=tr" TargetMode="External"/><Relationship Id="rId2363" Type="http://schemas.openxmlformats.org/officeDocument/2006/relationships/hyperlink" Target="https://www.google.com/search?q=7439-90-9+SDS+safety+data+sheet+filetype:pdf" TargetMode="External"/><Relationship Id="rId3414" Type="http://schemas.openxmlformats.org/officeDocument/2006/relationships/hyperlink" Target="https://chemicalsafety.ilo.org/dyn/icsc/showcard.display?p_card_id=0877&amp;p_lang=tr" TargetMode="External"/><Relationship Id="rId335" Type="http://schemas.openxmlformats.org/officeDocument/2006/relationships/hyperlink" Target="https://www.google.com/search?q=95-47-6+SDS+safety+data+sheet+filetype:pdf" TargetMode="External"/><Relationship Id="rId2016" Type="http://schemas.openxmlformats.org/officeDocument/2006/relationships/hyperlink" Target="https://chem.echa.europa.eu/substance-search?searchText=108-10-1" TargetMode="External"/><Relationship Id="rId2430" Type="http://schemas.openxmlformats.org/officeDocument/2006/relationships/hyperlink" Target="https://chemicalsafety.ilo.org/dyn/icsc/showcard.display?p_card_id=0622&amp;p_lang=tr" TargetMode="External"/><Relationship Id="rId5586" Type="http://schemas.openxmlformats.org/officeDocument/2006/relationships/hyperlink" Target="https://chemicalsafety.ilo.org/dyn/icsc/showcard.display?p_card_id=1445&amp;p_lang=tr" TargetMode="External"/><Relationship Id="rId6637" Type="http://schemas.openxmlformats.org/officeDocument/2006/relationships/hyperlink" Target="https://chemicalsafety.ilo.org/dyn/icsc/showcard.display?p_card_id=1731&amp;p_lang=en" TargetMode="External"/><Relationship Id="rId402" Type="http://schemas.openxmlformats.org/officeDocument/2006/relationships/hyperlink" Target="https://chemicalsafety.ilo.org/dyn/icsc/showcard.display?p_card_id=0101&amp;p_lang=tr" TargetMode="External"/><Relationship Id="rId1032" Type="http://schemas.openxmlformats.org/officeDocument/2006/relationships/hyperlink" Target="https://chem.echa.europa.eu/substance-search?searchText=127-19-5" TargetMode="External"/><Relationship Id="rId4188" Type="http://schemas.openxmlformats.org/officeDocument/2006/relationships/hyperlink" Target="https://chem.echa.europa.eu/substance-search?searchText=105-39-5" TargetMode="External"/><Relationship Id="rId5239" Type="http://schemas.openxmlformats.org/officeDocument/2006/relationships/hyperlink" Target="https://www.google.com/search?q=108-68-9+SDS+safety+data+sheet+filetype:pdf" TargetMode="External"/><Relationship Id="rId4255" Type="http://schemas.openxmlformats.org/officeDocument/2006/relationships/hyperlink" Target="https://www.google.com/search?q=75-57-0+SDS+safety+data+sheet+filetype:pdf" TargetMode="External"/><Relationship Id="rId5306" Type="http://schemas.openxmlformats.org/officeDocument/2006/relationships/hyperlink" Target="https://chemicalsafety.ilo.org/dyn/icsc/showcard.display?p_card_id=1373&amp;p_lang=tr" TargetMode="External"/><Relationship Id="rId5653" Type="http://schemas.openxmlformats.org/officeDocument/2006/relationships/hyperlink" Target="https://chemicalsafety.ilo.org/dyn/icsc/showcard.display?p_card_id=1465&amp;p_lang=en" TargetMode="External"/><Relationship Id="rId6704" Type="http://schemas.openxmlformats.org/officeDocument/2006/relationships/hyperlink" Target="https://chem.echa.europa.eu/substance-search?searchText=7803-49-8" TargetMode="External"/><Relationship Id="rId1849" Type="http://schemas.openxmlformats.org/officeDocument/2006/relationships/hyperlink" Target="https://chemicalsafety.ilo.org/dyn/icsc/showcard.display?p_card_id=0469&amp;p_lang=en" TargetMode="External"/><Relationship Id="rId5720" Type="http://schemas.openxmlformats.org/officeDocument/2006/relationships/hyperlink" Target="https://chem.echa.europa.eu/substance-search?searchText=74-89-5" TargetMode="External"/><Relationship Id="rId192" Type="http://schemas.openxmlformats.org/officeDocument/2006/relationships/hyperlink" Target="https://chem.echa.europa.eu/substance-search?searchText=75-71-8" TargetMode="External"/><Relationship Id="rId1916" Type="http://schemas.openxmlformats.org/officeDocument/2006/relationships/hyperlink" Target="https://chem.echa.europa.eu/substance-search?searchText=64-18-6" TargetMode="External"/><Relationship Id="rId3271" Type="http://schemas.openxmlformats.org/officeDocument/2006/relationships/hyperlink" Target="https://www.google.com/search?q=105-46-4+SDS+safety+data+sheet+filetype:pdf" TargetMode="External"/><Relationship Id="rId4322" Type="http://schemas.openxmlformats.org/officeDocument/2006/relationships/hyperlink" Target="https://chemicalsafety.ilo.org/dyn/icsc/showcard.display?p_card_id=1118&amp;p_lang=tr" TargetMode="External"/><Relationship Id="rId6494" Type="http://schemas.openxmlformats.org/officeDocument/2006/relationships/hyperlink" Target="https://chemicalsafety.ilo.org/dyn/icsc/showcard.display?p_card_id=1689&amp;p_lang=tr" TargetMode="External"/><Relationship Id="rId5096" Type="http://schemas.openxmlformats.org/officeDocument/2006/relationships/hyperlink" Target="https://chem.echa.europa.eu/substance-search?searchText=10124-36-4" TargetMode="External"/><Relationship Id="rId6147" Type="http://schemas.openxmlformats.org/officeDocument/2006/relationships/hyperlink" Target="https://www.google.com/search?q=619-15-8+SDS+safety+data+sheet+filetype:pdf" TargetMode="External"/><Relationship Id="rId6561" Type="http://schemas.openxmlformats.org/officeDocument/2006/relationships/hyperlink" Target="https://chemicalsafety.ilo.org/dyn/icsc/showcard.display?p_card_id=1711&amp;p_lang=en" TargetMode="External"/><Relationship Id="rId5163" Type="http://schemas.openxmlformats.org/officeDocument/2006/relationships/hyperlink" Target="https://www.google.com/search?q=111-92-2+SDS+safety+data+sheet+filetype:pdf" TargetMode="External"/><Relationship Id="rId6214" Type="http://schemas.openxmlformats.org/officeDocument/2006/relationships/hyperlink" Target="https://chemicalsafety.ilo.org/dyn/icsc/showcard.display?p_card_id=1608&amp;p_lang=tr" TargetMode="External"/><Relationship Id="rId729" Type="http://schemas.openxmlformats.org/officeDocument/2006/relationships/hyperlink" Target="https://chemicalsafety.ilo.org/dyn/icsc/showcard.display?p_card_id=0183&amp;p_lang=en" TargetMode="External"/><Relationship Id="rId1359" Type="http://schemas.openxmlformats.org/officeDocument/2006/relationships/hyperlink" Target="https://www.google.com/search?q=95-53-4+SDS+safety+data+sheet+filetype:pdf" TargetMode="External"/><Relationship Id="rId2757" Type="http://schemas.openxmlformats.org/officeDocument/2006/relationships/hyperlink" Target="https://chemicalsafety.ilo.org/dyn/icsc/showcard.display?p_card_id=0710&amp;p_lang=en" TargetMode="External"/><Relationship Id="rId3808" Type="http://schemas.openxmlformats.org/officeDocument/2006/relationships/hyperlink" Target="https://chem.echa.europa.eu/substance-search?searchText=10210-68-1" TargetMode="External"/><Relationship Id="rId5230" Type="http://schemas.openxmlformats.org/officeDocument/2006/relationships/hyperlink" Target="https://chemicalsafety.ilo.org/dyn/icsc/showcard.display?p_card_id=1354&amp;p_lang=tr" TargetMode="External"/><Relationship Id="rId1773" Type="http://schemas.openxmlformats.org/officeDocument/2006/relationships/hyperlink" Target="https://chemicalsafety.ilo.org/dyn/icsc/showcard.display?p_card_id=0448&amp;p_lang=en" TargetMode="External"/><Relationship Id="rId2824" Type="http://schemas.openxmlformats.org/officeDocument/2006/relationships/hyperlink" Target="https://chem.echa.europa.eu/substance-search?searchText=602-01-7" TargetMode="External"/><Relationship Id="rId65" Type="http://schemas.openxmlformats.org/officeDocument/2006/relationships/hyperlink" Target="https://chemicalsafety.ilo.org/dyn/icsc/showcard.display?p_card_id=0017&amp;p_lang=en" TargetMode="External"/><Relationship Id="rId1426" Type="http://schemas.openxmlformats.org/officeDocument/2006/relationships/hyperlink" Target="https://chemicalsafety.ilo.org/dyn/icsc/showcard.display?p_card_id=0358&amp;p_lang=tr" TargetMode="External"/><Relationship Id="rId1840" Type="http://schemas.openxmlformats.org/officeDocument/2006/relationships/hyperlink" Target="https://chem.echa.europa.eu/substance-search?searchText=122-39-4" TargetMode="External"/><Relationship Id="rId4996" Type="http://schemas.openxmlformats.org/officeDocument/2006/relationships/hyperlink" Target="https://chem.echa.europa.eu/substance-search?searchText=112-35-6" TargetMode="External"/><Relationship Id="rId3598" Type="http://schemas.openxmlformats.org/officeDocument/2006/relationships/hyperlink" Target="https://chemicalsafety.ilo.org/dyn/icsc/showcard.display?p_card_id=0923&amp;p_lang=tr" TargetMode="External"/><Relationship Id="rId4649" Type="http://schemas.openxmlformats.org/officeDocument/2006/relationships/hyperlink" Target="https://chemicalsafety.ilo.org/dyn/icsc/showcard.display?p_card_id=1205&amp;p_lang=en" TargetMode="External"/><Relationship Id="rId3665" Type="http://schemas.openxmlformats.org/officeDocument/2006/relationships/hyperlink" Target="https://chemicalsafety.ilo.org/dyn/icsc/showcard.display?p_card_id=0940&amp;p_lang=en" TargetMode="External"/><Relationship Id="rId4716" Type="http://schemas.openxmlformats.org/officeDocument/2006/relationships/hyperlink" Target="https://chem.echa.europa.eu/substance-search?searchText=6533-73-9" TargetMode="External"/><Relationship Id="rId6071" Type="http://schemas.openxmlformats.org/officeDocument/2006/relationships/hyperlink" Target="https://www.google.com/search?q=112-59-4+SDS+safety+data+sheet+filetype:pdf" TargetMode="External"/><Relationship Id="rId586" Type="http://schemas.openxmlformats.org/officeDocument/2006/relationships/hyperlink" Target="https://chemicalsafety.ilo.org/dyn/icsc/showcard.display?p_card_id=0147&amp;p_lang=tr" TargetMode="External"/><Relationship Id="rId2267" Type="http://schemas.openxmlformats.org/officeDocument/2006/relationships/hyperlink" Target="https://www.google.com/search?q=109-99-9+SDS+safety+data+sheet+filetype:pdf" TargetMode="External"/><Relationship Id="rId2681" Type="http://schemas.openxmlformats.org/officeDocument/2006/relationships/hyperlink" Target="https://chemicalsafety.ilo.org/dyn/icsc/showcard.display?p_card_id=0690&amp;p_lang=en" TargetMode="External"/><Relationship Id="rId3318" Type="http://schemas.openxmlformats.org/officeDocument/2006/relationships/hyperlink" Target="https://chemicalsafety.ilo.org/dyn/icsc/showcard.display?p_card_id=0852&amp;p_lang=tr" TargetMode="External"/><Relationship Id="rId239" Type="http://schemas.openxmlformats.org/officeDocument/2006/relationships/hyperlink" Target="https://www.google.com/search?q=110-80-5+SDS+safety+data+sheet+filetype:pdf" TargetMode="External"/><Relationship Id="rId653" Type="http://schemas.openxmlformats.org/officeDocument/2006/relationships/hyperlink" Target="https://chemicalsafety.ilo.org/dyn/icsc/showcard.display?p_card_id=0164&amp;p_lang=en" TargetMode="External"/><Relationship Id="rId1283" Type="http://schemas.openxmlformats.org/officeDocument/2006/relationships/hyperlink" Target="https://www.google.com/search?q=75-55-8+SDS+safety+data+sheet+filetype:pdf" TargetMode="External"/><Relationship Id="rId2334" Type="http://schemas.openxmlformats.org/officeDocument/2006/relationships/hyperlink" Target="https://chemicalsafety.ilo.org/dyn/icsc/showcard.display?p_card_id=0596&amp;p_lang=tr" TargetMode="External"/><Relationship Id="rId3732" Type="http://schemas.openxmlformats.org/officeDocument/2006/relationships/hyperlink" Target="https://chem.echa.europa.eu/substance-search?searchText=21651-19-4" TargetMode="External"/><Relationship Id="rId306" Type="http://schemas.openxmlformats.org/officeDocument/2006/relationships/hyperlink" Target="https://chemicalsafety.ilo.org/dyn/icsc/showcard.display?p_card_id=0077&amp;p_lang=tr" TargetMode="External"/><Relationship Id="rId720" Type="http://schemas.openxmlformats.org/officeDocument/2006/relationships/hyperlink" Target="https://chem.echa.europa.eu/substance-search?searchText=60-34-4" TargetMode="External"/><Relationship Id="rId1350" Type="http://schemas.openxmlformats.org/officeDocument/2006/relationships/hyperlink" Target="https://chemicalsafety.ilo.org/dyn/icsc/showcard.display?p_card_id=0339&amp;p_lang=tr" TargetMode="External"/><Relationship Id="rId2401" Type="http://schemas.openxmlformats.org/officeDocument/2006/relationships/hyperlink" Target="https://chemicalsafety.ilo.org/dyn/icsc/showcard.display?p_card_id=0615&amp;p_lang=en" TargetMode="External"/><Relationship Id="rId4159" Type="http://schemas.openxmlformats.org/officeDocument/2006/relationships/hyperlink" Target="https://www.google.com/search?q=543-80-6+SDS+safety+data+sheet+filetype:pdf" TargetMode="External"/><Relationship Id="rId5557" Type="http://schemas.openxmlformats.org/officeDocument/2006/relationships/hyperlink" Target="https://chemicalsafety.ilo.org/dyn/icsc/showcard.display?p_card_id=1438&amp;p_lang=en" TargetMode="External"/><Relationship Id="rId5971" Type="http://schemas.openxmlformats.org/officeDocument/2006/relationships/hyperlink" Target="https://www.google.com/search?q=130-15-4+SDS+safety+data+sheet+filetype:pdf" TargetMode="External"/><Relationship Id="rId6608" Type="http://schemas.openxmlformats.org/officeDocument/2006/relationships/hyperlink" Target="https://chem.echa.europa.eu/substance-search?searchText=504-60-9" TargetMode="External"/><Relationship Id="rId1003" Type="http://schemas.openxmlformats.org/officeDocument/2006/relationships/hyperlink" Target="https://www.google.com/search?q=611-06-3+SDS+safety+data+sheet+filetype:pdf" TargetMode="External"/><Relationship Id="rId4573" Type="http://schemas.openxmlformats.org/officeDocument/2006/relationships/hyperlink" Target="https://chemicalsafety.ilo.org/dyn/icsc/showcard.display?p_card_id=1182&amp;p_lang=en" TargetMode="External"/><Relationship Id="rId5624" Type="http://schemas.openxmlformats.org/officeDocument/2006/relationships/hyperlink" Target="https://chem.echa.europa.eu/substance-search?searchText=83-88-5" TargetMode="External"/><Relationship Id="rId3175" Type="http://schemas.openxmlformats.org/officeDocument/2006/relationships/hyperlink" Target="https://www.google.com/search?q=141-79-7+SDS+safety+data+sheet+filetype:pdf" TargetMode="External"/><Relationship Id="rId4226" Type="http://schemas.openxmlformats.org/officeDocument/2006/relationships/hyperlink" Target="https://chemicalsafety.ilo.org/dyn/icsc/showcard.display?p_card_id=1091&amp;p_lang=tr" TargetMode="External"/><Relationship Id="rId4640" Type="http://schemas.openxmlformats.org/officeDocument/2006/relationships/hyperlink" Target="https://chem.echa.europa.eu/substance-search?searchText=96-09-3" TargetMode="External"/><Relationship Id="rId2191" Type="http://schemas.openxmlformats.org/officeDocument/2006/relationships/hyperlink" Target="https://www.google.com/search?q=115-07-1+SDS+safety+data+sheet+filetype:pdf" TargetMode="External"/><Relationship Id="rId3242" Type="http://schemas.openxmlformats.org/officeDocument/2006/relationships/hyperlink" Target="https://chemicalsafety.ilo.org/dyn/icsc/showcard.display?p_card_id=0832&amp;p_lang=tr" TargetMode="External"/><Relationship Id="rId6398" Type="http://schemas.openxmlformats.org/officeDocument/2006/relationships/hyperlink" Target="https://chemicalsafety.ilo.org/dyn/icsc/showcard.display?p_card_id=1665&amp;p_lang=tr" TargetMode="External"/><Relationship Id="rId163" Type="http://schemas.openxmlformats.org/officeDocument/2006/relationships/hyperlink" Target="https://www.google.com/search?q=123-91-1+SDS+safety+data+sheet+filetype:pdf" TargetMode="External"/><Relationship Id="rId6465" Type="http://schemas.openxmlformats.org/officeDocument/2006/relationships/hyperlink" Target="https://chemicalsafety.ilo.org/dyn/icsc/showcard.display?p_card_id=1682&amp;p_lang=en" TargetMode="External"/><Relationship Id="rId230" Type="http://schemas.openxmlformats.org/officeDocument/2006/relationships/hyperlink" Target="https://chemicalsafety.ilo.org/dyn/icsc/showcard.display?p_card_id=0058&amp;p_lang=tr" TargetMode="External"/><Relationship Id="rId5067" Type="http://schemas.openxmlformats.org/officeDocument/2006/relationships/hyperlink" Target="https://www.google.com/search?q=10102-43-9+SDS+safety+data+sheet+filetype:pdf" TargetMode="External"/><Relationship Id="rId6118" Type="http://schemas.openxmlformats.org/officeDocument/2006/relationships/hyperlink" Target="https://chemicalsafety.ilo.org/dyn/icsc/showcard.display?p_card_id=1584&amp;p_lang=tr" TargetMode="External"/><Relationship Id="rId4083" Type="http://schemas.openxmlformats.org/officeDocument/2006/relationships/hyperlink" Target="https://www.google.com/search?q=12125-02-9+SDS+safety+data+sheet+filetype:pdf" TargetMode="External"/><Relationship Id="rId5481" Type="http://schemas.openxmlformats.org/officeDocument/2006/relationships/hyperlink" Target="https://chemicalsafety.ilo.org/dyn/icsc/showcard.display?p_card_id=1419&amp;p_lang=en" TargetMode="External"/><Relationship Id="rId6532" Type="http://schemas.openxmlformats.org/officeDocument/2006/relationships/hyperlink" Target="https://chem.echa.europa.eu/substance-search?searchText=98-92-0" TargetMode="External"/><Relationship Id="rId1677" Type="http://schemas.openxmlformats.org/officeDocument/2006/relationships/hyperlink" Target="https://chemicalsafety.ilo.org/dyn/icsc/showcard.display?p_card_id=0424&amp;p_lang=en" TargetMode="External"/><Relationship Id="rId2728" Type="http://schemas.openxmlformats.org/officeDocument/2006/relationships/hyperlink" Target="https://chem.echa.europa.eu/substance-search?searchText=7440-44-0" TargetMode="External"/><Relationship Id="rId5134" Type="http://schemas.openxmlformats.org/officeDocument/2006/relationships/hyperlink" Target="https://chemicalsafety.ilo.org/dyn/icsc/showcard.display?p_card_id=1330&amp;p_lang=tr" TargetMode="External"/><Relationship Id="rId1744" Type="http://schemas.openxmlformats.org/officeDocument/2006/relationships/hyperlink" Target="https://chem.echa.europa.eu/substance-search?searchText=591-35-5" TargetMode="External"/><Relationship Id="rId4150" Type="http://schemas.openxmlformats.org/officeDocument/2006/relationships/hyperlink" Target="https://chemicalsafety.ilo.org/dyn/icsc/showcard.display?p_card_id=1070&amp;p_lang=tr" TargetMode="External"/><Relationship Id="rId5201" Type="http://schemas.openxmlformats.org/officeDocument/2006/relationships/hyperlink" Target="https://chemicalsafety.ilo.org/dyn/icsc/showcard.display?p_card_id=1347&amp;p_lang=en" TargetMode="External"/><Relationship Id="rId36" Type="http://schemas.openxmlformats.org/officeDocument/2006/relationships/hyperlink" Target="https://chem.echa.europa.eu/substance-search?searchText=75-07-0" TargetMode="External"/><Relationship Id="rId4967" Type="http://schemas.openxmlformats.org/officeDocument/2006/relationships/hyperlink" Target="https://www.google.com/search?q=110-44-1+SDS+safety+data+sheet+filetype:pdf" TargetMode="External"/><Relationship Id="rId1811" Type="http://schemas.openxmlformats.org/officeDocument/2006/relationships/hyperlink" Target="https://www.google.com/search?q=105-67-9+SDS+safety+data+sheet+filetype:pdf" TargetMode="External"/><Relationship Id="rId3569" Type="http://schemas.openxmlformats.org/officeDocument/2006/relationships/hyperlink" Target="https://chemicalsafety.ilo.org/dyn/icsc/showcard.display?p_card_id=0916&amp;p_lang=en" TargetMode="External"/><Relationship Id="rId3983" Type="http://schemas.openxmlformats.org/officeDocument/2006/relationships/hyperlink" Target="https://www.google.com/search?q=109-78-4+SDS+safety+data+sheet+filetype:pdf" TargetMode="External"/><Relationship Id="rId6042" Type="http://schemas.openxmlformats.org/officeDocument/2006/relationships/hyperlink" Target="https://chemicalsafety.ilo.org/dyn/icsc/showcard.display?p_card_id=1565&amp;p_lang=tr" TargetMode="External"/><Relationship Id="rId1187" Type="http://schemas.openxmlformats.org/officeDocument/2006/relationships/hyperlink" Target="https://www.google.com/search?q=101-68-8+SDS+safety+data+sheet+filetype:pdf" TargetMode="External"/><Relationship Id="rId2585" Type="http://schemas.openxmlformats.org/officeDocument/2006/relationships/hyperlink" Target="https://chemicalsafety.ilo.org/dyn/icsc/showcard.display?p_card_id=0663&amp;p_lang=en" TargetMode="External"/><Relationship Id="rId3636" Type="http://schemas.openxmlformats.org/officeDocument/2006/relationships/hyperlink" Target="https://chem.echa.europa.eu/substance-search?searchText=99-99-0" TargetMode="External"/><Relationship Id="rId557" Type="http://schemas.openxmlformats.org/officeDocument/2006/relationships/hyperlink" Target="https://chemicalsafety.ilo.org/dyn/icsc/showcard.display?p_card_id=0140&amp;p_lang=en" TargetMode="External"/><Relationship Id="rId971" Type="http://schemas.openxmlformats.org/officeDocument/2006/relationships/hyperlink" Target="https://www.google.com/search?q=66-81-9+SDS+safety+data+sheet+filetype:pdf" TargetMode="External"/><Relationship Id="rId2238" Type="http://schemas.openxmlformats.org/officeDocument/2006/relationships/hyperlink" Target="https://chemicalsafety.ilo.org/dyn/icsc/showcard.display?p_card_id=0571&amp;p_lang=tr" TargetMode="External"/><Relationship Id="rId2652" Type="http://schemas.openxmlformats.org/officeDocument/2006/relationships/hyperlink" Target="https://chem.echa.europa.eu/substance-search?searchText=288-88-0" TargetMode="External"/><Relationship Id="rId3703" Type="http://schemas.openxmlformats.org/officeDocument/2006/relationships/hyperlink" Target="https://www.google.com/search?q=13768-86-0+SDS+safety+data+sheet+filetype:pdf" TargetMode="External"/><Relationship Id="rId624" Type="http://schemas.openxmlformats.org/officeDocument/2006/relationships/hyperlink" Target="https://chem.echa.europa.eu/substance-search?searchText=133-07-3" TargetMode="External"/><Relationship Id="rId1254" Type="http://schemas.openxmlformats.org/officeDocument/2006/relationships/hyperlink" Target="https://chemicalsafety.ilo.org/dyn/icsc/showcard.display?p_card_id=0315&amp;p_lang=tr" TargetMode="External"/><Relationship Id="rId2305" Type="http://schemas.openxmlformats.org/officeDocument/2006/relationships/hyperlink" Target="https://chemicalsafety.ilo.org/dyn/icsc/showcard.display?p_card_id=0589&amp;p_lang=en" TargetMode="External"/><Relationship Id="rId5875" Type="http://schemas.openxmlformats.org/officeDocument/2006/relationships/hyperlink" Target="https://www.google.com/search?q=11115-67-6+SDS+safety+data+sheet+filetype:pdf" TargetMode="External"/><Relationship Id="rId1321" Type="http://schemas.openxmlformats.org/officeDocument/2006/relationships/hyperlink" Target="https://chemicalsafety.ilo.org/dyn/icsc/showcard.display?p_card_id=0332&amp;p_lang=en" TargetMode="External"/><Relationship Id="rId4477" Type="http://schemas.openxmlformats.org/officeDocument/2006/relationships/hyperlink" Target="https://chemicalsafety.ilo.org/dyn/icsc/showcard.display?p_card_id=1158&amp;p_lang=en" TargetMode="External"/><Relationship Id="rId4891" Type="http://schemas.openxmlformats.org/officeDocument/2006/relationships/hyperlink" Target="https://www.google.com/search?q=66332-96-5+SDS+safety+data+sheet+filetype:pdf" TargetMode="External"/><Relationship Id="rId5528" Type="http://schemas.openxmlformats.org/officeDocument/2006/relationships/hyperlink" Target="https://chem.echa.europa.eu/substance-search?searchText=64741-97-5" TargetMode="External"/><Relationship Id="rId3079" Type="http://schemas.openxmlformats.org/officeDocument/2006/relationships/hyperlink" Target="https://www.google.com/search?q=100-79-8+SDS+safety+data+sheet+filetype:pdf" TargetMode="External"/><Relationship Id="rId3493" Type="http://schemas.openxmlformats.org/officeDocument/2006/relationships/hyperlink" Target="https://chemicalsafety.ilo.org/dyn/icsc/showcard.display?p_card_id=0897&amp;p_lang=en" TargetMode="External"/><Relationship Id="rId4544" Type="http://schemas.openxmlformats.org/officeDocument/2006/relationships/hyperlink" Target="https://chem.echa.europa.eu/substance-search?searchText=149-91-7" TargetMode="External"/><Relationship Id="rId5942" Type="http://schemas.openxmlformats.org/officeDocument/2006/relationships/hyperlink" Target="https://chemicalsafety.ilo.org/dyn/icsc/showcard.display?p_card_id=1539&amp;p_lang=tr" TargetMode="External"/><Relationship Id="rId2095" Type="http://schemas.openxmlformats.org/officeDocument/2006/relationships/hyperlink" Target="https://www.google.com/search?q=109-66-0+SDS+safety+data+sheet+filetype:pdf" TargetMode="External"/><Relationship Id="rId3146" Type="http://schemas.openxmlformats.org/officeDocument/2006/relationships/hyperlink" Target="https://chemicalsafety.ilo.org/dyn/icsc/showcard.display?p_card_id=0807&amp;p_lang=tr" TargetMode="External"/><Relationship Id="rId481" Type="http://schemas.openxmlformats.org/officeDocument/2006/relationships/hyperlink" Target="https://chemicalsafety.ilo.org/dyn/icsc/showcard.display?p_card_id=0121&amp;p_lang=en" TargetMode="External"/><Relationship Id="rId2162" Type="http://schemas.openxmlformats.org/officeDocument/2006/relationships/hyperlink" Target="https://chemicalsafety.ilo.org/dyn/icsc/showcard.display?p_card_id=0552&amp;p_lang=tr" TargetMode="External"/><Relationship Id="rId3560" Type="http://schemas.openxmlformats.org/officeDocument/2006/relationships/hyperlink" Target="https://chem.echa.europa.eu/substance-search?searchText=1310-65-2" TargetMode="External"/><Relationship Id="rId4611" Type="http://schemas.openxmlformats.org/officeDocument/2006/relationships/hyperlink" Target="https://www.google.com/search?q=7440-70-2+SDS+safety+data+sheet+filetype:pdf" TargetMode="External"/><Relationship Id="rId6369" Type="http://schemas.openxmlformats.org/officeDocument/2006/relationships/hyperlink" Target="https://chemicalsafety.ilo.org/dyn/icsc/showcard.display?p_card_id=1655&amp;p_lang=en" TargetMode="External"/><Relationship Id="rId134" Type="http://schemas.openxmlformats.org/officeDocument/2006/relationships/hyperlink" Target="https://chemicalsafety.ilo.org/dyn/icsc/showcard.display?p_card_id=0034&amp;p_lang=tr" TargetMode="External"/><Relationship Id="rId3213" Type="http://schemas.openxmlformats.org/officeDocument/2006/relationships/hyperlink" Target="https://chemicalsafety.ilo.org/dyn/icsc/showcard.display?p_card_id=0824&amp;p_lang=en" TargetMode="External"/><Relationship Id="rId6783" Type="http://schemas.openxmlformats.org/officeDocument/2006/relationships/hyperlink" Target="https://www.google.com/search?q=13071-79-9+SDS+safety+data+sheet+filetype:pdf" TargetMode="External"/><Relationship Id="rId2979" Type="http://schemas.openxmlformats.org/officeDocument/2006/relationships/hyperlink" Target="https://www.google.com/search?q=7778-44-1+SDS+safety+data+sheet+filetype:pdf" TargetMode="External"/><Relationship Id="rId5385" Type="http://schemas.openxmlformats.org/officeDocument/2006/relationships/hyperlink" Target="https://chemicalsafety.ilo.org/dyn/icsc/showcard.display?p_card_id=1394&amp;p_lang=en" TargetMode="External"/><Relationship Id="rId6436" Type="http://schemas.openxmlformats.org/officeDocument/2006/relationships/hyperlink" Target="https://chem.echa.europa.eu/substance-search?searchText=83-32-9" TargetMode="External"/><Relationship Id="rId201" Type="http://schemas.openxmlformats.org/officeDocument/2006/relationships/hyperlink" Target="https://chemicalsafety.ilo.org/dyn/icsc/showcard.display?p_card_id=0051&amp;p_lang=en" TargetMode="External"/><Relationship Id="rId1995" Type="http://schemas.openxmlformats.org/officeDocument/2006/relationships/hyperlink" Target="https://www.google.com/search?q=120-78-5+SDS+safety+data+sheet+filetype:pdf" TargetMode="External"/><Relationship Id="rId5038" Type="http://schemas.openxmlformats.org/officeDocument/2006/relationships/hyperlink" Target="https://chemicalsafety.ilo.org/dyn/icsc/showcard.display?p_card_id=1302&amp;p_lang=tr" TargetMode="External"/><Relationship Id="rId5452" Type="http://schemas.openxmlformats.org/officeDocument/2006/relationships/hyperlink" Target="https://chem.echa.europa.eu/substance-search?searchText=99-08-1" TargetMode="External"/><Relationship Id="rId6503" Type="http://schemas.openxmlformats.org/officeDocument/2006/relationships/hyperlink" Target="https://www.google.com/search?q=7759-02-6+SDS+safety+data+sheet+filetype:pdf" TargetMode="External"/><Relationship Id="rId1648" Type="http://schemas.openxmlformats.org/officeDocument/2006/relationships/hyperlink" Target="https://chem.echa.europa.eu/substance-search?searchText=97-00-7" TargetMode="External"/><Relationship Id="rId4054" Type="http://schemas.openxmlformats.org/officeDocument/2006/relationships/hyperlink" Target="https://chemicalsafety.ilo.org/dyn/icsc/showcard.display?p_card_id=1044&amp;p_lang=tr" TargetMode="External"/><Relationship Id="rId5105" Type="http://schemas.openxmlformats.org/officeDocument/2006/relationships/hyperlink" Target="https://chemicalsafety.ilo.org/dyn/icsc/showcard.display?p_card_id=1321&amp;p_lang=en" TargetMode="External"/><Relationship Id="rId3070" Type="http://schemas.openxmlformats.org/officeDocument/2006/relationships/hyperlink" Target="https://chemicalsafety.ilo.org/dyn/icsc/showcard.display?p_card_id=0788&amp;p_lang=tr" TargetMode="External"/><Relationship Id="rId4121" Type="http://schemas.openxmlformats.org/officeDocument/2006/relationships/hyperlink" Target="https://chemicalsafety.ilo.org/dyn/icsc/showcard.display?p_card_id=1062&amp;p_lang=en" TargetMode="External"/><Relationship Id="rId1715" Type="http://schemas.openxmlformats.org/officeDocument/2006/relationships/hyperlink" Target="https://www.google.com/search?q=126-72-7+SDS+safety+data+sheet+filetype:pdf" TargetMode="External"/><Relationship Id="rId6293" Type="http://schemas.openxmlformats.org/officeDocument/2006/relationships/hyperlink" Target="https://chemicalsafety.ilo.org/dyn/icsc/showcard.display?p_card_id=1630&amp;p_lang=en" TargetMode="External"/><Relationship Id="rId3887" Type="http://schemas.openxmlformats.org/officeDocument/2006/relationships/hyperlink" Target="https://www.google.com/search?q=10099-74-8+SDS+safety+data+sheet+filetype:pdf" TargetMode="External"/><Relationship Id="rId4938" Type="http://schemas.openxmlformats.org/officeDocument/2006/relationships/hyperlink" Target="https://chemicalsafety.ilo.org/dyn/icsc/showcard.display?p_card_id=1277&amp;p_lang=tr" TargetMode="External"/><Relationship Id="rId2489" Type="http://schemas.openxmlformats.org/officeDocument/2006/relationships/hyperlink" Target="https://chemicalsafety.ilo.org/dyn/icsc/showcard.display?p_card_id=0637&amp;p_lang=en" TargetMode="External"/><Relationship Id="rId3954" Type="http://schemas.openxmlformats.org/officeDocument/2006/relationships/hyperlink" Target="https://chemicalsafety.ilo.org/dyn/icsc/showcard.display?p_card_id=1019&amp;p_lang=tr" TargetMode="External"/><Relationship Id="rId6360" Type="http://schemas.openxmlformats.org/officeDocument/2006/relationships/hyperlink" Target="https://chem.echa.europa.eu/substance-search?searchText=95-85-2" TargetMode="External"/><Relationship Id="rId875" Type="http://schemas.openxmlformats.org/officeDocument/2006/relationships/hyperlink" Target="https://www.google.com/search?q=7783-70-2+SDS+safety+data+sheet+filetype:pdf" TargetMode="External"/><Relationship Id="rId2556" Type="http://schemas.openxmlformats.org/officeDocument/2006/relationships/hyperlink" Target="https://chem.echa.europa.eu/substance-search?searchText=55-38-9" TargetMode="External"/><Relationship Id="rId2970" Type="http://schemas.openxmlformats.org/officeDocument/2006/relationships/hyperlink" Target="https://chemicalsafety.ilo.org/dyn/icsc/showcard.display?p_card_id=0763&amp;p_lang=tr" TargetMode="External"/><Relationship Id="rId3607" Type="http://schemas.openxmlformats.org/officeDocument/2006/relationships/hyperlink" Target="https://www.google.com/search?q=300-76-5+SDS+safety+data+sheet+filetype:pdf" TargetMode="External"/><Relationship Id="rId6013" Type="http://schemas.openxmlformats.org/officeDocument/2006/relationships/hyperlink" Target="https://chemicalsafety.ilo.org/dyn/icsc/showcard.display?p_card_id=1558&amp;p_lang=en" TargetMode="External"/><Relationship Id="rId528" Type="http://schemas.openxmlformats.org/officeDocument/2006/relationships/hyperlink" Target="https://chem.echa.europa.eu/substance-search?searchText=75-00-3" TargetMode="External"/><Relationship Id="rId942" Type="http://schemas.openxmlformats.org/officeDocument/2006/relationships/hyperlink" Target="https://chemicalsafety.ilo.org/dyn/icsc/showcard.display?p_card_id=0237&amp;p_lang=tr" TargetMode="External"/><Relationship Id="rId1158" Type="http://schemas.openxmlformats.org/officeDocument/2006/relationships/hyperlink" Target="https://chemicalsafety.ilo.org/dyn/icsc/showcard.display?p_card_id=0291&amp;p_lang=tr" TargetMode="External"/><Relationship Id="rId1572" Type="http://schemas.openxmlformats.org/officeDocument/2006/relationships/hyperlink" Target="https://chem.echa.europa.eu/substance-search?searchText=106-98-9" TargetMode="External"/><Relationship Id="rId2209" Type="http://schemas.openxmlformats.org/officeDocument/2006/relationships/hyperlink" Target="https://chemicalsafety.ilo.org/dyn/icsc/showcard.display?p_card_id=0564&amp;p_lang=en" TargetMode="External"/><Relationship Id="rId2623" Type="http://schemas.openxmlformats.org/officeDocument/2006/relationships/hyperlink" Target="https://www.google.com/search?q=107-19-7+SDS+safety+data+sheet+filetype:pdf" TargetMode="External"/><Relationship Id="rId5779" Type="http://schemas.openxmlformats.org/officeDocument/2006/relationships/hyperlink" Target="https://www.google.com/search?q=60-11-7+SDS+safety+data+sheet+filetype:pdf" TargetMode="External"/><Relationship Id="rId1225" Type="http://schemas.openxmlformats.org/officeDocument/2006/relationships/hyperlink" Target="https://chemicalsafety.ilo.org/dyn/icsc/showcard.display?p_card_id=0308&amp;p_lang=en" TargetMode="External"/><Relationship Id="rId3397" Type="http://schemas.openxmlformats.org/officeDocument/2006/relationships/hyperlink" Target="https://chemicalsafety.ilo.org/dyn/icsc/showcard.display?p_card_id=0873&amp;p_lang=en" TargetMode="External"/><Relationship Id="rId4795" Type="http://schemas.openxmlformats.org/officeDocument/2006/relationships/hyperlink" Target="https://www.google.com/search?q=63989-69-5+SDS+safety+data+sheet+filetype:pdf" TargetMode="External"/><Relationship Id="rId5846" Type="http://schemas.openxmlformats.org/officeDocument/2006/relationships/hyperlink" Target="https://chemicalsafety.ilo.org/dyn/icsc/showcard.display?p_card_id=1515&amp;p_lang=tr" TargetMode="External"/><Relationship Id="rId4448" Type="http://schemas.openxmlformats.org/officeDocument/2006/relationships/hyperlink" Target="https://chem.echa.europa.eu/substance-search?searchText=142-96-1" TargetMode="External"/><Relationship Id="rId4862" Type="http://schemas.openxmlformats.org/officeDocument/2006/relationships/hyperlink" Target="https://chemicalsafety.ilo.org/dyn/icsc/showcard.display?p_card_id=1258&amp;p_lang=tr" TargetMode="External"/><Relationship Id="rId5913" Type="http://schemas.openxmlformats.org/officeDocument/2006/relationships/hyperlink" Target="https://chemicalsafety.ilo.org/dyn/icsc/showcard.display?p_card_id=1532&amp;p_lang=en" TargetMode="External"/><Relationship Id="rId3464" Type="http://schemas.openxmlformats.org/officeDocument/2006/relationships/hyperlink" Target="https://chem.echa.europa.eu/substance-search?searchText=106-35-4" TargetMode="External"/><Relationship Id="rId4515" Type="http://schemas.openxmlformats.org/officeDocument/2006/relationships/hyperlink" Target="https://www.google.com/search?q=142-62-1+SDS+safety+data+sheet+filetype:pdf" TargetMode="External"/><Relationship Id="rId385" Type="http://schemas.openxmlformats.org/officeDocument/2006/relationships/hyperlink" Target="https://chemicalsafety.ilo.org/dyn/icsc/showcard.display?p_card_id=0097&amp;p_lang=en" TargetMode="External"/><Relationship Id="rId2066" Type="http://schemas.openxmlformats.org/officeDocument/2006/relationships/hyperlink" Target="https://chemicalsafety.ilo.org/dyn/icsc/showcard.display?p_card_id=0527&amp;p_lang=tr" TargetMode="External"/><Relationship Id="rId2480" Type="http://schemas.openxmlformats.org/officeDocument/2006/relationships/hyperlink" Target="https://chem.echa.europa.eu/substance-search?searchText=80-05-7" TargetMode="External"/><Relationship Id="rId3117" Type="http://schemas.openxmlformats.org/officeDocument/2006/relationships/hyperlink" Target="https://chemicalsafety.ilo.org/dyn/icsc/showcard.display?p_card_id=0800&amp;p_lang=en" TargetMode="External"/><Relationship Id="rId3531" Type="http://schemas.openxmlformats.org/officeDocument/2006/relationships/hyperlink" Target="https://www.google.com/search?q=108-20-3+SDS+safety+data+sheet+filetype:pdf" TargetMode="External"/><Relationship Id="rId6687" Type="http://schemas.openxmlformats.org/officeDocument/2006/relationships/hyperlink" Target="https://www.google.com/search?q=29590-42-9+SDS+safety+data+sheet+filetype:pdf" TargetMode="External"/><Relationship Id="rId452" Type="http://schemas.openxmlformats.org/officeDocument/2006/relationships/hyperlink" Target="https://chem.echa.europa.eu/substance-search?searchText=78-83-1" TargetMode="External"/><Relationship Id="rId1082" Type="http://schemas.openxmlformats.org/officeDocument/2006/relationships/hyperlink" Target="https://chemicalsafety.ilo.org/dyn/icsc/showcard.display?p_card_id=0272&amp;p_lang=tr" TargetMode="External"/><Relationship Id="rId2133" Type="http://schemas.openxmlformats.org/officeDocument/2006/relationships/hyperlink" Target="https://chemicalsafety.ilo.org/dyn/icsc/showcard.display?p_card_id=0544&amp;p_lang=en" TargetMode="External"/><Relationship Id="rId5289" Type="http://schemas.openxmlformats.org/officeDocument/2006/relationships/hyperlink" Target="https://chemicalsafety.ilo.org/dyn/icsc/showcard.display?p_card_id=1369&amp;p_lang=en" TargetMode="External"/><Relationship Id="rId6754" Type="http://schemas.openxmlformats.org/officeDocument/2006/relationships/hyperlink" Target="https://chemicalsafety.ilo.org/dyn/icsc/showcard.display?p_card_id=1761&amp;p_lang=tr" TargetMode="External"/><Relationship Id="rId105" Type="http://schemas.openxmlformats.org/officeDocument/2006/relationships/hyperlink" Target="https://chemicalsafety.ilo.org/dyn/icsc/showcard.display?p_card_id=0027&amp;p_lang=en" TargetMode="External"/><Relationship Id="rId2200" Type="http://schemas.openxmlformats.org/officeDocument/2006/relationships/hyperlink" Target="https://chem.echa.europa.eu/substance-search?searchText=506-93-4" TargetMode="External"/><Relationship Id="rId5356" Type="http://schemas.openxmlformats.org/officeDocument/2006/relationships/hyperlink" Target="https://chem.echa.europa.eu/substance-search?searchText=106-43-4" TargetMode="External"/><Relationship Id="rId6407" Type="http://schemas.openxmlformats.org/officeDocument/2006/relationships/hyperlink" Target="https://www.google.com/search?q=32536-52-0+SDS+safety+data+sheet+filetype:pdf" TargetMode="External"/><Relationship Id="rId1899" Type="http://schemas.openxmlformats.org/officeDocument/2006/relationships/hyperlink" Target="https://www.google.com/search?q=91-94-1+SDS+safety+data+sheet+filetype:pdf" TargetMode="External"/><Relationship Id="rId4372" Type="http://schemas.openxmlformats.org/officeDocument/2006/relationships/hyperlink" Target="https://chem.echa.europa.eu/substance-search?searchText=103-71-9" TargetMode="External"/><Relationship Id="rId5009" Type="http://schemas.openxmlformats.org/officeDocument/2006/relationships/hyperlink" Target="https://chemicalsafety.ilo.org/dyn/icsc/showcard.display?p_card_id=1295&amp;p_lang=en" TargetMode="External"/><Relationship Id="rId5770" Type="http://schemas.openxmlformats.org/officeDocument/2006/relationships/hyperlink" Target="https://chemicalsafety.ilo.org/dyn/icsc/showcard.display?p_card_id=1496&amp;p_lang=tr" TargetMode="External"/><Relationship Id="rId6821" Type="http://schemas.openxmlformats.org/officeDocument/2006/relationships/hyperlink" Target="https://chemicalsafety.ilo.org/dyn/icsc/showcard.display?p_card_id=1778&amp;p_lang=en" TargetMode="External"/><Relationship Id="rId1966" Type="http://schemas.openxmlformats.org/officeDocument/2006/relationships/hyperlink" Target="https://chemicalsafety.ilo.org/dyn/icsc/showcard.display?p_card_id=0498&amp;p_lang=tr" TargetMode="External"/><Relationship Id="rId4025" Type="http://schemas.openxmlformats.org/officeDocument/2006/relationships/hyperlink" Target="https://chemicalsafety.ilo.org/dyn/icsc/showcard.display?p_card_id=1037&amp;p_lang=en" TargetMode="External"/><Relationship Id="rId5423" Type="http://schemas.openxmlformats.org/officeDocument/2006/relationships/hyperlink" Target="https://www.google.com/search?q=7440-33-7+SDS+safety+data+sheet+filetype:pdf" TargetMode="External"/><Relationship Id="rId1619" Type="http://schemas.openxmlformats.org/officeDocument/2006/relationships/hyperlink" Target="https://www.google.com/search?q=1305-62-0+SDS+safety+data+sheet+filetype:pdf" TargetMode="External"/><Relationship Id="rId3041" Type="http://schemas.openxmlformats.org/officeDocument/2006/relationships/hyperlink" Target="https://chemicalsafety.ilo.org/dyn/icsc/showcard.display?p_card_id=0781&amp;p_lang=en" TargetMode="External"/><Relationship Id="rId6197" Type="http://schemas.openxmlformats.org/officeDocument/2006/relationships/hyperlink" Target="https://chemicalsafety.ilo.org/dyn/icsc/showcard.display?p_card_id=1604&amp;p_lang=en" TargetMode="External"/><Relationship Id="rId3858" Type="http://schemas.openxmlformats.org/officeDocument/2006/relationships/hyperlink" Target="https://chemicalsafety.ilo.org/dyn/icsc/showcard.display?p_card_id=0990&amp;p_lang=tr" TargetMode="External"/><Relationship Id="rId4909" Type="http://schemas.openxmlformats.org/officeDocument/2006/relationships/hyperlink" Target="https://chemicalsafety.ilo.org/dyn/icsc/showcard.display?p_card_id=1270&amp;p_lang=en" TargetMode="External"/><Relationship Id="rId6264" Type="http://schemas.openxmlformats.org/officeDocument/2006/relationships/hyperlink" Target="https://chem.echa.europa.eu/substance-search?searchText=1455-21-6" TargetMode="External"/><Relationship Id="rId779" Type="http://schemas.openxmlformats.org/officeDocument/2006/relationships/hyperlink" Target="https://www.google.com/search?q=SLAG+WOOL+SDS+safety+data+sheet+filetype:pdf" TargetMode="External"/><Relationship Id="rId5280" Type="http://schemas.openxmlformats.org/officeDocument/2006/relationships/hyperlink" Target="https://chem.echa.europa.eu/substance-search?searchText=603-34-9" TargetMode="External"/><Relationship Id="rId6331" Type="http://schemas.openxmlformats.org/officeDocument/2006/relationships/hyperlink" Target="https://www.google.com/search?q=156-62-7+SDS+safety+data+sheet+filetype:pdf" TargetMode="External"/><Relationship Id="rId1476" Type="http://schemas.openxmlformats.org/officeDocument/2006/relationships/hyperlink" Target="https://chem.echa.europa.eu/substance-search?searchText=15972-60-8" TargetMode="External"/><Relationship Id="rId2874" Type="http://schemas.openxmlformats.org/officeDocument/2006/relationships/hyperlink" Target="https://chemicalsafety.ilo.org/dyn/icsc/showcard.display?p_card_id=0739&amp;p_lang=tr" TargetMode="External"/><Relationship Id="rId3925" Type="http://schemas.openxmlformats.org/officeDocument/2006/relationships/hyperlink" Target="https://chemicalsafety.ilo.org/dyn/icsc/showcard.display?p_card_id=1012&amp;p_lang=en" TargetMode="External"/><Relationship Id="rId846" Type="http://schemas.openxmlformats.org/officeDocument/2006/relationships/hyperlink" Target="https://chemicalsafety.ilo.org/dyn/icsc/showcard.display?p_card_id=0213&amp;p_lang=tr" TargetMode="External"/><Relationship Id="rId1129" Type="http://schemas.openxmlformats.org/officeDocument/2006/relationships/hyperlink" Target="https://chemicalsafety.ilo.org/dyn/icsc/showcard.display?p_card_id=0284&amp;p_lang=en" TargetMode="External"/><Relationship Id="rId1890" Type="http://schemas.openxmlformats.org/officeDocument/2006/relationships/hyperlink" Target="https://chemicalsafety.ilo.org/dyn/icsc/showcard.display?p_card_id=0479&amp;p_lang=tr" TargetMode="External"/><Relationship Id="rId2527" Type="http://schemas.openxmlformats.org/officeDocument/2006/relationships/hyperlink" Target="https://www.google.com/search?q=10103-61-4+SDS+safety+data+sheet+filetype:pdf" TargetMode="External"/><Relationship Id="rId2941" Type="http://schemas.openxmlformats.org/officeDocument/2006/relationships/hyperlink" Target="https://chemicalsafety.ilo.org/dyn/icsc/showcard.display?p_card_id=0756&amp;p_lang=en" TargetMode="External"/><Relationship Id="rId5000" Type="http://schemas.openxmlformats.org/officeDocument/2006/relationships/hyperlink" Target="https://chem.echa.europa.eu/substance-search?searchText=103-23-1" TargetMode="External"/><Relationship Id="rId913" Type="http://schemas.openxmlformats.org/officeDocument/2006/relationships/hyperlink" Target="https://chemicalsafety.ilo.org/dyn/icsc/showcard.display?p_card_id=0230&amp;p_lang=en" TargetMode="External"/><Relationship Id="rId1543" Type="http://schemas.openxmlformats.org/officeDocument/2006/relationships/hyperlink" Target="https://www.google.com/search?q=271-89-6+SDS+safety+data+sheet+filetype:pdf" TargetMode="External"/><Relationship Id="rId4699" Type="http://schemas.openxmlformats.org/officeDocument/2006/relationships/hyperlink" Target="https://www.google.com/search?q=26499-65-0+SDS+safety+data+sheet+filetype:pdf" TargetMode="External"/><Relationship Id="rId1610" Type="http://schemas.openxmlformats.org/officeDocument/2006/relationships/hyperlink" Target="https://chemicalsafety.ilo.org/dyn/icsc/showcard.display?p_card_id=0406&amp;p_lang=tr" TargetMode="External"/><Relationship Id="rId4766" Type="http://schemas.openxmlformats.org/officeDocument/2006/relationships/hyperlink" Target="https://chemicalsafety.ilo.org/dyn/icsc/showcard.display?p_card_id=1234&amp;p_lang=tr" TargetMode="External"/><Relationship Id="rId5817" Type="http://schemas.openxmlformats.org/officeDocument/2006/relationships/hyperlink" Target="https://chemicalsafety.ilo.org/dyn/icsc/showcard.display?p_card_id=1508&amp;p_lang=en" TargetMode="External"/><Relationship Id="rId3368" Type="http://schemas.openxmlformats.org/officeDocument/2006/relationships/hyperlink" Target="https://chem.echa.europa.eu/substance-search?searchText=50-99-7" TargetMode="External"/><Relationship Id="rId3782" Type="http://schemas.openxmlformats.org/officeDocument/2006/relationships/hyperlink" Target="https://chemicalsafety.ilo.org/dyn/icsc/showcard.display?p_card_id=0969&amp;p_lang=tr" TargetMode="External"/><Relationship Id="rId4419" Type="http://schemas.openxmlformats.org/officeDocument/2006/relationships/hyperlink" Target="https://www.google.com/search?q=299-86-5+SDS+safety+data+sheet+filetype:pdf" TargetMode="External"/><Relationship Id="rId4833" Type="http://schemas.openxmlformats.org/officeDocument/2006/relationships/hyperlink" Target="https://chemicalsafety.ilo.org/dyn/icsc/showcard.display?p_card_id=1251&amp;p_lang=en" TargetMode="External"/><Relationship Id="rId289" Type="http://schemas.openxmlformats.org/officeDocument/2006/relationships/hyperlink" Target="https://chemicalsafety.ilo.org/dyn/icsc/showcard.display?p_card_id=0073&amp;p_lang=en" TargetMode="External"/><Relationship Id="rId2384" Type="http://schemas.openxmlformats.org/officeDocument/2006/relationships/hyperlink" Target="https://chem.echa.europa.eu/substance-search?searchText=91-59-8" TargetMode="External"/><Relationship Id="rId3435" Type="http://schemas.openxmlformats.org/officeDocument/2006/relationships/hyperlink" Target="https://www.google.com/search?q=2813-95-8+SDS+safety+data+sheet+filetype:pdf" TargetMode="External"/><Relationship Id="rId356" Type="http://schemas.openxmlformats.org/officeDocument/2006/relationships/hyperlink" Target="https://chem.echa.europa.eu/substance-search?searchText=74-86-2" TargetMode="External"/><Relationship Id="rId770" Type="http://schemas.openxmlformats.org/officeDocument/2006/relationships/hyperlink" Target="https://chemicalsafety.ilo.org/dyn/icsc/showcard.display?p_card_id=0193&amp;p_lang=tr" TargetMode="External"/><Relationship Id="rId2037" Type="http://schemas.openxmlformats.org/officeDocument/2006/relationships/hyperlink" Target="https://chemicalsafety.ilo.org/dyn/icsc/showcard.display?p_card_id=0519&amp;p_lang=en" TargetMode="External"/><Relationship Id="rId2451" Type="http://schemas.openxmlformats.org/officeDocument/2006/relationships/hyperlink" Target="https://www.google.com/search?q=7440-01-9+SDS+safety+data+sheet+filetype:pdf" TargetMode="External"/><Relationship Id="rId4900" Type="http://schemas.openxmlformats.org/officeDocument/2006/relationships/hyperlink" Target="https://chem.echa.europa.eu/substance-search?searchText=90035-08-8" TargetMode="External"/><Relationship Id="rId6658" Type="http://schemas.openxmlformats.org/officeDocument/2006/relationships/hyperlink" Target="https://chemicalsafety.ilo.org/dyn/icsc/showcard.display?p_card_id=1736&amp;p_lang=tr" TargetMode="External"/><Relationship Id="rId423" Type="http://schemas.openxmlformats.org/officeDocument/2006/relationships/hyperlink" Target="https://www.google.com/search?q=92-52-4+SDS+safety+data+sheet+filetype:pdf" TargetMode="External"/><Relationship Id="rId1053" Type="http://schemas.openxmlformats.org/officeDocument/2006/relationships/hyperlink" Target="https://chemicalsafety.ilo.org/dyn/icsc/showcard.display?p_card_id=0265&amp;p_lang=en" TargetMode="External"/><Relationship Id="rId2104" Type="http://schemas.openxmlformats.org/officeDocument/2006/relationships/hyperlink" Target="https://chem.echa.europa.eu/substance-search?searchText=584-02-1" TargetMode="External"/><Relationship Id="rId3502" Type="http://schemas.openxmlformats.org/officeDocument/2006/relationships/hyperlink" Target="https://chemicalsafety.ilo.org/dyn/icsc/showcard.display?p_card_id=0899&amp;p_lang=tr" TargetMode="External"/><Relationship Id="rId5674" Type="http://schemas.openxmlformats.org/officeDocument/2006/relationships/hyperlink" Target="https://chemicalsafety.ilo.org/dyn/icsc/showcard.display?p_card_id=1470&amp;p_lang=tr" TargetMode="External"/><Relationship Id="rId6725" Type="http://schemas.openxmlformats.org/officeDocument/2006/relationships/hyperlink" Target="https://chemicalsafety.ilo.org/dyn/icsc/showcard.display?p_card_id=1754&amp;p_lang=en" TargetMode="External"/><Relationship Id="rId1120" Type="http://schemas.openxmlformats.org/officeDocument/2006/relationships/hyperlink" Target="https://chem.echa.europa.eu/substance-search?searchText=302-01-2" TargetMode="External"/><Relationship Id="rId4276" Type="http://schemas.openxmlformats.org/officeDocument/2006/relationships/hyperlink" Target="https://chem.echa.europa.eu/substance-search?searchText=75-43-4" TargetMode="External"/><Relationship Id="rId4690" Type="http://schemas.openxmlformats.org/officeDocument/2006/relationships/hyperlink" Target="https://chemicalsafety.ilo.org/dyn/icsc/showcard.display?p_card_id=1215&amp;p_lang=tr" TargetMode="External"/><Relationship Id="rId5327" Type="http://schemas.openxmlformats.org/officeDocument/2006/relationships/hyperlink" Target="https://www.google.com/search?q=74-96-4+SDS+safety+data+sheet+filetype:pdf" TargetMode="External"/><Relationship Id="rId5741" Type="http://schemas.openxmlformats.org/officeDocument/2006/relationships/hyperlink" Target="https://chemicalsafety.ilo.org/dyn/icsc/showcard.display?p_card_id=1489&amp;p_lang=en" TargetMode="External"/><Relationship Id="rId1937" Type="http://schemas.openxmlformats.org/officeDocument/2006/relationships/hyperlink" Target="https://chemicalsafety.ilo.org/dyn/icsc/showcard.display?p_card_id=0491&amp;p_lang=en" TargetMode="External"/><Relationship Id="rId3292" Type="http://schemas.openxmlformats.org/officeDocument/2006/relationships/hyperlink" Target="https://chem.echa.europa.eu/substance-search?searchText=79-04-9" TargetMode="External"/><Relationship Id="rId4343" Type="http://schemas.openxmlformats.org/officeDocument/2006/relationships/hyperlink" Target="https://www.google.com/search?q=112-24-3+SDS+safety+data+sheet+filetype:pdf" TargetMode="External"/><Relationship Id="rId4410" Type="http://schemas.openxmlformats.org/officeDocument/2006/relationships/hyperlink" Target="https://chemicalsafety.ilo.org/dyn/icsc/showcard.display?p_card_id=1141&amp;p_lang=tr" TargetMode="External"/><Relationship Id="rId280" Type="http://schemas.openxmlformats.org/officeDocument/2006/relationships/hyperlink" Target="https://chem.echa.europa.eu/substance-search?searchText=108-95-2" TargetMode="External"/><Relationship Id="rId3012" Type="http://schemas.openxmlformats.org/officeDocument/2006/relationships/hyperlink" Target="https://chem.echa.europa.eu/substance-search?searchText=104-15-4" TargetMode="External"/><Relationship Id="rId6168" Type="http://schemas.openxmlformats.org/officeDocument/2006/relationships/hyperlink" Target="https://chem.echa.europa.eu/substance-search?searchText=7440-25-7" TargetMode="External"/><Relationship Id="rId6582" Type="http://schemas.openxmlformats.org/officeDocument/2006/relationships/hyperlink" Target="https://chemicalsafety.ilo.org/dyn/icsc/showcard.display?p_card_id=1716&amp;p_lang=tr" TargetMode="External"/><Relationship Id="rId5184" Type="http://schemas.openxmlformats.org/officeDocument/2006/relationships/hyperlink" Target="https://chem.echa.europa.eu/substance-search?searchText=25154-55-6" TargetMode="External"/><Relationship Id="rId6235" Type="http://schemas.openxmlformats.org/officeDocument/2006/relationships/hyperlink" Target="https://www.google.com/search?q=335-67-1+SDS+safety+data+sheet+filetype:pdf" TargetMode="External"/><Relationship Id="rId2778" Type="http://schemas.openxmlformats.org/officeDocument/2006/relationships/hyperlink" Target="https://chemicalsafety.ilo.org/dyn/icsc/showcard.display?p_card_id=0715&amp;p_lang=tr" TargetMode="External"/><Relationship Id="rId3829" Type="http://schemas.openxmlformats.org/officeDocument/2006/relationships/hyperlink" Target="https://chemicalsafety.ilo.org/dyn/icsc/showcard.display?p_card_id=0982&amp;p_lang=en" TargetMode="External"/><Relationship Id="rId1794" Type="http://schemas.openxmlformats.org/officeDocument/2006/relationships/hyperlink" Target="https://chemicalsafety.ilo.org/dyn/icsc/showcard.display?p_card_id=0454&amp;p_lang=tr" TargetMode="External"/><Relationship Id="rId2845" Type="http://schemas.openxmlformats.org/officeDocument/2006/relationships/hyperlink" Target="https://chemicalsafety.ilo.org/dyn/icsc/showcard.display?p_card_id=0732&amp;p_lang=en" TargetMode="External"/><Relationship Id="rId5251" Type="http://schemas.openxmlformats.org/officeDocument/2006/relationships/hyperlink" Target="https://www.google.com/search?q=101200-48-0+SDS+safety+data+sheet+filetype:pdf" TargetMode="External"/><Relationship Id="rId6302" Type="http://schemas.openxmlformats.org/officeDocument/2006/relationships/hyperlink" Target="https://chemicalsafety.ilo.org/dyn/icsc/showcard.display?p_card_id=1632&amp;p_lang=tr" TargetMode="External"/><Relationship Id="rId86" Type="http://schemas.openxmlformats.org/officeDocument/2006/relationships/hyperlink" Target="https://chemicalsafety.ilo.org/dyn/icsc/showcard.display?p_card_id=0022&amp;p_lang=tr" TargetMode="External"/><Relationship Id="rId817" Type="http://schemas.openxmlformats.org/officeDocument/2006/relationships/hyperlink" Target="https://chemicalsafety.ilo.org/dyn/icsc/showcard.display?p_card_id=0205&amp;p_lang=en" TargetMode="External"/><Relationship Id="rId1447" Type="http://schemas.openxmlformats.org/officeDocument/2006/relationships/hyperlink" Target="https://www.google.com/search?q=64-19-7+SDS+safety+data+sheet+filetype:pdf" TargetMode="External"/><Relationship Id="rId1861" Type="http://schemas.openxmlformats.org/officeDocument/2006/relationships/hyperlink" Target="https://chemicalsafety.ilo.org/dyn/icsc/showcard.display?p_card_id=0472&amp;p_lang=en" TargetMode="External"/><Relationship Id="rId2912" Type="http://schemas.openxmlformats.org/officeDocument/2006/relationships/hyperlink" Target="https://chem.echa.europa.eu/substance-search?searchText=30560-19-1" TargetMode="External"/><Relationship Id="rId1514" Type="http://schemas.openxmlformats.org/officeDocument/2006/relationships/hyperlink" Target="https://chemicalsafety.ilo.org/dyn/icsc/showcard.display?p_card_id=0381&amp;p_lang=tr" TargetMode="External"/><Relationship Id="rId3686" Type="http://schemas.openxmlformats.org/officeDocument/2006/relationships/hyperlink" Target="https://chemicalsafety.ilo.org/dyn/icsc/showcard.display?p_card_id=0945&amp;p_lang=tr" TargetMode="External"/><Relationship Id="rId6092" Type="http://schemas.openxmlformats.org/officeDocument/2006/relationships/hyperlink" Target="https://chem.echa.europa.eu/substance-search?searchText=1309-37-1" TargetMode="External"/><Relationship Id="rId2288" Type="http://schemas.openxmlformats.org/officeDocument/2006/relationships/hyperlink" Target="https://chem.echa.europa.eu/substance-search?searchText=126-73-8" TargetMode="External"/><Relationship Id="rId3339" Type="http://schemas.openxmlformats.org/officeDocument/2006/relationships/hyperlink" Target="https://www.google.com/search?q=542-92-7+SDS+safety+data+sheet+filetype:pdf" TargetMode="External"/><Relationship Id="rId4737" Type="http://schemas.openxmlformats.org/officeDocument/2006/relationships/hyperlink" Target="https://chemicalsafety.ilo.org/dyn/icsc/showcard.display?p_card_id=1227&amp;p_lang=en" TargetMode="External"/><Relationship Id="rId3753" Type="http://schemas.openxmlformats.org/officeDocument/2006/relationships/hyperlink" Target="https://chemicalsafety.ilo.org/dyn/icsc/showcard.display?p_card_id=0962&amp;p_lang=en" TargetMode="External"/><Relationship Id="rId4804" Type="http://schemas.openxmlformats.org/officeDocument/2006/relationships/hyperlink" Target="https://chem.echa.europa.eu/substance-search?searchText=16893-85-9" TargetMode="External"/><Relationship Id="rId674" Type="http://schemas.openxmlformats.org/officeDocument/2006/relationships/hyperlink" Target="https://chemicalsafety.ilo.org/dyn/icsc/showcard.display?p_card_id=0169&amp;p_lang=tr" TargetMode="External"/><Relationship Id="rId2355" Type="http://schemas.openxmlformats.org/officeDocument/2006/relationships/hyperlink" Target="https://www.google.com/search?q=1314-84-7+SDS+safety+data+sheet+filetype:pdf" TargetMode="External"/><Relationship Id="rId3406" Type="http://schemas.openxmlformats.org/officeDocument/2006/relationships/hyperlink" Target="https://chemicalsafety.ilo.org/dyn/icsc/showcard.display?p_card_id=0875&amp;p_lang=tr" TargetMode="External"/><Relationship Id="rId3820" Type="http://schemas.openxmlformats.org/officeDocument/2006/relationships/hyperlink" Target="https://chem.echa.europa.eu/substance-search?searchText=7487-94-7" TargetMode="External"/><Relationship Id="rId327" Type="http://schemas.openxmlformats.org/officeDocument/2006/relationships/hyperlink" Target="https://www.google.com/search?q=75-01-4+SDS+safety+data+sheet+filetype:pdf" TargetMode="External"/><Relationship Id="rId741" Type="http://schemas.openxmlformats.org/officeDocument/2006/relationships/hyperlink" Target="https://chemicalsafety.ilo.org/dyn/icsc/showcard.display?p_card_id=0186&amp;p_lang=en" TargetMode="External"/><Relationship Id="rId1371" Type="http://schemas.openxmlformats.org/officeDocument/2006/relationships/hyperlink" Target="https://www.google.com/search?q=108-70-3+SDS+safety+data+sheet+filetype:pdf" TargetMode="External"/><Relationship Id="rId2008" Type="http://schemas.openxmlformats.org/officeDocument/2006/relationships/hyperlink" Target="https://chem.echa.europa.eu/substance-search?searchText=101-14-4" TargetMode="External"/><Relationship Id="rId2422" Type="http://schemas.openxmlformats.org/officeDocument/2006/relationships/hyperlink" Target="https://chemicalsafety.ilo.org/dyn/icsc/showcard.display?p_card_id=0620&amp;p_lang=tr" TargetMode="External"/><Relationship Id="rId5578" Type="http://schemas.openxmlformats.org/officeDocument/2006/relationships/hyperlink" Target="https://chemicalsafety.ilo.org/dyn/icsc/showcard.display?p_card_id=1443&amp;p_lang=tr" TargetMode="External"/><Relationship Id="rId5992" Type="http://schemas.openxmlformats.org/officeDocument/2006/relationships/hyperlink" Target="https://chem.echa.europa.eu/substance-search?searchText=148-01-6" TargetMode="External"/><Relationship Id="rId6629" Type="http://schemas.openxmlformats.org/officeDocument/2006/relationships/hyperlink" Target="https://chemicalsafety.ilo.org/dyn/icsc/showcard.display?p_card_id=1729&amp;p_lang=en" TargetMode="External"/><Relationship Id="rId1024" Type="http://schemas.openxmlformats.org/officeDocument/2006/relationships/hyperlink" Target="https://chem.echa.europa.eu/substance-search?searchText=100-37-8" TargetMode="External"/><Relationship Id="rId4594" Type="http://schemas.openxmlformats.org/officeDocument/2006/relationships/hyperlink" Target="https://chemicalsafety.ilo.org/dyn/icsc/showcard.display?p_card_id=1188&amp;p_lang=tr" TargetMode="External"/><Relationship Id="rId5645" Type="http://schemas.openxmlformats.org/officeDocument/2006/relationships/hyperlink" Target="https://chemicalsafety.ilo.org/dyn/icsc/showcard.display?p_card_id=1462&amp;p_lang=en" TargetMode="External"/><Relationship Id="rId3196" Type="http://schemas.openxmlformats.org/officeDocument/2006/relationships/hyperlink" Target="https://chem.echa.europa.eu/substance-search?searchText=19624-22-7" TargetMode="External"/><Relationship Id="rId4247" Type="http://schemas.openxmlformats.org/officeDocument/2006/relationships/hyperlink" Target="https://www.google.com/search?q=150-76-5+SDS+safety+data+sheet+filetype:pdf" TargetMode="External"/><Relationship Id="rId4661" Type="http://schemas.openxmlformats.org/officeDocument/2006/relationships/hyperlink" Target="https://chemicalsafety.ilo.org/dyn/icsc/showcard.display?p_card_id=1208&amp;p_lang=en" TargetMode="External"/><Relationship Id="rId3263" Type="http://schemas.openxmlformats.org/officeDocument/2006/relationships/hyperlink" Target="https://www.google.com/search?q=75-63-8+SDS+safety+data+sheet+filetype:pdf" TargetMode="External"/><Relationship Id="rId4314" Type="http://schemas.openxmlformats.org/officeDocument/2006/relationships/hyperlink" Target="https://chemicalsafety.ilo.org/dyn/icsc/showcard.display?p_card_id=1116&amp;p_lang=tr" TargetMode="External"/><Relationship Id="rId5712" Type="http://schemas.openxmlformats.org/officeDocument/2006/relationships/hyperlink" Target="https://chem.echa.europa.eu/substance-search?searchText=10022-31-8" TargetMode="External"/><Relationship Id="rId184" Type="http://schemas.openxmlformats.org/officeDocument/2006/relationships/hyperlink" Target="https://chem.echa.europa.eu/substance-search?searchText=7782-41-4" TargetMode="External"/><Relationship Id="rId1908" Type="http://schemas.openxmlformats.org/officeDocument/2006/relationships/hyperlink" Target="https://chem.echa.europa.eu/substance-search?searchText=22224-92-6" TargetMode="External"/><Relationship Id="rId251" Type="http://schemas.openxmlformats.org/officeDocument/2006/relationships/hyperlink" Target="https://www.google.com/search?q=7786-81-4+SDS+safety+data+sheet+filetype:pdf" TargetMode="External"/><Relationship Id="rId3330" Type="http://schemas.openxmlformats.org/officeDocument/2006/relationships/hyperlink" Target="https://chemicalsafety.ilo.org/dyn/icsc/showcard.display?p_card_id=0855&amp;p_lang=tr" TargetMode="External"/><Relationship Id="rId5088" Type="http://schemas.openxmlformats.org/officeDocument/2006/relationships/hyperlink" Target="https://chem.echa.europa.eu/substance-search?searchText=10025-73-7" TargetMode="External"/><Relationship Id="rId6139" Type="http://schemas.openxmlformats.org/officeDocument/2006/relationships/hyperlink" Target="https://www.google.com/search?q=7778-18-9+SDS+safety+data+sheet+filetype:pdf" TargetMode="External"/><Relationship Id="rId6486" Type="http://schemas.openxmlformats.org/officeDocument/2006/relationships/hyperlink" Target="https://chemicalsafety.ilo.org/dyn/icsc/showcard.display?p_card_id=1687&amp;p_lang=tr" TargetMode="External"/><Relationship Id="rId6553" Type="http://schemas.openxmlformats.org/officeDocument/2006/relationships/hyperlink" Target="https://chemicalsafety.ilo.org/dyn/icsc/showcard.display?p_card_id=1709&amp;p_lang=en" TargetMode="External"/><Relationship Id="rId1698" Type="http://schemas.openxmlformats.org/officeDocument/2006/relationships/hyperlink" Target="https://chemicalsafety.ilo.org/dyn/icsc/showcard.display?p_card_id=0429&amp;p_lang=tr" TargetMode="External"/><Relationship Id="rId2749" Type="http://schemas.openxmlformats.org/officeDocument/2006/relationships/hyperlink" Target="https://chemicalsafety.ilo.org/dyn/icsc/showcard.display?p_card_id=0708&amp;p_lang=en" TargetMode="External"/><Relationship Id="rId5155" Type="http://schemas.openxmlformats.org/officeDocument/2006/relationships/hyperlink" Target="https://www.google.com/search?q=108-84-9+SDS+safety+data+sheet+filetype:pdf" TargetMode="External"/><Relationship Id="rId6206" Type="http://schemas.openxmlformats.org/officeDocument/2006/relationships/hyperlink" Target="https://chemicalsafety.ilo.org/dyn/icsc/showcard.display?p_card_id=1606&amp;p_lang=tr" TargetMode="External"/><Relationship Id="rId6620" Type="http://schemas.openxmlformats.org/officeDocument/2006/relationships/hyperlink" Target="https://chem.echa.europa.eu/substance-search?searchText=5392-40-5" TargetMode="External"/><Relationship Id="rId1765" Type="http://schemas.openxmlformats.org/officeDocument/2006/relationships/hyperlink" Target="https://chemicalsafety.ilo.org/dyn/icsc/showcard.display?p_card_id=0446&amp;p_lang=en" TargetMode="External"/><Relationship Id="rId4171" Type="http://schemas.openxmlformats.org/officeDocument/2006/relationships/hyperlink" Target="https://www.google.com/search?q=121-87-9+SDS+safety+data+sheet+filetype:pdf" TargetMode="External"/><Relationship Id="rId5222" Type="http://schemas.openxmlformats.org/officeDocument/2006/relationships/hyperlink" Target="https://chemicalsafety.ilo.org/dyn/icsc/showcard.display?p_card_id=1352&amp;p_lang=tr" TargetMode="External"/><Relationship Id="rId57" Type="http://schemas.openxmlformats.org/officeDocument/2006/relationships/hyperlink" Target="https://chemicalsafety.ilo.org/dyn/icsc/showcard.display?p_card_id=0015&amp;p_lang=en" TargetMode="External"/><Relationship Id="rId1418" Type="http://schemas.openxmlformats.org/officeDocument/2006/relationships/hyperlink" Target="https://chemicalsafety.ilo.org/dyn/icsc/showcard.display?p_card_id=0356&amp;p_lang=tr" TargetMode="External"/><Relationship Id="rId2816" Type="http://schemas.openxmlformats.org/officeDocument/2006/relationships/hyperlink" Target="https://chem.echa.europa.eu/substance-search?searchText=142-28-9" TargetMode="External"/><Relationship Id="rId1832" Type="http://schemas.openxmlformats.org/officeDocument/2006/relationships/hyperlink" Target="https://chem.echa.europa.eu/substance-search?searchText=51-28-5" TargetMode="External"/><Relationship Id="rId4988" Type="http://schemas.openxmlformats.org/officeDocument/2006/relationships/hyperlink" Target="https://chem.echa.europa.eu/substance-search?searchText=688-84-6" TargetMode="External"/><Relationship Id="rId6063" Type="http://schemas.openxmlformats.org/officeDocument/2006/relationships/hyperlink" Target="https://www.google.com/search?q=112-49-2+SDS+safety+data+sheet+filetype:pdf" TargetMode="External"/><Relationship Id="rId3657" Type="http://schemas.openxmlformats.org/officeDocument/2006/relationships/hyperlink" Target="https://chemicalsafety.ilo.org/dyn/icsc/showcard.display?p_card_id=0938&amp;p_lang=en" TargetMode="External"/><Relationship Id="rId4708" Type="http://schemas.openxmlformats.org/officeDocument/2006/relationships/hyperlink" Target="https://chem.echa.europa.eu/substance-search?searchText=6132-04-3" TargetMode="External"/><Relationship Id="rId578" Type="http://schemas.openxmlformats.org/officeDocument/2006/relationships/hyperlink" Target="https://chemicalsafety.ilo.org/dyn/icsc/showcard.display?p_card_id=0145&amp;p_lang=tr" TargetMode="External"/><Relationship Id="rId992" Type="http://schemas.openxmlformats.org/officeDocument/2006/relationships/hyperlink" Target="https://chem.echa.europa.eu/substance-search?searchText=75-34-3" TargetMode="External"/><Relationship Id="rId2259" Type="http://schemas.openxmlformats.org/officeDocument/2006/relationships/hyperlink" Target="https://www.google.com/search?q=7783-61-1+SDS+safety+data+sheet+filetype:pdf" TargetMode="External"/><Relationship Id="rId2673" Type="http://schemas.openxmlformats.org/officeDocument/2006/relationships/hyperlink" Target="https://chemicalsafety.ilo.org/dyn/icsc/showcard.display?p_card_id=0688&amp;p_lang=en" TargetMode="External"/><Relationship Id="rId3724" Type="http://schemas.openxmlformats.org/officeDocument/2006/relationships/hyperlink" Target="https://chem.echa.europa.eu/substance-search?searchText=18282-10-5" TargetMode="External"/><Relationship Id="rId6130" Type="http://schemas.openxmlformats.org/officeDocument/2006/relationships/hyperlink" Target="https://chemicalsafety.ilo.org/dyn/icsc/showcard.display?p_card_id=1587&amp;p_lang=tr" TargetMode="External"/><Relationship Id="rId645" Type="http://schemas.openxmlformats.org/officeDocument/2006/relationships/hyperlink" Target="https://chemicalsafety.ilo.org/dyn/icsc/showcard.display?p_card_id=0162&amp;p_lang=en" TargetMode="External"/><Relationship Id="rId1275" Type="http://schemas.openxmlformats.org/officeDocument/2006/relationships/hyperlink" Target="https://www.google.com/search?q=107-12-0+SDS+safety+data+sheet+filetype:pdf" TargetMode="External"/><Relationship Id="rId2326" Type="http://schemas.openxmlformats.org/officeDocument/2006/relationships/hyperlink" Target="https://chemicalsafety.ilo.org/dyn/icsc/showcard.display?p_card_id=0594&amp;p_lang=tr" TargetMode="External"/><Relationship Id="rId2740" Type="http://schemas.openxmlformats.org/officeDocument/2006/relationships/hyperlink" Target="https://chem.echa.europa.eu/substance-search?searchText=919-86-8" TargetMode="External"/><Relationship Id="rId5896" Type="http://schemas.openxmlformats.org/officeDocument/2006/relationships/hyperlink" Target="https://chem.echa.europa.eu/substance-search?searchText=119-64-2" TargetMode="External"/><Relationship Id="rId712" Type="http://schemas.openxmlformats.org/officeDocument/2006/relationships/hyperlink" Target="https://chem.echa.europa.eu/substance-search?searchText=74-89-5" TargetMode="External"/><Relationship Id="rId1342" Type="http://schemas.openxmlformats.org/officeDocument/2006/relationships/hyperlink" Target="https://chemicalsafety.ilo.org/dyn/icsc/showcard.display?p_card_id=0337&amp;p_lang=tr" TargetMode="External"/><Relationship Id="rId4498" Type="http://schemas.openxmlformats.org/officeDocument/2006/relationships/hyperlink" Target="https://chemicalsafety.ilo.org/dyn/icsc/showcard.display?p_card_id=1163&amp;p_lang=tr" TargetMode="External"/><Relationship Id="rId5549" Type="http://schemas.openxmlformats.org/officeDocument/2006/relationships/hyperlink" Target="https://chemicalsafety.ilo.org/dyn/icsc/showcard.display?p_card_id=1436&amp;p_lang=en" TargetMode="External"/><Relationship Id="rId5963" Type="http://schemas.openxmlformats.org/officeDocument/2006/relationships/hyperlink" Target="https://www.google.com/search?q=19010-66-3+SDS+safety+data+sheet+filetype:pdf" TargetMode="External"/><Relationship Id="rId3167" Type="http://schemas.openxmlformats.org/officeDocument/2006/relationships/hyperlink" Target="https://www.google.com/search?q=463-51-4+SDS+safety+data+sheet+filetype:pdf" TargetMode="External"/><Relationship Id="rId4565" Type="http://schemas.openxmlformats.org/officeDocument/2006/relationships/hyperlink" Target="https://chemicalsafety.ilo.org/dyn/icsc/showcard.display?p_card_id=1180&amp;p_lang=en" TargetMode="External"/><Relationship Id="rId5616" Type="http://schemas.openxmlformats.org/officeDocument/2006/relationships/hyperlink" Target="https://chem.echa.europa.eu/substance-search?searchText=8001-79-4" TargetMode="External"/><Relationship Id="rId3581" Type="http://schemas.openxmlformats.org/officeDocument/2006/relationships/hyperlink" Target="https://chemicalsafety.ilo.org/dyn/icsc/showcard.display?p_card_id=0919&amp;p_lang=en" TargetMode="External"/><Relationship Id="rId4218" Type="http://schemas.openxmlformats.org/officeDocument/2006/relationships/hyperlink" Target="https://chemicalsafety.ilo.org/dyn/icsc/showcard.display?p_card_id=1089&amp;p_lang=tr" TargetMode="External"/><Relationship Id="rId4632" Type="http://schemas.openxmlformats.org/officeDocument/2006/relationships/hyperlink" Target="https://chem.echa.europa.eu/substance-search?searchText=7727-37-9" TargetMode="External"/><Relationship Id="rId2183" Type="http://schemas.openxmlformats.org/officeDocument/2006/relationships/hyperlink" Target="https://www.google.com/search?q=137-40-6+SDS+safety+data+sheet+filetype:pdf" TargetMode="External"/><Relationship Id="rId3234" Type="http://schemas.openxmlformats.org/officeDocument/2006/relationships/hyperlink" Target="https://chemicalsafety.ilo.org/dyn/icsc/showcard.display?p_card_id=0829&amp;p_lang=tr" TargetMode="External"/><Relationship Id="rId155" Type="http://schemas.openxmlformats.org/officeDocument/2006/relationships/hyperlink" Target="https://www.google.com/search?q=111-90-0+SDS+safety+data+sheet+filetype:pdf" TargetMode="External"/><Relationship Id="rId2250" Type="http://schemas.openxmlformats.org/officeDocument/2006/relationships/hyperlink" Target="https://chemicalsafety.ilo.org/dyn/icsc/showcard.display?p_card_id=0574&amp;p_lang=tr" TargetMode="External"/><Relationship Id="rId3301" Type="http://schemas.openxmlformats.org/officeDocument/2006/relationships/hyperlink" Target="https://chemicalsafety.ilo.org/dyn/icsc/showcard.display?p_card_id=0848&amp;p_lang=en" TargetMode="External"/><Relationship Id="rId6457" Type="http://schemas.openxmlformats.org/officeDocument/2006/relationships/hyperlink" Target="https://chemicalsafety.ilo.org/dyn/icsc/showcard.display?p_card_id=1680&amp;p_lang=en" TargetMode="External"/><Relationship Id="rId222" Type="http://schemas.openxmlformats.org/officeDocument/2006/relationships/hyperlink" Target="https://chemicalsafety.ilo.org/dyn/icsc/showcard.display?p_card_id=0056&amp;p_lang=tr" TargetMode="External"/><Relationship Id="rId5059" Type="http://schemas.openxmlformats.org/officeDocument/2006/relationships/hyperlink" Target="https://www.google.com/search?q=12336-95-7+SDS+safety+data+sheet+filetype:pdf" TargetMode="External"/><Relationship Id="rId5473" Type="http://schemas.openxmlformats.org/officeDocument/2006/relationships/hyperlink" Target="https://chemicalsafety.ilo.org/dyn/icsc/showcard.display?p_card_id=1417&amp;p_lang=en" TargetMode="External"/><Relationship Id="rId6524" Type="http://schemas.openxmlformats.org/officeDocument/2006/relationships/hyperlink" Target="https://chem.echa.europa.eu/substance-search?searchText=6683-19-8" TargetMode="External"/><Relationship Id="rId4075" Type="http://schemas.openxmlformats.org/officeDocument/2006/relationships/hyperlink" Target="https://www.google.com/search?q=120-82-1+SDS+safety+data+sheet+filetype:pdf" TargetMode="External"/><Relationship Id="rId5126" Type="http://schemas.openxmlformats.org/officeDocument/2006/relationships/hyperlink" Target="https://chemicalsafety.ilo.org/dyn/icsc/showcard.display?p_card_id=1326&amp;p_lang=tr" TargetMode="External"/><Relationship Id="rId1669" Type="http://schemas.openxmlformats.org/officeDocument/2006/relationships/hyperlink" Target="https://chemicalsafety.ilo.org/dyn/icsc/showcard.display?p_card_id=0422&amp;p_lang=en" TargetMode="External"/><Relationship Id="rId3091" Type="http://schemas.openxmlformats.org/officeDocument/2006/relationships/hyperlink" Target="https://www.google.com/search?q=1345-25-1+SDS+safety+data+sheet+filetype:pdf" TargetMode="External"/><Relationship Id="rId4142" Type="http://schemas.openxmlformats.org/officeDocument/2006/relationships/hyperlink" Target="https://chemicalsafety.ilo.org/dyn/icsc/showcard.display?p_card_id=1068&amp;p_lang=tr" TargetMode="External"/><Relationship Id="rId5540" Type="http://schemas.openxmlformats.org/officeDocument/2006/relationships/hyperlink" Target="https://chem.echa.europa.eu/substance-search?searchText=95-63-6" TargetMode="External"/><Relationship Id="rId1736" Type="http://schemas.openxmlformats.org/officeDocument/2006/relationships/hyperlink" Target="https://chem.echa.europa.eu/substance-search?searchText=120-83-2" TargetMode="External"/><Relationship Id="rId28" Type="http://schemas.openxmlformats.org/officeDocument/2006/relationships/hyperlink" Target="https://chem.echa.europa.eu/substance-search?searchText=75-44-5" TargetMode="External"/><Relationship Id="rId1803" Type="http://schemas.openxmlformats.org/officeDocument/2006/relationships/hyperlink" Target="https://www.google.com/search?q=99-97-8+SDS+safety+data+sheet+filetype:pdf" TargetMode="External"/><Relationship Id="rId4959" Type="http://schemas.openxmlformats.org/officeDocument/2006/relationships/hyperlink" Target="https://www.google.com/search?q=56-35-9+SDS+safety+data+sheet+filetype:pdf" TargetMode="External"/><Relationship Id="rId3975" Type="http://schemas.openxmlformats.org/officeDocument/2006/relationships/hyperlink" Target="https://www.google.com/search?q=141-97-9+SDS+safety+data+sheet+filetype:pdf" TargetMode="External"/><Relationship Id="rId6381" Type="http://schemas.openxmlformats.org/officeDocument/2006/relationships/hyperlink" Target="https://chemicalsafety.ilo.org/dyn/icsc/showcard.display?p_card_id=1660&amp;p_lang=en" TargetMode="External"/><Relationship Id="rId896" Type="http://schemas.openxmlformats.org/officeDocument/2006/relationships/hyperlink" Target="https://chem.echa.europa.eu/substance-search?searchText=94-36-0" TargetMode="External"/><Relationship Id="rId2577" Type="http://schemas.openxmlformats.org/officeDocument/2006/relationships/hyperlink" Target="https://chemicalsafety.ilo.org/dyn/icsc/showcard.display?p_card_id=0661&amp;p_lang=en" TargetMode="External"/><Relationship Id="rId3628" Type="http://schemas.openxmlformats.org/officeDocument/2006/relationships/hyperlink" Target="https://chem.echa.europa.eu/substance-search?searchText=10102-44-0" TargetMode="External"/><Relationship Id="rId6034" Type="http://schemas.openxmlformats.org/officeDocument/2006/relationships/hyperlink" Target="https://chemicalsafety.ilo.org/dyn/icsc/showcard.display?p_card_id=1563&amp;p_lang=tr" TargetMode="External"/><Relationship Id="rId549" Type="http://schemas.openxmlformats.org/officeDocument/2006/relationships/hyperlink" Target="https://chemicalsafety.ilo.org/dyn/icsc/showcard.display?p_card_id=0138&amp;p_lang=en" TargetMode="External"/><Relationship Id="rId1179" Type="http://schemas.openxmlformats.org/officeDocument/2006/relationships/hyperlink" Target="https://www.google.com/search?q=589-91-3+SDS+safety+data+sheet+filetype:pdf" TargetMode="External"/><Relationship Id="rId1593" Type="http://schemas.openxmlformats.org/officeDocument/2006/relationships/hyperlink" Target="https://chemicalsafety.ilo.org/dyn/icsc/showcard.display?p_card_id=0402&amp;p_lang=en" TargetMode="External"/><Relationship Id="rId2991" Type="http://schemas.openxmlformats.org/officeDocument/2006/relationships/hyperlink" Target="https://www.google.com/search?q=88-99-3+SDS+safety+data+sheet+filetype:pdf" TargetMode="External"/><Relationship Id="rId5050" Type="http://schemas.openxmlformats.org/officeDocument/2006/relationships/hyperlink" Target="https://chemicalsafety.ilo.org/dyn/icsc/showcard.display?p_card_id=1305&amp;p_lang=tr" TargetMode="External"/><Relationship Id="rId6101" Type="http://schemas.openxmlformats.org/officeDocument/2006/relationships/hyperlink" Target="https://chemicalsafety.ilo.org/dyn/icsc/showcard.display?p_card_id=1580&amp;p_lang=en" TargetMode="External"/><Relationship Id="rId963" Type="http://schemas.openxmlformats.org/officeDocument/2006/relationships/hyperlink" Target="https://www.google.com/search?q=110-82-7+SDS+safety+data+sheet+filetype:pdf" TargetMode="External"/><Relationship Id="rId1246" Type="http://schemas.openxmlformats.org/officeDocument/2006/relationships/hyperlink" Target="https://chemicalsafety.ilo.org/dyn/icsc/showcard.display?p_card_id=0313&amp;p_lang=tr" TargetMode="External"/><Relationship Id="rId2644" Type="http://schemas.openxmlformats.org/officeDocument/2006/relationships/hyperlink" Target="https://chem.echa.europa.eu/substance-search?searchText=58-55-9" TargetMode="External"/><Relationship Id="rId616" Type="http://schemas.openxmlformats.org/officeDocument/2006/relationships/hyperlink" Target="https://chem.echa.europa.eu/substance-search?searchText=7440-37-1" TargetMode="External"/><Relationship Id="rId1660" Type="http://schemas.openxmlformats.org/officeDocument/2006/relationships/hyperlink" Target="https://chem.echa.europa.eu/substance-search?searchText=74-87-3" TargetMode="External"/><Relationship Id="rId2711" Type="http://schemas.openxmlformats.org/officeDocument/2006/relationships/hyperlink" Target="https://www.google.com/search?q=10102-18-8+SDS+safety+data+sheet+filetype:pdf" TargetMode="External"/><Relationship Id="rId5867" Type="http://schemas.openxmlformats.org/officeDocument/2006/relationships/hyperlink" Target="https://www.google.com/search?q=91-23-6+SDS+safety+data+sheet+filetype:pdf" TargetMode="External"/><Relationship Id="rId1313" Type="http://schemas.openxmlformats.org/officeDocument/2006/relationships/hyperlink" Target="https://chemicalsafety.ilo.org/dyn/icsc/showcard.display?p_card_id=0330&amp;p_lang=en" TargetMode="External"/><Relationship Id="rId4469" Type="http://schemas.openxmlformats.org/officeDocument/2006/relationships/hyperlink" Target="https://chemicalsafety.ilo.org/dyn/icsc/showcard.display?p_card_id=1156&amp;p_lang=en" TargetMode="External"/><Relationship Id="rId4883" Type="http://schemas.openxmlformats.org/officeDocument/2006/relationships/hyperlink" Target="https://www.google.com/search?q=96-14-0+SDS+safety+data+sheet+filetype:pdf" TargetMode="External"/><Relationship Id="rId5934" Type="http://schemas.openxmlformats.org/officeDocument/2006/relationships/hyperlink" Target="https://chemicalsafety.ilo.org/dyn/icsc/showcard.display?p_card_id=1537&amp;p_lang=tr" TargetMode="External"/><Relationship Id="rId3485" Type="http://schemas.openxmlformats.org/officeDocument/2006/relationships/hyperlink" Target="https://chemicalsafety.ilo.org/dyn/icsc/showcard.display?p_card_id=0895&amp;p_lang=en" TargetMode="External"/><Relationship Id="rId4536" Type="http://schemas.openxmlformats.org/officeDocument/2006/relationships/hyperlink" Target="https://chem.echa.europa.eu/substance-search?searchText=1323-65-5" TargetMode="External"/><Relationship Id="rId4950" Type="http://schemas.openxmlformats.org/officeDocument/2006/relationships/hyperlink" Target="https://chemicalsafety.ilo.org/dyn/icsc/showcard.display?p_card_id=1280&amp;p_lang=tr" TargetMode="External"/><Relationship Id="rId2087" Type="http://schemas.openxmlformats.org/officeDocument/2006/relationships/hyperlink" Target="https://www.google.com/search?q=131-52-2+SDS+safety+data+sheet+filetype:pdf" TargetMode="External"/><Relationship Id="rId3138" Type="http://schemas.openxmlformats.org/officeDocument/2006/relationships/hyperlink" Target="https://chemicalsafety.ilo.org/dyn/icsc/showcard.display?p_card_id=0805&amp;p_lang=tr" TargetMode="External"/><Relationship Id="rId3552" Type="http://schemas.openxmlformats.org/officeDocument/2006/relationships/hyperlink" Target="https://chem.echa.europa.eu/substance-search?searchText=7784-40-9" TargetMode="External"/><Relationship Id="rId4603" Type="http://schemas.openxmlformats.org/officeDocument/2006/relationships/hyperlink" Target="https://www.google.com/search?q=110-02-1+SDS+safety+data+sheet+filetype:pdf" TargetMode="External"/><Relationship Id="rId473" Type="http://schemas.openxmlformats.org/officeDocument/2006/relationships/hyperlink" Target="https://chemicalsafety.ilo.org/dyn/icsc/showcard.display?p_card_id=0119&amp;p_lang=en" TargetMode="External"/><Relationship Id="rId2154" Type="http://schemas.openxmlformats.org/officeDocument/2006/relationships/hyperlink" Target="https://chemicalsafety.ilo.org/dyn/icsc/showcard.display?p_card_id=0550&amp;p_lang=tr" TargetMode="External"/><Relationship Id="rId3205" Type="http://schemas.openxmlformats.org/officeDocument/2006/relationships/hyperlink" Target="https://chemicalsafety.ilo.org/dyn/icsc/showcard.display?p_card_id=0822&amp;p_lang=en" TargetMode="External"/><Relationship Id="rId126" Type="http://schemas.openxmlformats.org/officeDocument/2006/relationships/hyperlink" Target="https://chemicalsafety.ilo.org/dyn/icsc/showcard.display?p_card_id=0032&amp;p_lang=tr" TargetMode="External"/><Relationship Id="rId540" Type="http://schemas.openxmlformats.org/officeDocument/2006/relationships/hyperlink" Target="https://chem.echa.europa.eu/substance-search?searchText=2210-79-9" TargetMode="External"/><Relationship Id="rId1170" Type="http://schemas.openxmlformats.org/officeDocument/2006/relationships/hyperlink" Target="https://chemicalsafety.ilo.org/dyn/icsc/showcard.display?p_card_id=0294&amp;p_lang=tr" TargetMode="External"/><Relationship Id="rId2221" Type="http://schemas.openxmlformats.org/officeDocument/2006/relationships/hyperlink" Target="https://chemicalsafety.ilo.org/dyn/icsc/showcard.display?p_card_id=0567&amp;p_lang=en" TargetMode="External"/><Relationship Id="rId5377" Type="http://schemas.openxmlformats.org/officeDocument/2006/relationships/hyperlink" Target="https://chemicalsafety.ilo.org/dyn/icsc/showcard.display?p_card_id=1392&amp;p_lang=en" TargetMode="External"/><Relationship Id="rId6428" Type="http://schemas.openxmlformats.org/officeDocument/2006/relationships/hyperlink" Target="https://chem.echa.europa.eu/substance-search?searchText=218-01-9" TargetMode="External"/><Relationship Id="rId6775" Type="http://schemas.openxmlformats.org/officeDocument/2006/relationships/hyperlink" Target="https://www.google.com/search?q=2032-65-7+SDS+safety+data+sheet+filetype:pdf" TargetMode="External"/><Relationship Id="rId5791" Type="http://schemas.openxmlformats.org/officeDocument/2006/relationships/hyperlink" Target="https://www.google.com/search?q=138261-41-3+SDS+safety+data+sheet+filetype:pdf" TargetMode="External"/><Relationship Id="rId6842" Type="http://schemas.openxmlformats.org/officeDocument/2006/relationships/hyperlink" Target="https://chemicalsafety.ilo.org/dyn/icsc/showcard.display?p_card_id=1784&amp;p_lang=tr" TargetMode="External"/><Relationship Id="rId1987" Type="http://schemas.openxmlformats.org/officeDocument/2006/relationships/hyperlink" Target="https://www.google.com/search?q=74-11-3+SDS+safety+data+sheet+filetype:pdf" TargetMode="External"/><Relationship Id="rId4393" Type="http://schemas.openxmlformats.org/officeDocument/2006/relationships/hyperlink" Target="https://chemicalsafety.ilo.org/dyn/icsc/showcard.display?p_card_id=1137&amp;p_lang=en" TargetMode="External"/><Relationship Id="rId5444" Type="http://schemas.openxmlformats.org/officeDocument/2006/relationships/hyperlink" Target="https://chem.echa.europa.eu/substance-search?searchText=7719-09-7" TargetMode="External"/><Relationship Id="rId4046" Type="http://schemas.openxmlformats.org/officeDocument/2006/relationships/hyperlink" Target="https://chemicalsafety.ilo.org/dyn/icsc/showcard.display?p_card_id=1042&amp;p_lang=tr" TargetMode="External"/><Relationship Id="rId4460" Type="http://schemas.openxmlformats.org/officeDocument/2006/relationships/hyperlink" Target="https://chem.echa.europa.eu/substance-search?searchText=78-78-4" TargetMode="External"/><Relationship Id="rId5511" Type="http://schemas.openxmlformats.org/officeDocument/2006/relationships/hyperlink" Target="https://www.google.com/search?q=7572-29-4+SDS+safety+data+sheet+filetype:pdf" TargetMode="External"/><Relationship Id="rId1707" Type="http://schemas.openxmlformats.org/officeDocument/2006/relationships/hyperlink" Target="https://www.google.com/search?q=53-70-3+SDS+safety+data+sheet+filetype:pdf" TargetMode="External"/><Relationship Id="rId3062" Type="http://schemas.openxmlformats.org/officeDocument/2006/relationships/hyperlink" Target="https://chemicalsafety.ilo.org/dyn/icsc/showcard.display?p_card_id=0786&amp;p_lang=tr" TargetMode="External"/><Relationship Id="rId4113" Type="http://schemas.openxmlformats.org/officeDocument/2006/relationships/hyperlink" Target="https://chemicalsafety.ilo.org/dyn/icsc/showcard.display?p_card_id=1060&amp;p_lang=en" TargetMode="External"/><Relationship Id="rId6285" Type="http://schemas.openxmlformats.org/officeDocument/2006/relationships/hyperlink" Target="https://chemicalsafety.ilo.org/dyn/icsc/showcard.display?p_card_id=1627&amp;p_lang=en" TargetMode="External"/><Relationship Id="rId3879" Type="http://schemas.openxmlformats.org/officeDocument/2006/relationships/hyperlink" Target="https://www.google.com/search?q=1335-87-1+SDS+safety+data+sheet+filetype:pdf" TargetMode="External"/><Relationship Id="rId6352" Type="http://schemas.openxmlformats.org/officeDocument/2006/relationships/hyperlink" Target="https://chem.echa.europa.eu/substance-search?searchText=26590-20-5" TargetMode="External"/><Relationship Id="rId2895" Type="http://schemas.openxmlformats.org/officeDocument/2006/relationships/hyperlink" Target="https://www.google.com/search?q=12057-74-8+SDS+safety+data+sheet+filetype:pdf" TargetMode="External"/><Relationship Id="rId3946" Type="http://schemas.openxmlformats.org/officeDocument/2006/relationships/hyperlink" Target="https://chemicalsafety.ilo.org/dyn/icsc/showcard.display?p_card_id=1017&amp;p_lang=tr" TargetMode="External"/><Relationship Id="rId6005" Type="http://schemas.openxmlformats.org/officeDocument/2006/relationships/hyperlink" Target="https://chemicalsafety.ilo.org/dyn/icsc/showcard.display?p_card_id=1556&amp;p_lang=en" TargetMode="External"/><Relationship Id="rId867" Type="http://schemas.openxmlformats.org/officeDocument/2006/relationships/hyperlink" Target="https://www.google.com/search?q=628-63-7+SDS+safety+data+sheet+filetype:pdf" TargetMode="External"/><Relationship Id="rId1497" Type="http://schemas.openxmlformats.org/officeDocument/2006/relationships/hyperlink" Target="https://chemicalsafety.ilo.org/dyn/icsc/showcard.display?p_card_id=0377&amp;p_lang=en" TargetMode="External"/><Relationship Id="rId2548" Type="http://schemas.openxmlformats.org/officeDocument/2006/relationships/hyperlink" Target="https://chem.echa.europa.eu/substance-search?searchText=3173-72-6" TargetMode="External"/><Relationship Id="rId2962" Type="http://schemas.openxmlformats.org/officeDocument/2006/relationships/hyperlink" Target="https://chemicalsafety.ilo.org/dyn/icsc/showcard.display?p_card_id=0761&amp;p_lang=tr" TargetMode="External"/><Relationship Id="rId934" Type="http://schemas.openxmlformats.org/officeDocument/2006/relationships/hyperlink" Target="https://chemicalsafety.ilo.org/dyn/icsc/showcard.display?p_card_id=0235&amp;p_lang=tr" TargetMode="External"/><Relationship Id="rId1564" Type="http://schemas.openxmlformats.org/officeDocument/2006/relationships/hyperlink" Target="https://chem.echa.europa.eu/substance-search?searchText=75-27-4" TargetMode="External"/><Relationship Id="rId2615" Type="http://schemas.openxmlformats.org/officeDocument/2006/relationships/hyperlink" Target="https://www.google.com/search?q=151-50-8+SDS+safety+data+sheet+filetype:pdf" TargetMode="External"/><Relationship Id="rId5021" Type="http://schemas.openxmlformats.org/officeDocument/2006/relationships/hyperlink" Target="https://chemicalsafety.ilo.org/dyn/icsc/showcard.display?p_card_id=1298&amp;p_lang=en" TargetMode="External"/><Relationship Id="rId1217" Type="http://schemas.openxmlformats.org/officeDocument/2006/relationships/hyperlink" Target="https://chemicalsafety.ilo.org/dyn/icsc/showcard.display?p_card_id=0306&amp;p_lang=en" TargetMode="External"/><Relationship Id="rId1631" Type="http://schemas.openxmlformats.org/officeDocument/2006/relationships/hyperlink" Target="https://www.google.com/search?q=120-80-9+SDS+safety+data+sheet+filetype:pdf" TargetMode="External"/><Relationship Id="rId4787" Type="http://schemas.openxmlformats.org/officeDocument/2006/relationships/hyperlink" Target="https://www.google.com/search?q=18662-53-8+SDS+safety+data+sheet+filetype:pdf" TargetMode="External"/><Relationship Id="rId5838" Type="http://schemas.openxmlformats.org/officeDocument/2006/relationships/hyperlink" Target="https://chemicalsafety.ilo.org/dyn/icsc/showcard.display?p_card_id=1513&amp;p_lang=tr" TargetMode="External"/><Relationship Id="rId3389" Type="http://schemas.openxmlformats.org/officeDocument/2006/relationships/hyperlink" Target="https://chemicalsafety.ilo.org/dyn/icsc/showcard.display?p_card_id=0871&amp;p_lang=en" TargetMode="External"/><Relationship Id="rId3456" Type="http://schemas.openxmlformats.org/officeDocument/2006/relationships/hyperlink" Target="https://chem.echa.europa.eu/substance-search?searchText=13838-16-9" TargetMode="External"/><Relationship Id="rId4854" Type="http://schemas.openxmlformats.org/officeDocument/2006/relationships/hyperlink" Target="https://chemicalsafety.ilo.org/dyn/icsc/showcard.display?p_card_id=1256&amp;p_lang=tr" TargetMode="External"/><Relationship Id="rId5905" Type="http://schemas.openxmlformats.org/officeDocument/2006/relationships/hyperlink" Target="https://chemicalsafety.ilo.org/dyn/icsc/showcard.display?p_card_id=1530&amp;p_lang=en" TargetMode="External"/><Relationship Id="rId377" Type="http://schemas.openxmlformats.org/officeDocument/2006/relationships/hyperlink" Target="https://chemicalsafety.ilo.org/dyn/icsc/showcard.display?p_card_id=0095&amp;p_lang=en" TargetMode="External"/><Relationship Id="rId2058" Type="http://schemas.openxmlformats.org/officeDocument/2006/relationships/hyperlink" Target="https://chemicalsafety.ilo.org/dyn/icsc/showcard.display?p_card_id=0525&amp;p_lang=tr" TargetMode="External"/><Relationship Id="rId3109" Type="http://schemas.openxmlformats.org/officeDocument/2006/relationships/hyperlink" Target="https://chemicalsafety.ilo.org/dyn/icsc/showcard.display?p_card_id=0798&amp;p_lang=en" TargetMode="External"/><Relationship Id="rId3870" Type="http://schemas.openxmlformats.org/officeDocument/2006/relationships/hyperlink" Target="https://chemicalsafety.ilo.org/dyn/icsc/showcard.display?p_card_id=0995&amp;p_lang=tr" TargetMode="External"/><Relationship Id="rId4507" Type="http://schemas.openxmlformats.org/officeDocument/2006/relationships/hyperlink" Target="https://www.google.com/search?q=141-53-7+SDS+safety+data+sheet+filetype:pdf" TargetMode="External"/><Relationship Id="rId4921" Type="http://schemas.openxmlformats.org/officeDocument/2006/relationships/hyperlink" Target="https://chemicalsafety.ilo.org/dyn/icsc/showcard.display?p_card_id=1273&amp;p_lang=en" TargetMode="External"/><Relationship Id="rId791" Type="http://schemas.openxmlformats.org/officeDocument/2006/relationships/hyperlink" Target="https://www.google.com/search?q=7791-25-5+SDS+safety+data+sheet+filetype:pdf" TargetMode="External"/><Relationship Id="rId1074" Type="http://schemas.openxmlformats.org/officeDocument/2006/relationships/hyperlink" Target="https://chemicalsafety.ilo.org/dyn/icsc/showcard.display?p_card_id=0270&amp;p_lang=tr" TargetMode="External"/><Relationship Id="rId2472" Type="http://schemas.openxmlformats.org/officeDocument/2006/relationships/hyperlink" Target="https://chem.echa.europa.eu/substance-search?searchText=7727-54-0" TargetMode="External"/><Relationship Id="rId3523" Type="http://schemas.openxmlformats.org/officeDocument/2006/relationships/hyperlink" Target="https://www.google.com/search?q=78-79-5+SDS+safety+data+sheet+filetype:pdf" TargetMode="External"/><Relationship Id="rId6679" Type="http://schemas.openxmlformats.org/officeDocument/2006/relationships/hyperlink" Target="https://www.google.com/search?q=502-44-3+SDS+safety+data+sheet+filetype:pdf" TargetMode="External"/><Relationship Id="rId444" Type="http://schemas.openxmlformats.org/officeDocument/2006/relationships/hyperlink" Target="https://chem.echa.europa.eu/substance-search?searchText=71-36-3" TargetMode="External"/><Relationship Id="rId2125" Type="http://schemas.openxmlformats.org/officeDocument/2006/relationships/hyperlink" Target="https://chemicalsafety.ilo.org/dyn/icsc/showcard.display?p_card_id=0542&amp;p_lang=en" TargetMode="External"/><Relationship Id="rId5695" Type="http://schemas.openxmlformats.org/officeDocument/2006/relationships/hyperlink" Target="https://www.google.com/search?q=8003-34-7+SDS+safety+data+sheet+filetype:pdf" TargetMode="External"/><Relationship Id="rId6746" Type="http://schemas.openxmlformats.org/officeDocument/2006/relationships/hyperlink" Target="https://chemicalsafety.ilo.org/dyn/icsc/showcard.display?p_card_id=1759&amp;p_lang=tr" TargetMode="External"/><Relationship Id="rId511" Type="http://schemas.openxmlformats.org/officeDocument/2006/relationships/hyperlink" Target="https://www.google.com/search?q=532-27-4+SDS+safety+data+sheet+filetype:pdf" TargetMode="External"/><Relationship Id="rId1141" Type="http://schemas.openxmlformats.org/officeDocument/2006/relationships/hyperlink" Target="https://chemicalsafety.ilo.org/dyn/icsc/showcard.display?p_card_id=0287&amp;p_lang=en" TargetMode="External"/><Relationship Id="rId4297" Type="http://schemas.openxmlformats.org/officeDocument/2006/relationships/hyperlink" Target="https://chemicalsafety.ilo.org/dyn/icsc/showcard.display?p_card_id=1112&amp;p_lang=en" TargetMode="External"/><Relationship Id="rId5348" Type="http://schemas.openxmlformats.org/officeDocument/2006/relationships/hyperlink" Target="https://chem.echa.europa.eu/substance-search?searchText=115-77-5" TargetMode="External"/><Relationship Id="rId5762" Type="http://schemas.openxmlformats.org/officeDocument/2006/relationships/hyperlink" Target="https://chemicalsafety.ilo.org/dyn/icsc/showcard.display?p_card_id=1494&amp;p_lang=tr" TargetMode="External"/><Relationship Id="rId6813" Type="http://schemas.openxmlformats.org/officeDocument/2006/relationships/hyperlink" Target="https://chemicalsafety.ilo.org/dyn/icsc/showcard.display?p_card_id=1776&amp;p_lang=en" TargetMode="External"/><Relationship Id="rId4364" Type="http://schemas.openxmlformats.org/officeDocument/2006/relationships/hyperlink" Target="https://chem.echa.europa.eu/substance-search?searchText=6147-53-1" TargetMode="External"/><Relationship Id="rId5415" Type="http://schemas.openxmlformats.org/officeDocument/2006/relationships/hyperlink" Target="https://www.google.com/search?q=2699-79-8+SDS+safety+data+sheet+filetype:pdf" TargetMode="External"/><Relationship Id="rId1958" Type="http://schemas.openxmlformats.org/officeDocument/2006/relationships/hyperlink" Target="https://chemicalsafety.ilo.org/dyn/icsc/showcard.display?p_card_id=0496&amp;p_lang=tr" TargetMode="External"/><Relationship Id="rId3380" Type="http://schemas.openxmlformats.org/officeDocument/2006/relationships/hyperlink" Target="https://chem.echa.europa.eu/substance-search?searchText=79-43-6" TargetMode="External"/><Relationship Id="rId4017" Type="http://schemas.openxmlformats.org/officeDocument/2006/relationships/hyperlink" Target="https://chemicalsafety.ilo.org/dyn/icsc/showcard.display?p_card_id=1035&amp;p_lang=en" TargetMode="External"/><Relationship Id="rId4431" Type="http://schemas.openxmlformats.org/officeDocument/2006/relationships/hyperlink" Target="https://www.google.com/search?q=150-75-4+SDS+safety+data+sheet+filetype:pdf" TargetMode="External"/><Relationship Id="rId3033" Type="http://schemas.openxmlformats.org/officeDocument/2006/relationships/hyperlink" Target="https://chemicalsafety.ilo.org/dyn/icsc/showcard.display?p_card_id=0779&amp;p_lang=en" TargetMode="External"/><Relationship Id="rId6189" Type="http://schemas.openxmlformats.org/officeDocument/2006/relationships/hyperlink" Target="https://chemicalsafety.ilo.org/dyn/icsc/showcard.display?p_card_id=1602&amp;p_lang=en" TargetMode="External"/><Relationship Id="rId2799" Type="http://schemas.openxmlformats.org/officeDocument/2006/relationships/hyperlink" Target="https://www.google.com/search?q=205-99-2+SDS+safety+data+sheet+filetype:pdf" TargetMode="External"/><Relationship Id="rId3100" Type="http://schemas.openxmlformats.org/officeDocument/2006/relationships/hyperlink" Target="https://chem.echa.europa.eu/substance-search?searchText=319-84-6" TargetMode="External"/><Relationship Id="rId6256" Type="http://schemas.openxmlformats.org/officeDocument/2006/relationships/hyperlink" Target="https://chem.echa.europa.eu/substance-search?searchText=89-61-2" TargetMode="External"/><Relationship Id="rId6670" Type="http://schemas.openxmlformats.org/officeDocument/2006/relationships/hyperlink" Target="https://chemicalsafety.ilo.org/dyn/icsc/showcard.display?p_card_id=1739&amp;p_lang=tr" TargetMode="External"/><Relationship Id="rId2866" Type="http://schemas.openxmlformats.org/officeDocument/2006/relationships/hyperlink" Target="https://chemicalsafety.ilo.org/dyn/icsc/showcard.display?p_card_id=0737&amp;p_lang=tr" TargetMode="External"/><Relationship Id="rId3917" Type="http://schemas.openxmlformats.org/officeDocument/2006/relationships/hyperlink" Target="https://chemicalsafety.ilo.org/dyn/icsc/showcard.display?p_card_id=1009&amp;p_lang=en" TargetMode="External"/><Relationship Id="rId5272" Type="http://schemas.openxmlformats.org/officeDocument/2006/relationships/hyperlink" Target="https://chem.echa.europa.eu/substance-search?searchText=124-22-1" TargetMode="External"/><Relationship Id="rId6323" Type="http://schemas.openxmlformats.org/officeDocument/2006/relationships/hyperlink" Target="https://www.google.com/search?q=924-42-5+SDS+safety+data+sheet+filetype:pdf" TargetMode="External"/><Relationship Id="rId838" Type="http://schemas.openxmlformats.org/officeDocument/2006/relationships/hyperlink" Target="https://chemicalsafety.ilo.org/dyn/icsc/showcard.display?p_card_id=0211&amp;p_lang=tr" TargetMode="External"/><Relationship Id="rId1468" Type="http://schemas.openxmlformats.org/officeDocument/2006/relationships/hyperlink" Target="https://chem.echa.europa.eu/substance-search?searchText=2156-96-9" TargetMode="External"/><Relationship Id="rId1882" Type="http://schemas.openxmlformats.org/officeDocument/2006/relationships/hyperlink" Target="https://chemicalsafety.ilo.org/dyn/icsc/showcard.display?p_card_id=0477&amp;p_lang=tr" TargetMode="External"/><Relationship Id="rId2519" Type="http://schemas.openxmlformats.org/officeDocument/2006/relationships/hyperlink" Target="https://www.google.com/search?q=108-39-4+SDS+safety+data+sheet+filetype:pdf" TargetMode="External"/><Relationship Id="rId1535" Type="http://schemas.openxmlformats.org/officeDocument/2006/relationships/hyperlink" Target="https://www.google.com/search?q=624-18-0+SDS+safety+data+sheet+filetype:pdf" TargetMode="External"/><Relationship Id="rId2933" Type="http://schemas.openxmlformats.org/officeDocument/2006/relationships/hyperlink" Target="https://chemicalsafety.ilo.org/dyn/icsc/showcard.display?p_card_id=0754&amp;p_lang=en" TargetMode="External"/><Relationship Id="rId905" Type="http://schemas.openxmlformats.org/officeDocument/2006/relationships/hyperlink" Target="https://chemicalsafety.ilo.org/dyn/icsc/showcard.display?p_card_id=0228&amp;p_lang=en" TargetMode="External"/><Relationship Id="rId1602" Type="http://schemas.openxmlformats.org/officeDocument/2006/relationships/hyperlink" Target="https://chemicalsafety.ilo.org/dyn/icsc/showcard.display?p_card_id=0404&amp;p_lang=tr" TargetMode="External"/><Relationship Id="rId4758" Type="http://schemas.openxmlformats.org/officeDocument/2006/relationships/hyperlink" Target="https://chemicalsafety.ilo.org/dyn/icsc/showcard.display?p_card_id=1232&amp;p_lang=tr" TargetMode="External"/><Relationship Id="rId5809" Type="http://schemas.openxmlformats.org/officeDocument/2006/relationships/hyperlink" Target="https://chemicalsafety.ilo.org/dyn/icsc/showcard.display?p_card_id=1506&amp;p_lang=en" TargetMode="External"/><Relationship Id="rId6180" Type="http://schemas.openxmlformats.org/officeDocument/2006/relationships/hyperlink" Target="https://chem.echa.europa.eu/substance-search?searchText=868-85-9" TargetMode="External"/><Relationship Id="rId3774" Type="http://schemas.openxmlformats.org/officeDocument/2006/relationships/hyperlink" Target="https://chemicalsafety.ilo.org/dyn/icsc/showcard.display?p_card_id=0967&amp;p_lang=tr" TargetMode="External"/><Relationship Id="rId4825" Type="http://schemas.openxmlformats.org/officeDocument/2006/relationships/hyperlink" Target="https://chemicalsafety.ilo.org/dyn/icsc/showcard.display?p_card_id=1249&amp;p_lang=en" TargetMode="External"/><Relationship Id="rId695" Type="http://schemas.openxmlformats.org/officeDocument/2006/relationships/hyperlink" Target="https://www.google.com/search?q=7439-96-5+SDS+safety+data+sheet+filetype:pdf" TargetMode="External"/><Relationship Id="rId2376" Type="http://schemas.openxmlformats.org/officeDocument/2006/relationships/hyperlink" Target="https://chem.echa.europa.eu/substance-search?searchText=3452-97-9" TargetMode="External"/><Relationship Id="rId2790" Type="http://schemas.openxmlformats.org/officeDocument/2006/relationships/hyperlink" Target="https://chemicalsafety.ilo.org/dyn/icsc/showcard.display?p_card_id=0718&amp;p_lang=tr" TargetMode="External"/><Relationship Id="rId3427" Type="http://schemas.openxmlformats.org/officeDocument/2006/relationships/hyperlink" Target="https://www.google.com/search?q=7782-44-7+SDS+safety+data+sheet+filetype:pdf" TargetMode="External"/><Relationship Id="rId3841" Type="http://schemas.openxmlformats.org/officeDocument/2006/relationships/hyperlink" Target="https://chemicalsafety.ilo.org/dyn/icsc/showcard.display?p_card_id=0985&amp;p_lang=en" TargetMode="External"/><Relationship Id="rId348" Type="http://schemas.openxmlformats.org/officeDocument/2006/relationships/hyperlink" Target="https://chem.echa.europa.eu/substance-search?searchText=67-64-1" TargetMode="External"/><Relationship Id="rId762" Type="http://schemas.openxmlformats.org/officeDocument/2006/relationships/hyperlink" Target="https://chemicalsafety.ilo.org/dyn/icsc/showcard.display?p_card_id=0191&amp;p_lang=tr" TargetMode="External"/><Relationship Id="rId1392" Type="http://schemas.openxmlformats.org/officeDocument/2006/relationships/hyperlink" Target="https://chem.echa.europa.eu/substance-search?searchText=7446-20-0" TargetMode="External"/><Relationship Id="rId2029" Type="http://schemas.openxmlformats.org/officeDocument/2006/relationships/hyperlink" Target="https://chemicalsafety.ilo.org/dyn/icsc/showcard.display?p_card_id=0516&amp;p_lang=en" TargetMode="External"/><Relationship Id="rId2443" Type="http://schemas.openxmlformats.org/officeDocument/2006/relationships/hyperlink" Target="https://www.google.com/search?q=96-33-3+SDS+safety+data+sheet+filetype:pdf" TargetMode="External"/><Relationship Id="rId5599" Type="http://schemas.openxmlformats.org/officeDocument/2006/relationships/hyperlink" Target="https://www.google.com/search?q=314-40-9+SDS+safety+data+sheet+filetype:pdf" TargetMode="External"/><Relationship Id="rId415" Type="http://schemas.openxmlformats.org/officeDocument/2006/relationships/hyperlink" Target="https://www.google.com/search?q=50-32-8+SDS+safety+data+sheet+filetype:pdf" TargetMode="External"/><Relationship Id="rId1045" Type="http://schemas.openxmlformats.org/officeDocument/2006/relationships/hyperlink" Target="https://chemicalsafety.ilo.org/dyn/icsc/showcard.display?p_card_id=0263&amp;p_lang=en" TargetMode="External"/><Relationship Id="rId2510" Type="http://schemas.openxmlformats.org/officeDocument/2006/relationships/hyperlink" Target="https://chemicalsafety.ilo.org/dyn/icsc/showcard.display?p_card_id=0643&amp;p_lang=tr" TargetMode="External"/><Relationship Id="rId5666" Type="http://schemas.openxmlformats.org/officeDocument/2006/relationships/hyperlink" Target="https://chemicalsafety.ilo.org/dyn/icsc/showcard.display?p_card_id=1468&amp;p_lang=tr" TargetMode="External"/><Relationship Id="rId1112" Type="http://schemas.openxmlformats.org/officeDocument/2006/relationships/hyperlink" Target="https://chem.echa.europa.eu/substance-search?searchText=110-54-3" TargetMode="External"/><Relationship Id="rId4268" Type="http://schemas.openxmlformats.org/officeDocument/2006/relationships/hyperlink" Target="https://chem.echa.europa.eu/substance-search?searchText=110-63-4" TargetMode="External"/><Relationship Id="rId5319" Type="http://schemas.openxmlformats.org/officeDocument/2006/relationships/hyperlink" Target="https://www.google.com/search?q=19438-60-9+SDS+safety+data+sheet+filetype:pdf" TargetMode="External"/><Relationship Id="rId6717" Type="http://schemas.openxmlformats.org/officeDocument/2006/relationships/hyperlink" Target="https://chemicalsafety.ilo.org/dyn/icsc/showcard.display?p_card_id=1751&amp;p_lang=en" TargetMode="External"/><Relationship Id="rId3284" Type="http://schemas.openxmlformats.org/officeDocument/2006/relationships/hyperlink" Target="https://chem.echa.europa.eu/substance-search?searchText=8001-35-2" TargetMode="External"/><Relationship Id="rId4682" Type="http://schemas.openxmlformats.org/officeDocument/2006/relationships/hyperlink" Target="https://chemicalsafety.ilo.org/dyn/icsc/showcard.display?p_card_id=1213&amp;p_lang=tr" TargetMode="External"/><Relationship Id="rId5733" Type="http://schemas.openxmlformats.org/officeDocument/2006/relationships/hyperlink" Target="https://chemicalsafety.ilo.org/dyn/icsc/showcard.display?p_card_id=1487&amp;p_lang=en" TargetMode="External"/><Relationship Id="rId1929" Type="http://schemas.openxmlformats.org/officeDocument/2006/relationships/hyperlink" Target="https://chemicalsafety.ilo.org/dyn/icsc/showcard.display?p_card_id=0489&amp;p_lang=en" TargetMode="External"/><Relationship Id="rId4335" Type="http://schemas.openxmlformats.org/officeDocument/2006/relationships/hyperlink" Target="https://www.google.com/search?q=3333-52-6+SDS+safety+data+sheet+filetype:pdf" TargetMode="External"/><Relationship Id="rId5800" Type="http://schemas.openxmlformats.org/officeDocument/2006/relationships/hyperlink" Target="https://chem.echa.europa.eu/substance-search?searchText=120068-37-3" TargetMode="External"/><Relationship Id="rId3351" Type="http://schemas.openxmlformats.org/officeDocument/2006/relationships/hyperlink" Target="https://www.google.com/search?q=7783-47-3+SDS+safety+data+sheet+filetype:pdf" TargetMode="External"/><Relationship Id="rId4402" Type="http://schemas.openxmlformats.org/officeDocument/2006/relationships/hyperlink" Target="https://chemicalsafety.ilo.org/dyn/icsc/showcard.display?p_card_id=1139&amp;p_lang=tr" TargetMode="External"/><Relationship Id="rId272" Type="http://schemas.openxmlformats.org/officeDocument/2006/relationships/hyperlink" Target="https://chem.echa.europa.eu/substance-search?searchText=10028-15-6" TargetMode="External"/><Relationship Id="rId3004" Type="http://schemas.openxmlformats.org/officeDocument/2006/relationships/hyperlink" Target="https://chem.echa.europa.eu/substance-search?searchText=124-41-4" TargetMode="External"/><Relationship Id="rId6574" Type="http://schemas.openxmlformats.org/officeDocument/2006/relationships/hyperlink" Target="https://chemicalsafety.ilo.org/dyn/icsc/showcard.display?p_card_id=1714&amp;p_lang=tr" TargetMode="External"/><Relationship Id="rId2020" Type="http://schemas.openxmlformats.org/officeDocument/2006/relationships/hyperlink" Target="https://chem.echa.europa.eu/substance-search?searchText=872-50-4" TargetMode="External"/><Relationship Id="rId5176" Type="http://schemas.openxmlformats.org/officeDocument/2006/relationships/hyperlink" Target="https://chem.echa.europa.eu/substance-search?searchText=103-83-3" TargetMode="External"/><Relationship Id="rId5590" Type="http://schemas.openxmlformats.org/officeDocument/2006/relationships/hyperlink" Target="https://chemicalsafety.ilo.org/dyn/icsc/showcard.display?p_card_id=1446&amp;p_lang=tr" TargetMode="External"/><Relationship Id="rId6227" Type="http://schemas.openxmlformats.org/officeDocument/2006/relationships/hyperlink" Target="https://www.google.com/search?q=128-39-2+SDS+safety+data+sheet+filetype:pdf" TargetMode="External"/><Relationship Id="rId6641" Type="http://schemas.openxmlformats.org/officeDocument/2006/relationships/hyperlink" Target="https://chemicalsafety.ilo.org/dyn/icsc/showcard.display?p_card_id=1732&amp;p_lang=en" TargetMode="External"/><Relationship Id="rId4192" Type="http://schemas.openxmlformats.org/officeDocument/2006/relationships/hyperlink" Target="https://chem.echa.europa.eu/substance-search?searchText=111-70-6" TargetMode="External"/><Relationship Id="rId5243" Type="http://schemas.openxmlformats.org/officeDocument/2006/relationships/hyperlink" Target="https://www.google.com/search?q=111-96-6+SDS+safety+data+sheet+filetype:pdf" TargetMode="External"/><Relationship Id="rId1786" Type="http://schemas.openxmlformats.org/officeDocument/2006/relationships/hyperlink" Target="https://chemicalsafety.ilo.org/dyn/icsc/showcard.display?p_card_id=0451&amp;p_lang=tr" TargetMode="External"/><Relationship Id="rId2837" Type="http://schemas.openxmlformats.org/officeDocument/2006/relationships/hyperlink" Target="https://chemicalsafety.ilo.org/dyn/icsc/showcard.display?p_card_id=0730&amp;p_lang=en" TargetMode="External"/><Relationship Id="rId78" Type="http://schemas.openxmlformats.org/officeDocument/2006/relationships/hyperlink" Target="https://chemicalsafety.ilo.org/dyn/icsc/showcard.display?p_card_id=0020&amp;p_lang=tr" TargetMode="External"/><Relationship Id="rId809" Type="http://schemas.openxmlformats.org/officeDocument/2006/relationships/hyperlink" Target="https://chemicalsafety.ilo.org/dyn/icsc/showcard.display?p_card_id=0203&amp;p_lang=en" TargetMode="External"/><Relationship Id="rId1439" Type="http://schemas.openxmlformats.org/officeDocument/2006/relationships/hyperlink" Target="https://www.google.com/search?q=8052-41-3+SDS+safety+data+sheet+filetype:pdf" TargetMode="External"/><Relationship Id="rId1853" Type="http://schemas.openxmlformats.org/officeDocument/2006/relationships/hyperlink" Target="https://chemicalsafety.ilo.org/dyn/icsc/showcard.display?p_card_id=0470&amp;p_lang=en" TargetMode="External"/><Relationship Id="rId2904" Type="http://schemas.openxmlformats.org/officeDocument/2006/relationships/hyperlink" Target="https://chem.echa.europa.eu/substance-search?searchText=13569-65-8" TargetMode="External"/><Relationship Id="rId5310" Type="http://schemas.openxmlformats.org/officeDocument/2006/relationships/hyperlink" Target="https://chemicalsafety.ilo.org/dyn/icsc/showcard.display?p_card_id=1374&amp;p_lang=tr" TargetMode="External"/><Relationship Id="rId1506" Type="http://schemas.openxmlformats.org/officeDocument/2006/relationships/hyperlink" Target="https://chemicalsafety.ilo.org/dyn/icsc/showcard.display?p_card_id=0379&amp;p_lang=tr" TargetMode="External"/><Relationship Id="rId1920" Type="http://schemas.openxmlformats.org/officeDocument/2006/relationships/hyperlink" Target="https://chem.echa.europa.eu/substance-search?searchText=75-98-9" TargetMode="External"/><Relationship Id="rId3678" Type="http://schemas.openxmlformats.org/officeDocument/2006/relationships/hyperlink" Target="https://chemicalsafety.ilo.org/dyn/icsc/showcard.display?p_card_id=0943&amp;p_lang=tr" TargetMode="External"/><Relationship Id="rId4729" Type="http://schemas.openxmlformats.org/officeDocument/2006/relationships/hyperlink" Target="https://chemicalsafety.ilo.org/dyn/icsc/showcard.display?p_card_id=1225&amp;p_lang=en" TargetMode="External"/><Relationship Id="rId6084" Type="http://schemas.openxmlformats.org/officeDocument/2006/relationships/hyperlink" Target="https://chem.echa.europa.eu/substance-search?searchText=2691-41-0" TargetMode="External"/><Relationship Id="rId599" Type="http://schemas.openxmlformats.org/officeDocument/2006/relationships/hyperlink" Target="https://www.google.com/search?q=108-43-0+SDS+safety+data+sheet+filetype:pdf" TargetMode="External"/><Relationship Id="rId2694" Type="http://schemas.openxmlformats.org/officeDocument/2006/relationships/hyperlink" Target="https://chemicalsafety.ilo.org/dyn/icsc/showcard.display?p_card_id=0694&amp;p_lang=tr" TargetMode="External"/><Relationship Id="rId3745" Type="http://schemas.openxmlformats.org/officeDocument/2006/relationships/hyperlink" Target="https://chemicalsafety.ilo.org/dyn/icsc/showcard.display?p_card_id=0960&amp;p_lang=en" TargetMode="External"/><Relationship Id="rId6151" Type="http://schemas.openxmlformats.org/officeDocument/2006/relationships/hyperlink" Target="https://www.google.com/search?q=21351-79-1+SDS+safety+data+sheet+filetype:pdf" TargetMode="External"/><Relationship Id="rId666" Type="http://schemas.openxmlformats.org/officeDocument/2006/relationships/hyperlink" Target="https://chemicalsafety.ilo.org/dyn/icsc/showcard.display?p_card_id=0167&amp;p_lang=tr" TargetMode="External"/><Relationship Id="rId1296" Type="http://schemas.openxmlformats.org/officeDocument/2006/relationships/hyperlink" Target="https://chem.echa.europa.eu/substance-search?searchText=37299-86-8" TargetMode="External"/><Relationship Id="rId2347" Type="http://schemas.openxmlformats.org/officeDocument/2006/relationships/hyperlink" Target="https://www.google.com/search?q=1300-73-8+SDS+safety+data+sheet+filetype:pdf" TargetMode="External"/><Relationship Id="rId319" Type="http://schemas.openxmlformats.org/officeDocument/2006/relationships/hyperlink" Target="https://www.google.com/search?q=79-00-5+SDS+safety+data+sheet+filetype:pdf" TargetMode="External"/><Relationship Id="rId1363" Type="http://schemas.openxmlformats.org/officeDocument/2006/relationships/hyperlink" Target="https://www.google.com/search?q=108-44-1+SDS+safety+data+sheet+filetype:pdf" TargetMode="External"/><Relationship Id="rId2761" Type="http://schemas.openxmlformats.org/officeDocument/2006/relationships/hyperlink" Target="https://chemicalsafety.ilo.org/dyn/icsc/showcard.display?p_card_id=0711&amp;p_lang=en" TargetMode="External"/><Relationship Id="rId3812" Type="http://schemas.openxmlformats.org/officeDocument/2006/relationships/hyperlink" Target="https://chem.echa.europa.eu/substance-search?searchText=12079-65-1" TargetMode="External"/><Relationship Id="rId733" Type="http://schemas.openxmlformats.org/officeDocument/2006/relationships/hyperlink" Target="https://chemicalsafety.ilo.org/dyn/icsc/showcard.display?p_card_id=0184&amp;p_lang=en" TargetMode="External"/><Relationship Id="rId1016" Type="http://schemas.openxmlformats.org/officeDocument/2006/relationships/hyperlink" Target="https://chem.echa.europa.eu/substance-search?searchText=618-62-2" TargetMode="External"/><Relationship Id="rId2414" Type="http://schemas.openxmlformats.org/officeDocument/2006/relationships/hyperlink" Target="https://chemicalsafety.ilo.org/dyn/icsc/showcard.display?p_card_id=0618&amp;p_lang=tr" TargetMode="External"/><Relationship Id="rId5984" Type="http://schemas.openxmlformats.org/officeDocument/2006/relationships/hyperlink" Target="https://chem.echa.europa.eu/substance-search?searchText=92-59-1" TargetMode="External"/><Relationship Id="rId800" Type="http://schemas.openxmlformats.org/officeDocument/2006/relationships/hyperlink" Target="https://chem.echa.europa.eu/substance-search?searchText=75-74-1" TargetMode="External"/><Relationship Id="rId1430" Type="http://schemas.openxmlformats.org/officeDocument/2006/relationships/hyperlink" Target="https://chemicalsafety.ilo.org/dyn/icsc/showcard.display?p_card_id=0359&amp;p_lang=tr" TargetMode="External"/><Relationship Id="rId4586" Type="http://schemas.openxmlformats.org/officeDocument/2006/relationships/hyperlink" Target="https://chemicalsafety.ilo.org/dyn/icsc/showcard.display?p_card_id=1186&amp;p_lang=tr" TargetMode="External"/><Relationship Id="rId5637" Type="http://schemas.openxmlformats.org/officeDocument/2006/relationships/hyperlink" Target="https://chemicalsafety.ilo.org/dyn/icsc/showcard.display?p_card_id=1458&amp;p_lang=en" TargetMode="External"/><Relationship Id="rId3188" Type="http://schemas.openxmlformats.org/officeDocument/2006/relationships/hyperlink" Target="https://chem.echa.europa.eu/substance-search?searchText=79-24-3" TargetMode="External"/><Relationship Id="rId4239" Type="http://schemas.openxmlformats.org/officeDocument/2006/relationships/hyperlink" Target="https://www.google.com/search?q=541-73-1+SDS+safety+data+sheet+filetype:pdf" TargetMode="External"/><Relationship Id="rId4653" Type="http://schemas.openxmlformats.org/officeDocument/2006/relationships/hyperlink" Target="https://chemicalsafety.ilo.org/dyn/icsc/showcard.display?p_card_id=1206&amp;p_lang=en" TargetMode="External"/><Relationship Id="rId5704" Type="http://schemas.openxmlformats.org/officeDocument/2006/relationships/hyperlink" Target="https://chem.echa.europa.eu/substance-search?searchText=872-05-9" TargetMode="External"/><Relationship Id="rId3255" Type="http://schemas.openxmlformats.org/officeDocument/2006/relationships/hyperlink" Target="https://www.google.com/search?q=485-31-4+SDS+safety+data+sheet+filetype:pdf" TargetMode="External"/><Relationship Id="rId4306" Type="http://schemas.openxmlformats.org/officeDocument/2006/relationships/hyperlink" Target="https://chemicalsafety.ilo.org/dyn/icsc/showcard.display?p_card_id=1114&amp;p_lang=tr" TargetMode="External"/><Relationship Id="rId4720" Type="http://schemas.openxmlformats.org/officeDocument/2006/relationships/hyperlink" Target="https://chem.echa.europa.eu/substance-search?searchText=87-61-6" TargetMode="External"/><Relationship Id="rId176" Type="http://schemas.openxmlformats.org/officeDocument/2006/relationships/hyperlink" Target="https://chem.echa.europa.eu/substance-search?searchText=64-17-5" TargetMode="External"/><Relationship Id="rId590" Type="http://schemas.openxmlformats.org/officeDocument/2006/relationships/hyperlink" Target="https://chemicalsafety.ilo.org/dyn/icsc/showcard.display?p_card_id=0148&amp;p_lang=tr" TargetMode="External"/><Relationship Id="rId2271" Type="http://schemas.openxmlformats.org/officeDocument/2006/relationships/hyperlink" Target="https://www.google.com/search?q=62-55-5+SDS+safety+data+sheet+filetype:pdf" TargetMode="External"/><Relationship Id="rId3322" Type="http://schemas.openxmlformats.org/officeDocument/2006/relationships/hyperlink" Target="https://chemicalsafety.ilo.org/dyn/icsc/showcard.display?p_card_id=0853&amp;p_lang=tr" TargetMode="External"/><Relationship Id="rId6478" Type="http://schemas.openxmlformats.org/officeDocument/2006/relationships/hyperlink" Target="https://chemicalsafety.ilo.org/dyn/icsc/showcard.display?p_card_id=1685&amp;p_lang=tr" TargetMode="External"/><Relationship Id="rId243" Type="http://schemas.openxmlformats.org/officeDocument/2006/relationships/hyperlink" Target="https://www.google.com/search?q=109-86-4+SDS+safety+data+sheet+filetype:pdf" TargetMode="External"/><Relationship Id="rId5494" Type="http://schemas.openxmlformats.org/officeDocument/2006/relationships/hyperlink" Target="https://chemicalsafety.ilo.org/dyn/icsc/showcard.display?p_card_id=1422&amp;p_lang=tr" TargetMode="External"/><Relationship Id="rId310" Type="http://schemas.openxmlformats.org/officeDocument/2006/relationships/hyperlink" Target="https://chemicalsafety.ilo.org/dyn/icsc/showcard.display?p_card_id=0078&amp;p_lang=tr" TargetMode="External"/><Relationship Id="rId4096" Type="http://schemas.openxmlformats.org/officeDocument/2006/relationships/hyperlink" Target="https://chem.echa.europa.eu/substance-search?searchText=110-83-8" TargetMode="External"/><Relationship Id="rId5147" Type="http://schemas.openxmlformats.org/officeDocument/2006/relationships/hyperlink" Target="https://www.google.com/search?q=1066-33-7+SDS+safety+data+sheet+filetype:pdf" TargetMode="External"/><Relationship Id="rId6545" Type="http://schemas.openxmlformats.org/officeDocument/2006/relationships/hyperlink" Target="https://chemicalsafety.ilo.org/dyn/icsc/showcard.display?p_card_id=1707&amp;p_lang=en" TargetMode="External"/><Relationship Id="rId5561" Type="http://schemas.openxmlformats.org/officeDocument/2006/relationships/hyperlink" Target="https://chemicalsafety.ilo.org/dyn/icsc/showcard.display?p_card_id=1439&amp;p_lang=en" TargetMode="External"/><Relationship Id="rId6612" Type="http://schemas.openxmlformats.org/officeDocument/2006/relationships/hyperlink" Target="https://chem.echa.europa.eu/substance-search?searchText=818-61-1" TargetMode="External"/><Relationship Id="rId1757" Type="http://schemas.openxmlformats.org/officeDocument/2006/relationships/hyperlink" Target="https://chemicalsafety.ilo.org/dyn/icsc/showcard.display?p_card_id=0444&amp;p_lang=en" TargetMode="External"/><Relationship Id="rId2808" Type="http://schemas.openxmlformats.org/officeDocument/2006/relationships/hyperlink" Target="https://chem.echa.europa.eu/substance-search?searchText=610-40-2" TargetMode="External"/><Relationship Id="rId4163" Type="http://schemas.openxmlformats.org/officeDocument/2006/relationships/hyperlink" Target="https://www.google.com/search?q=598-31-2+SDS+safety+data+sheet+filetype:pdf" TargetMode="External"/><Relationship Id="rId5214" Type="http://schemas.openxmlformats.org/officeDocument/2006/relationships/hyperlink" Target="https://chemicalsafety.ilo.org/dyn/icsc/showcard.display?p_card_id=1350&amp;p_lang=tr" TargetMode="External"/><Relationship Id="rId49" Type="http://schemas.openxmlformats.org/officeDocument/2006/relationships/hyperlink" Target="https://chemicalsafety.ilo.org/dyn/icsc/showcard.display?p_card_id=0013&amp;p_lang=en" TargetMode="External"/><Relationship Id="rId1824" Type="http://schemas.openxmlformats.org/officeDocument/2006/relationships/hyperlink" Target="https://chem.echa.europa.eu/substance-search?searchText=534-52-1" TargetMode="External"/><Relationship Id="rId4230" Type="http://schemas.openxmlformats.org/officeDocument/2006/relationships/hyperlink" Target="https://chemicalsafety.ilo.org/dyn/icsc/showcard.display?p_card_id=1092&amp;p_lang=tr" TargetMode="External"/><Relationship Id="rId2598" Type="http://schemas.openxmlformats.org/officeDocument/2006/relationships/hyperlink" Target="https://chemicalsafety.ilo.org/dyn/icsc/showcard.display?p_card_id=0667&amp;p_lang=tr" TargetMode="External"/><Relationship Id="rId3996" Type="http://schemas.openxmlformats.org/officeDocument/2006/relationships/hyperlink" Target="https://chem.echa.europa.eu/substance-search?searchText=554-12-1" TargetMode="External"/><Relationship Id="rId6055" Type="http://schemas.openxmlformats.org/officeDocument/2006/relationships/hyperlink" Target="https://www.google.com/search?q=110-71-4+SDS+safety+data+sheet+filetype:pdf" TargetMode="External"/><Relationship Id="rId3649" Type="http://schemas.openxmlformats.org/officeDocument/2006/relationships/hyperlink" Target="https://chemicalsafety.ilo.org/dyn/icsc/showcard.display?p_card_id=0936&amp;p_lang=en" TargetMode="External"/><Relationship Id="rId5071" Type="http://schemas.openxmlformats.org/officeDocument/2006/relationships/hyperlink" Target="https://www.google.com/search?q=108-30-5+SDS+safety+data+sheet+filetype:pdf" TargetMode="External"/><Relationship Id="rId6122" Type="http://schemas.openxmlformats.org/officeDocument/2006/relationships/hyperlink" Target="https://chemicalsafety.ilo.org/dyn/icsc/showcard.display?p_card_id=1585&amp;p_lang=tr" TargetMode="External"/><Relationship Id="rId777" Type="http://schemas.openxmlformats.org/officeDocument/2006/relationships/hyperlink" Target="https://chemicalsafety.ilo.org/dyn/icsc/showcard.display?p_card_id=0195&amp;p_lang=en" TargetMode="External"/><Relationship Id="rId984" Type="http://schemas.openxmlformats.org/officeDocument/2006/relationships/hyperlink" Target="https://chem.echa.europa.eu/substance-search?searchText=52918-63-5" TargetMode="External"/><Relationship Id="rId2458" Type="http://schemas.openxmlformats.org/officeDocument/2006/relationships/hyperlink" Target="https://chemicalsafety.ilo.org/dyn/icsc/showcard.display?p_card_id=0629&amp;p_lang=tr" TargetMode="External"/><Relationship Id="rId2665" Type="http://schemas.openxmlformats.org/officeDocument/2006/relationships/hyperlink" Target="https://chemicalsafety.ilo.org/dyn/icsc/showcard.display?p_card_id=0686&amp;p_lang=en" TargetMode="External"/><Relationship Id="rId2872" Type="http://schemas.openxmlformats.org/officeDocument/2006/relationships/hyperlink" Target="https://chem.echa.europa.eu/substance-search?searchText=10025-69-1" TargetMode="External"/><Relationship Id="rId3509" Type="http://schemas.openxmlformats.org/officeDocument/2006/relationships/hyperlink" Target="https://chemicalsafety.ilo.org/dyn/icsc/showcard.display?p_card_id=0901&amp;p_lang=en" TargetMode="External"/><Relationship Id="rId3716" Type="http://schemas.openxmlformats.org/officeDocument/2006/relationships/hyperlink" Target="https://chem.echa.europa.eu/substance-search?searchText=7757-82-6" TargetMode="External"/><Relationship Id="rId3923" Type="http://schemas.openxmlformats.org/officeDocument/2006/relationships/hyperlink" Target="https://www.google.com/search?q=7631-95-0+SDS+safety+data+sheet+filetype:pdf" TargetMode="External"/><Relationship Id="rId637" Type="http://schemas.openxmlformats.org/officeDocument/2006/relationships/hyperlink" Target="https://chemicalsafety.ilo.org/dyn/icsc/showcard.display?p_card_id=0160&amp;p_lang=en" TargetMode="External"/><Relationship Id="rId844" Type="http://schemas.openxmlformats.org/officeDocument/2006/relationships/hyperlink" Target="https://chem.echa.europa.eu/substance-search?searchText=584-79-2" TargetMode="External"/><Relationship Id="rId1267" Type="http://schemas.openxmlformats.org/officeDocument/2006/relationships/hyperlink" Target="https://www.google.com/search?q=9016-00-6+SDS+safety+data+sheet+filetype:pdf" TargetMode="External"/><Relationship Id="rId1474" Type="http://schemas.openxmlformats.org/officeDocument/2006/relationships/hyperlink" Target="https://chemicalsafety.ilo.org/dyn/icsc/showcard.display?p_card_id=0371&amp;p_lang=tr" TargetMode="External"/><Relationship Id="rId1681" Type="http://schemas.openxmlformats.org/officeDocument/2006/relationships/hyperlink" Target="https://chemicalsafety.ilo.org/dyn/icsc/showcard.display?p_card_id=0425&amp;p_lang=en" TargetMode="External"/><Relationship Id="rId2318" Type="http://schemas.openxmlformats.org/officeDocument/2006/relationships/hyperlink" Target="https://chemicalsafety.ilo.org/dyn/icsc/showcard.display?p_card_id=0592&amp;p_lang=tr" TargetMode="External"/><Relationship Id="rId2525" Type="http://schemas.openxmlformats.org/officeDocument/2006/relationships/hyperlink" Target="https://chemicalsafety.ilo.org/dyn/icsc/showcard.display?p_card_id=0648&amp;p_lang=en" TargetMode="External"/><Relationship Id="rId2732" Type="http://schemas.openxmlformats.org/officeDocument/2006/relationships/hyperlink" Target="https://chem.echa.europa.eu/substance-search?searchText=109-69-3" TargetMode="External"/><Relationship Id="rId5888" Type="http://schemas.openxmlformats.org/officeDocument/2006/relationships/hyperlink" Target="https://chem.echa.europa.eu/substance-search?searchText=84-15-1" TargetMode="External"/><Relationship Id="rId704" Type="http://schemas.openxmlformats.org/officeDocument/2006/relationships/hyperlink" Target="https://chem.echa.europa.eu/substance-search?searchText=10265-92-6" TargetMode="External"/><Relationship Id="rId911" Type="http://schemas.openxmlformats.org/officeDocument/2006/relationships/hyperlink" Target="https://www.google.com/search?q=28434-01-7+SDS+safety+data+sheet+filetype:pdf" TargetMode="External"/><Relationship Id="rId1127" Type="http://schemas.openxmlformats.org/officeDocument/2006/relationships/hyperlink" Target="https://www.google.com/search?q=7664-39-3+SDS+safety+data+sheet+filetype:pdf" TargetMode="External"/><Relationship Id="rId1334" Type="http://schemas.openxmlformats.org/officeDocument/2006/relationships/hyperlink" Target="https://chemicalsafety.ilo.org/dyn/icsc/showcard.display?p_card_id=0335&amp;p_lang=tr" TargetMode="External"/><Relationship Id="rId1541" Type="http://schemas.openxmlformats.org/officeDocument/2006/relationships/hyperlink" Target="https://chemicalsafety.ilo.org/dyn/icsc/showcard.display?p_card_id=0388&amp;p_lang=en" TargetMode="External"/><Relationship Id="rId4697" Type="http://schemas.openxmlformats.org/officeDocument/2006/relationships/hyperlink" Target="https://chemicalsafety.ilo.org/dyn/icsc/showcard.display?p_card_id=1217&amp;p_lang=en" TargetMode="External"/><Relationship Id="rId5748" Type="http://schemas.openxmlformats.org/officeDocument/2006/relationships/hyperlink" Target="https://chem.echa.europa.eu/substance-search?searchText=112-30-1" TargetMode="External"/><Relationship Id="rId5955" Type="http://schemas.openxmlformats.org/officeDocument/2006/relationships/hyperlink" Target="https://www.google.com/search?q=99-56-9+SDS+safety+data+sheet+filetype:pdf" TargetMode="External"/><Relationship Id="rId40" Type="http://schemas.openxmlformats.org/officeDocument/2006/relationships/hyperlink" Target="https://chem.echa.europa.eu/substance-search?searchText=107-05-1" TargetMode="External"/><Relationship Id="rId1401" Type="http://schemas.openxmlformats.org/officeDocument/2006/relationships/hyperlink" Target="https://chemicalsafety.ilo.org/dyn/icsc/showcard.display?p_card_id=0352&amp;p_lang=en" TargetMode="External"/><Relationship Id="rId3299" Type="http://schemas.openxmlformats.org/officeDocument/2006/relationships/hyperlink" Target="https://www.google.com/search?q=7440-58-6+SDS+safety+data+sheet+filetype:pdf" TargetMode="External"/><Relationship Id="rId4557" Type="http://schemas.openxmlformats.org/officeDocument/2006/relationships/hyperlink" Target="https://chemicalsafety.ilo.org/dyn/icsc/showcard.display?p_card_id=1178&amp;p_lang=en" TargetMode="External"/><Relationship Id="rId4764" Type="http://schemas.openxmlformats.org/officeDocument/2006/relationships/hyperlink" Target="https://chem.echa.europa.eu/substance-search?searchText=16961-83-4" TargetMode="External"/><Relationship Id="rId5608" Type="http://schemas.openxmlformats.org/officeDocument/2006/relationships/hyperlink" Target="https://chem.echa.europa.eu/substance-search?searchText=7447-40-7" TargetMode="External"/><Relationship Id="rId3159" Type="http://schemas.openxmlformats.org/officeDocument/2006/relationships/hyperlink" Target="https://www.google.com/search?q=7440-22-4+SDS+safety+data+sheet+filetype:pdf" TargetMode="External"/><Relationship Id="rId3366" Type="http://schemas.openxmlformats.org/officeDocument/2006/relationships/hyperlink" Target="https://chemicalsafety.ilo.org/dyn/icsc/showcard.display?p_card_id=0865&amp;p_lang=tr" TargetMode="External"/><Relationship Id="rId3573" Type="http://schemas.openxmlformats.org/officeDocument/2006/relationships/hyperlink" Target="https://chemicalsafety.ilo.org/dyn/icsc/showcard.display?p_card_id=0917&amp;p_lang=en" TargetMode="External"/><Relationship Id="rId4417" Type="http://schemas.openxmlformats.org/officeDocument/2006/relationships/hyperlink" Target="https://chemicalsafety.ilo.org/dyn/icsc/showcard.display?p_card_id=1143&amp;p_lang=en" TargetMode="External"/><Relationship Id="rId4971" Type="http://schemas.openxmlformats.org/officeDocument/2006/relationships/hyperlink" Target="https://www.google.com/search?q=80-51-3+SDS+safety+data+sheet+filetype:pdf" TargetMode="External"/><Relationship Id="rId5815" Type="http://schemas.openxmlformats.org/officeDocument/2006/relationships/hyperlink" Target="https://www.google.com/search?q=57-50-1+SDS+safety+data+sheet+filetype:pdf" TargetMode="External"/><Relationship Id="rId287" Type="http://schemas.openxmlformats.org/officeDocument/2006/relationships/hyperlink" Target="https://www.google.com/search?q=7782-49-2+SDS+safety+data+sheet+filetype:pdf" TargetMode="External"/><Relationship Id="rId494" Type="http://schemas.openxmlformats.org/officeDocument/2006/relationships/hyperlink" Target="https://chemicalsafety.ilo.org/dyn/icsc/showcard.display?p_card_id=0124&amp;p_lang=tr" TargetMode="External"/><Relationship Id="rId2175" Type="http://schemas.openxmlformats.org/officeDocument/2006/relationships/hyperlink" Target="https://www.google.com/search?q=57-57-8+SDS+safety+data+sheet+filetype:pdf" TargetMode="External"/><Relationship Id="rId2382" Type="http://schemas.openxmlformats.org/officeDocument/2006/relationships/hyperlink" Target="https://chemicalsafety.ilo.org/dyn/icsc/showcard.display?p_card_id=0610&amp;p_lang=tr" TargetMode="External"/><Relationship Id="rId3019" Type="http://schemas.openxmlformats.org/officeDocument/2006/relationships/hyperlink" Target="https://www.google.com/search?q=7440-36-0+SDS+safety+data+sheet+filetype:pdf" TargetMode="External"/><Relationship Id="rId3226" Type="http://schemas.openxmlformats.org/officeDocument/2006/relationships/hyperlink" Target="https://chemicalsafety.ilo.org/dyn/icsc/showcard.display?p_card_id=0827&amp;p_lang=tr" TargetMode="External"/><Relationship Id="rId3780" Type="http://schemas.openxmlformats.org/officeDocument/2006/relationships/hyperlink" Target="https://chem.echa.europa.eu/substance-search?searchText=78-42-2" TargetMode="External"/><Relationship Id="rId4624" Type="http://schemas.openxmlformats.org/officeDocument/2006/relationships/hyperlink" Target="https://chem.echa.europa.eu/substance-search?searchText=7487-88-9" TargetMode="External"/><Relationship Id="rId4831" Type="http://schemas.openxmlformats.org/officeDocument/2006/relationships/hyperlink" Target="https://www.google.com/search?q=7783-81-5+SDS+safety+data+sheet+filetype:pdf" TargetMode="External"/><Relationship Id="rId147" Type="http://schemas.openxmlformats.org/officeDocument/2006/relationships/hyperlink" Target="https://www.google.com/search?q=106-46-7+SDS+safety+data+sheet+filetype:pdf" TargetMode="External"/><Relationship Id="rId354" Type="http://schemas.openxmlformats.org/officeDocument/2006/relationships/hyperlink" Target="https://chemicalsafety.ilo.org/dyn/icsc/showcard.display?p_card_id=0089&amp;p_lang=tr" TargetMode="External"/><Relationship Id="rId1191" Type="http://schemas.openxmlformats.org/officeDocument/2006/relationships/hyperlink" Target="https://www.google.com/search?q=74-93-1+SDS+safety+data+sheet+filetype:pdf" TargetMode="External"/><Relationship Id="rId2035" Type="http://schemas.openxmlformats.org/officeDocument/2006/relationships/hyperlink" Target="https://www.google.com/search?q=134-32-7+SDS+safety+data+sheet+filetype:pdf" TargetMode="External"/><Relationship Id="rId3433" Type="http://schemas.openxmlformats.org/officeDocument/2006/relationships/hyperlink" Target="https://chemicalsafety.ilo.org/dyn/icsc/showcard.display?p_card_id=0882&amp;p_lang=en" TargetMode="External"/><Relationship Id="rId3640" Type="http://schemas.openxmlformats.org/officeDocument/2006/relationships/hyperlink" Target="https://chem.echa.europa.eu/substance-search?searchText=111-65-9" TargetMode="External"/><Relationship Id="rId6589" Type="http://schemas.openxmlformats.org/officeDocument/2006/relationships/hyperlink" Target="https://chemicalsafety.ilo.org/dyn/icsc/showcard.display?p_card_id=1718&amp;p_lang=en" TargetMode="External"/><Relationship Id="rId6796" Type="http://schemas.openxmlformats.org/officeDocument/2006/relationships/hyperlink" Target="https://chem.echa.europa.eu/substance-search?searchText=13765-19-0" TargetMode="External"/><Relationship Id="rId561" Type="http://schemas.openxmlformats.org/officeDocument/2006/relationships/hyperlink" Target="https://chemicalsafety.ilo.org/dyn/icsc/showcard.display?p_card_id=0141&amp;p_lang=en" TargetMode="External"/><Relationship Id="rId2242" Type="http://schemas.openxmlformats.org/officeDocument/2006/relationships/hyperlink" Target="https://chemicalsafety.ilo.org/dyn/icsc/showcard.display?p_card_id=0572&amp;p_lang=tr" TargetMode="External"/><Relationship Id="rId3500" Type="http://schemas.openxmlformats.org/officeDocument/2006/relationships/hyperlink" Target="https://chem.echa.europa.eu/substance-search?searchText=10039-54-0" TargetMode="External"/><Relationship Id="rId5398" Type="http://schemas.openxmlformats.org/officeDocument/2006/relationships/hyperlink" Target="https://chemicalsafety.ilo.org/dyn/icsc/showcard.display?p_card_id=1397&amp;p_lang=tr" TargetMode="External"/><Relationship Id="rId6449" Type="http://schemas.openxmlformats.org/officeDocument/2006/relationships/hyperlink" Target="https://chemicalsafety.ilo.org/dyn/icsc/showcard.display?p_card_id=1678&amp;p_lang=en" TargetMode="External"/><Relationship Id="rId6656" Type="http://schemas.openxmlformats.org/officeDocument/2006/relationships/hyperlink" Target="https://chem.echa.europa.eu/substance-search?searchText=25339-53-1" TargetMode="External"/><Relationship Id="rId214" Type="http://schemas.openxmlformats.org/officeDocument/2006/relationships/hyperlink" Target="https://chemicalsafety.ilo.org/dyn/icsc/showcard.display?p_card_id=0054&amp;p_lang=tr" TargetMode="External"/><Relationship Id="rId421" Type="http://schemas.openxmlformats.org/officeDocument/2006/relationships/hyperlink" Target="https://chemicalsafety.ilo.org/dyn/icsc/showcard.display?p_card_id=0106&amp;p_lang=en" TargetMode="External"/><Relationship Id="rId1051" Type="http://schemas.openxmlformats.org/officeDocument/2006/relationships/hyperlink" Target="https://www.google.com/search?q=105-74-8+SDS+safety+data+sheet+filetype:pdf" TargetMode="External"/><Relationship Id="rId2102" Type="http://schemas.openxmlformats.org/officeDocument/2006/relationships/hyperlink" Target="https://chemicalsafety.ilo.org/dyn/icsc/showcard.display?p_card_id=0536&amp;p_lang=tr" TargetMode="External"/><Relationship Id="rId5258" Type="http://schemas.openxmlformats.org/officeDocument/2006/relationships/hyperlink" Target="https://chemicalsafety.ilo.org/dyn/icsc/showcard.display?p_card_id=1361&amp;p_lang=tr" TargetMode="External"/><Relationship Id="rId5465" Type="http://schemas.openxmlformats.org/officeDocument/2006/relationships/hyperlink" Target="https://chemicalsafety.ilo.org/dyn/icsc/showcard.display?p_card_id=1415&amp;p_lang=en" TargetMode="External"/><Relationship Id="rId5672" Type="http://schemas.openxmlformats.org/officeDocument/2006/relationships/hyperlink" Target="https://chem.echa.europa.eu/substance-search?searchText=7758-29-4" TargetMode="External"/><Relationship Id="rId6309" Type="http://schemas.openxmlformats.org/officeDocument/2006/relationships/hyperlink" Target="https://chemicalsafety.ilo.org/dyn/icsc/showcard.display?p_card_id=1634&amp;p_lang=en" TargetMode="External"/><Relationship Id="rId6516" Type="http://schemas.openxmlformats.org/officeDocument/2006/relationships/hyperlink" Target="https://chem.echa.europa.eu/substance-search?searchText=26896-20-8" TargetMode="External"/><Relationship Id="rId6723" Type="http://schemas.openxmlformats.org/officeDocument/2006/relationships/hyperlink" Target="https://www.google.com/search?q=88917-22-0+SDS+safety+data+sheet+filetype:pdf" TargetMode="External"/><Relationship Id="rId1868" Type="http://schemas.openxmlformats.org/officeDocument/2006/relationships/hyperlink" Target="https://chem.echa.europa.eu/substance-search?searchText=16219-75-3" TargetMode="External"/><Relationship Id="rId4067" Type="http://schemas.openxmlformats.org/officeDocument/2006/relationships/hyperlink" Target="https://www.google.com/search?q=1313-82-2+SDS+safety+data+sheet+filetype:pdf" TargetMode="External"/><Relationship Id="rId4274" Type="http://schemas.openxmlformats.org/officeDocument/2006/relationships/hyperlink" Target="https://chemicalsafety.ilo.org/dyn/icsc/showcard.display?p_card_id=1106&amp;p_lang=tr" TargetMode="External"/><Relationship Id="rId4481" Type="http://schemas.openxmlformats.org/officeDocument/2006/relationships/hyperlink" Target="https://chemicalsafety.ilo.org/dyn/icsc/showcard.display?p_card_id=1159&amp;p_lang=en" TargetMode="External"/><Relationship Id="rId5118" Type="http://schemas.openxmlformats.org/officeDocument/2006/relationships/hyperlink" Target="https://chemicalsafety.ilo.org/dyn/icsc/showcard.display?p_card_id=1324&amp;p_lang=tr" TargetMode="External"/><Relationship Id="rId5325" Type="http://schemas.openxmlformats.org/officeDocument/2006/relationships/hyperlink" Target="https://chemicalsafety.ilo.org/dyn/icsc/showcard.display?p_card_id=1378&amp;p_lang=en" TargetMode="External"/><Relationship Id="rId5532" Type="http://schemas.openxmlformats.org/officeDocument/2006/relationships/hyperlink" Target="https://chem.echa.europa.eu/substance-search?searchText=64741-88-4" TargetMode="External"/><Relationship Id="rId2919" Type="http://schemas.openxmlformats.org/officeDocument/2006/relationships/hyperlink" Target="https://www.google.com/search?q=76-06-2+SDS+safety+data+sheet+filetype:pdf" TargetMode="External"/><Relationship Id="rId3083" Type="http://schemas.openxmlformats.org/officeDocument/2006/relationships/hyperlink" Target="https://www.google.com/search?q=101-84-8+SDS+safety+data+sheet+filetype:pdf" TargetMode="External"/><Relationship Id="rId3290" Type="http://schemas.openxmlformats.org/officeDocument/2006/relationships/hyperlink" Target="https://chemicalsafety.ilo.org/dyn/icsc/showcard.display?p_card_id=0845&amp;p_lang=tr" TargetMode="External"/><Relationship Id="rId4134" Type="http://schemas.openxmlformats.org/officeDocument/2006/relationships/hyperlink" Target="https://chemicalsafety.ilo.org/dyn/icsc/showcard.display?p_card_id=1065&amp;p_lang=tr" TargetMode="External"/><Relationship Id="rId4341" Type="http://schemas.openxmlformats.org/officeDocument/2006/relationships/hyperlink" Target="https://chemicalsafety.ilo.org/dyn/icsc/showcard.display?p_card_id=1123&amp;p_lang=en" TargetMode="External"/><Relationship Id="rId1728" Type="http://schemas.openxmlformats.org/officeDocument/2006/relationships/hyperlink" Target="https://chem.echa.europa.eu/substance-search?searchText=540-59-0" TargetMode="External"/><Relationship Id="rId1935" Type="http://schemas.openxmlformats.org/officeDocument/2006/relationships/hyperlink" Target="https://www.google.com/search?q=592-41-6+SDS+safety+data+sheet+filetype:pdf" TargetMode="External"/><Relationship Id="rId3150" Type="http://schemas.openxmlformats.org/officeDocument/2006/relationships/hyperlink" Target="https://chemicalsafety.ilo.org/dyn/icsc/showcard.display?p_card_id=0808&amp;p_lang=tr" TargetMode="External"/><Relationship Id="rId4201" Type="http://schemas.openxmlformats.org/officeDocument/2006/relationships/hyperlink" Target="https://chemicalsafety.ilo.org/dyn/icsc/showcard.display?p_card_id=1085&amp;p_lang=en" TargetMode="External"/><Relationship Id="rId6099" Type="http://schemas.openxmlformats.org/officeDocument/2006/relationships/hyperlink" Target="https://www.google.com/search?q=117-79-3+SDS+safety+data+sheet+filetype:pdf" TargetMode="External"/><Relationship Id="rId3010" Type="http://schemas.openxmlformats.org/officeDocument/2006/relationships/hyperlink" Target="https://chemicalsafety.ilo.org/dyn/icsc/showcard.display?p_card_id=0773&amp;p_lang=tr" TargetMode="External"/><Relationship Id="rId6166" Type="http://schemas.openxmlformats.org/officeDocument/2006/relationships/hyperlink" Target="https://chemicalsafety.ilo.org/dyn/icsc/showcard.display?p_card_id=1596&amp;p_lang=tr" TargetMode="External"/><Relationship Id="rId3967" Type="http://schemas.openxmlformats.org/officeDocument/2006/relationships/hyperlink" Target="https://www.google.com/search?q=105-58-8+SDS+safety+data+sheet+filetype:pdf" TargetMode="External"/><Relationship Id="rId6373" Type="http://schemas.openxmlformats.org/officeDocument/2006/relationships/hyperlink" Target="https://chemicalsafety.ilo.org/dyn/icsc/showcard.display?p_card_id=1658&amp;p_lang=en" TargetMode="External"/><Relationship Id="rId6580" Type="http://schemas.openxmlformats.org/officeDocument/2006/relationships/hyperlink" Target="https://chem.echa.europa.eu/substance-search?searchText=7758-94-3" TargetMode="External"/><Relationship Id="rId4" Type="http://schemas.openxmlformats.org/officeDocument/2006/relationships/hyperlink" Target="https://chem.echa.europa.eu/substance-search?searchText=1333-74-0" TargetMode="External"/><Relationship Id="rId888" Type="http://schemas.openxmlformats.org/officeDocument/2006/relationships/hyperlink" Target="https://chem.echa.europa.eu/substance-search?searchText=98-05-5" TargetMode="External"/><Relationship Id="rId2569" Type="http://schemas.openxmlformats.org/officeDocument/2006/relationships/hyperlink" Target="https://chemicalsafety.ilo.org/dyn/icsc/showcard.display?p_card_id=0659&amp;p_lang=en" TargetMode="External"/><Relationship Id="rId2776" Type="http://schemas.openxmlformats.org/officeDocument/2006/relationships/hyperlink" Target="https://chem.echa.europa.eu/substance-search?searchText=7778-74-7" TargetMode="External"/><Relationship Id="rId2983" Type="http://schemas.openxmlformats.org/officeDocument/2006/relationships/hyperlink" Target="https://www.google.com/search?q=485-47-2+SDS+safety+data+sheet+filetype:pdf" TargetMode="External"/><Relationship Id="rId3827" Type="http://schemas.openxmlformats.org/officeDocument/2006/relationships/hyperlink" Target="https://www.google.com/search?q=21908-53-2+SDS+safety+data+sheet+filetype:pdf" TargetMode="External"/><Relationship Id="rId5182" Type="http://schemas.openxmlformats.org/officeDocument/2006/relationships/hyperlink" Target="https://chemicalsafety.ilo.org/dyn/icsc/showcard.display?p_card_id=1342&amp;p_lang=tr" TargetMode="External"/><Relationship Id="rId6026" Type="http://schemas.openxmlformats.org/officeDocument/2006/relationships/hyperlink" Target="https://chemicalsafety.ilo.org/dyn/icsc/showcard.display?p_card_id=1561&amp;p_lang=tr" TargetMode="External"/><Relationship Id="rId6233" Type="http://schemas.openxmlformats.org/officeDocument/2006/relationships/hyperlink" Target="https://chemicalsafety.ilo.org/dyn/icsc/showcard.display?p_card_id=1613&amp;p_lang=en" TargetMode="External"/><Relationship Id="rId6440" Type="http://schemas.openxmlformats.org/officeDocument/2006/relationships/hyperlink" Target="https://chem.echa.europa.eu/substance-search?searchText=87-90-1" TargetMode="External"/><Relationship Id="rId748" Type="http://schemas.openxmlformats.org/officeDocument/2006/relationships/hyperlink" Target="https://chem.echa.europa.eu/substance-search?searchText=79-46-9" TargetMode="External"/><Relationship Id="rId955" Type="http://schemas.openxmlformats.org/officeDocument/2006/relationships/hyperlink" Target="https://www.google.com/search?q=7440-50-8+SDS+safety+data+sheet+filetype:pdf" TargetMode="External"/><Relationship Id="rId1378" Type="http://schemas.openxmlformats.org/officeDocument/2006/relationships/hyperlink" Target="https://chemicalsafety.ilo.org/dyn/icsc/showcard.display?p_card_id=0346&amp;p_lang=tr" TargetMode="External"/><Relationship Id="rId1585" Type="http://schemas.openxmlformats.org/officeDocument/2006/relationships/hyperlink" Target="https://chemicalsafety.ilo.org/dyn/icsc/showcard.display?p_card_id=0400&amp;p_lang=en" TargetMode="External"/><Relationship Id="rId1792" Type="http://schemas.openxmlformats.org/officeDocument/2006/relationships/hyperlink" Target="https://chem.echa.europa.eu/substance-search?searchText=95-64-7" TargetMode="External"/><Relationship Id="rId2429" Type="http://schemas.openxmlformats.org/officeDocument/2006/relationships/hyperlink" Target="https://chemicalsafety.ilo.org/dyn/icsc/showcard.display?p_card_id=0622&amp;p_lang=en" TargetMode="External"/><Relationship Id="rId2636" Type="http://schemas.openxmlformats.org/officeDocument/2006/relationships/hyperlink" Target="https://chem.echa.europa.eu/substance-search?searchText=95-94-3" TargetMode="External"/><Relationship Id="rId2843" Type="http://schemas.openxmlformats.org/officeDocument/2006/relationships/hyperlink" Target="https://www.google.com/search?q=592-27-8+SDS+safety+data+sheet+filetype:pdf" TargetMode="External"/><Relationship Id="rId5042" Type="http://schemas.openxmlformats.org/officeDocument/2006/relationships/hyperlink" Target="https://chemicalsafety.ilo.org/dyn/icsc/showcard.display?p_card_id=1303&amp;p_lang=tr" TargetMode="External"/><Relationship Id="rId5999" Type="http://schemas.openxmlformats.org/officeDocument/2006/relationships/hyperlink" Target="https://www.google.com/search?q=57-48-7+SDS+safety+data+sheet+filetype:pdf" TargetMode="External"/><Relationship Id="rId6300" Type="http://schemas.openxmlformats.org/officeDocument/2006/relationships/hyperlink" Target="https://chem.echa.europa.eu/substance-search?searchText=131-74-8" TargetMode="External"/><Relationship Id="rId84" Type="http://schemas.openxmlformats.org/officeDocument/2006/relationships/hyperlink" Target="https://chem.echa.europa.eu/substance-search?searchText=124-38-9" TargetMode="External"/><Relationship Id="rId608" Type="http://schemas.openxmlformats.org/officeDocument/2006/relationships/hyperlink" Target="https://chem.echa.europa.eu/substance-search?searchText=141-43-5" TargetMode="External"/><Relationship Id="rId815" Type="http://schemas.openxmlformats.org/officeDocument/2006/relationships/hyperlink" Target="https://www.google.com/search?q=1954-28-5+SDS+safety+data+sheet+filetype:pdf" TargetMode="External"/><Relationship Id="rId1238" Type="http://schemas.openxmlformats.org/officeDocument/2006/relationships/hyperlink" Target="https://chemicalsafety.ilo.org/dyn/icsc/showcard.display?p_card_id=0311&amp;p_lang=tr" TargetMode="External"/><Relationship Id="rId1445" Type="http://schemas.openxmlformats.org/officeDocument/2006/relationships/hyperlink" Target="https://chemicalsafety.ilo.org/dyn/icsc/showcard.display?p_card_id=0363&amp;p_lang=en" TargetMode="External"/><Relationship Id="rId1652" Type="http://schemas.openxmlformats.org/officeDocument/2006/relationships/hyperlink" Target="https://chem.echa.europa.eu/substance-search?searchText=111-44-4" TargetMode="External"/><Relationship Id="rId1305" Type="http://schemas.openxmlformats.org/officeDocument/2006/relationships/hyperlink" Target="https://chemicalsafety.ilo.org/dyn/icsc/showcard.display?p_card_id=0328&amp;p_lang=en" TargetMode="External"/><Relationship Id="rId2703" Type="http://schemas.openxmlformats.org/officeDocument/2006/relationships/hyperlink" Target="https://www.google.com/search?q=7719-12-2+SDS+safety+data+sheet+filetype:pdf" TargetMode="External"/><Relationship Id="rId2910" Type="http://schemas.openxmlformats.org/officeDocument/2006/relationships/hyperlink" Target="https://chemicalsafety.ilo.org/dyn/icsc/showcard.display?p_card_id=0748&amp;p_lang=tr" TargetMode="External"/><Relationship Id="rId5859" Type="http://schemas.openxmlformats.org/officeDocument/2006/relationships/hyperlink" Target="https://www.google.com/search?q=61789-80-8+SDS+safety+data+sheet+filetype:pdf" TargetMode="External"/><Relationship Id="rId1512" Type="http://schemas.openxmlformats.org/officeDocument/2006/relationships/hyperlink" Target="https://chem.echa.europa.eu/substance-search?searchText=123-77-3" TargetMode="External"/><Relationship Id="rId4668" Type="http://schemas.openxmlformats.org/officeDocument/2006/relationships/hyperlink" Target="https://chem.echa.europa.eu/substance-search?searchText=10103-50-1" TargetMode="External"/><Relationship Id="rId4875" Type="http://schemas.openxmlformats.org/officeDocument/2006/relationships/hyperlink" Target="https://www.google.com/search?q=109-92-2+SDS+safety+data+sheet+filetype:pdf" TargetMode="External"/><Relationship Id="rId5719" Type="http://schemas.openxmlformats.org/officeDocument/2006/relationships/hyperlink" Target="https://www.google.com/search?q=74-89-5+SDS+safety+data+sheet+filetype:pdf" TargetMode="External"/><Relationship Id="rId5926" Type="http://schemas.openxmlformats.org/officeDocument/2006/relationships/hyperlink" Target="https://chemicalsafety.ilo.org/dyn/icsc/showcard.display?p_card_id=1535&amp;p_lang=tr" TargetMode="External"/><Relationship Id="rId6090" Type="http://schemas.openxmlformats.org/officeDocument/2006/relationships/hyperlink" Target="https://chemicalsafety.ilo.org/dyn/icsc/showcard.display?p_card_id=1577&amp;p_lang=tr" TargetMode="External"/><Relationship Id="rId11" Type="http://schemas.openxmlformats.org/officeDocument/2006/relationships/hyperlink" Target="https://www.google.com/search?q=7758-97-6+SDS+safety+data+sheet+filetype:pdf" TargetMode="External"/><Relationship Id="rId398" Type="http://schemas.openxmlformats.org/officeDocument/2006/relationships/hyperlink" Target="https://chemicalsafety.ilo.org/dyn/icsc/showcard.display?p_card_id=0100&amp;p_lang=tr" TargetMode="External"/><Relationship Id="rId2079" Type="http://schemas.openxmlformats.org/officeDocument/2006/relationships/hyperlink" Target="https://www.google.com/search?q=57-10-3+SDS+safety+data+sheet+filetype:pdf" TargetMode="External"/><Relationship Id="rId3477" Type="http://schemas.openxmlformats.org/officeDocument/2006/relationships/hyperlink" Target="https://chemicalsafety.ilo.org/dyn/icsc/showcard.display?p_card_id=0893&amp;p_lang=en" TargetMode="External"/><Relationship Id="rId3684" Type="http://schemas.openxmlformats.org/officeDocument/2006/relationships/hyperlink" Target="https://chem.echa.europa.eu/substance-search?searchText=83-79-4" TargetMode="External"/><Relationship Id="rId3891" Type="http://schemas.openxmlformats.org/officeDocument/2006/relationships/hyperlink" Target="https://www.google.com/search?q=1309-60-0+SDS+safety+data+sheet+filetype:pdf" TargetMode="External"/><Relationship Id="rId4528" Type="http://schemas.openxmlformats.org/officeDocument/2006/relationships/hyperlink" Target="https://chem.echa.europa.eu/substance-search?searchText=123-96-6" TargetMode="External"/><Relationship Id="rId4735" Type="http://schemas.openxmlformats.org/officeDocument/2006/relationships/hyperlink" Target="https://www.google.com/search?q=106-40-1+SDS+safety+data+sheet+filetype:pdf" TargetMode="External"/><Relationship Id="rId4942" Type="http://schemas.openxmlformats.org/officeDocument/2006/relationships/hyperlink" Target="https://chemicalsafety.ilo.org/dyn/icsc/showcard.display?p_card_id=1278&amp;p_lang=tr" TargetMode="External"/><Relationship Id="rId2286" Type="http://schemas.openxmlformats.org/officeDocument/2006/relationships/hyperlink" Target="https://chemicalsafety.ilo.org/dyn/icsc/showcard.display?p_card_id=0584&amp;p_lang=tr" TargetMode="External"/><Relationship Id="rId2493" Type="http://schemas.openxmlformats.org/officeDocument/2006/relationships/hyperlink" Target="https://chemicalsafety.ilo.org/dyn/icsc/showcard.display?p_card_id=0638&amp;p_lang=en" TargetMode="External"/><Relationship Id="rId3337" Type="http://schemas.openxmlformats.org/officeDocument/2006/relationships/hyperlink" Target="https://chemicalsafety.ilo.org/dyn/icsc/showcard.display?p_card_id=0857&amp;p_lang=en" TargetMode="External"/><Relationship Id="rId3544" Type="http://schemas.openxmlformats.org/officeDocument/2006/relationships/hyperlink" Target="https://chem.echa.europa.eu/substance-search?searchText=768-52-5" TargetMode="External"/><Relationship Id="rId3751" Type="http://schemas.openxmlformats.org/officeDocument/2006/relationships/hyperlink" Target="https://www.google.com/search?q=78-30-8+SDS+safety+data+sheet+filetype:pdf" TargetMode="External"/><Relationship Id="rId4802" Type="http://schemas.openxmlformats.org/officeDocument/2006/relationships/hyperlink" Target="https://chemicalsafety.ilo.org/dyn/icsc/showcard.display?p_card_id=1243&amp;p_lang=tr" TargetMode="External"/><Relationship Id="rId258" Type="http://schemas.openxmlformats.org/officeDocument/2006/relationships/hyperlink" Target="https://chemicalsafety.ilo.org/dyn/icsc/showcard.display?p_card_id=0065&amp;p_lang=tr" TargetMode="External"/><Relationship Id="rId465" Type="http://schemas.openxmlformats.org/officeDocument/2006/relationships/hyperlink" Target="https://chemicalsafety.ilo.org/dyn/icsc/showcard.display?p_card_id=0117&amp;p_lang=en" TargetMode="External"/><Relationship Id="rId672" Type="http://schemas.openxmlformats.org/officeDocument/2006/relationships/hyperlink" Target="https://chem.echa.europa.eu/substance-search?searchText=13463-40-6" TargetMode="External"/><Relationship Id="rId1095" Type="http://schemas.openxmlformats.org/officeDocument/2006/relationships/hyperlink" Target="https://www.google.com/search?q=50-00-0+SDS+safety+data+sheet+filetype:pdf" TargetMode="External"/><Relationship Id="rId2146" Type="http://schemas.openxmlformats.org/officeDocument/2006/relationships/hyperlink" Target="https://chemicalsafety.ilo.org/dyn/icsc/showcard.display?p_card_id=0548&amp;p_lang=tr" TargetMode="External"/><Relationship Id="rId2353" Type="http://schemas.openxmlformats.org/officeDocument/2006/relationships/hyperlink" Target="https://chemicalsafety.ilo.org/dyn/icsc/showcard.display?p_card_id=0602&amp;p_lang=en" TargetMode="External"/><Relationship Id="rId2560" Type="http://schemas.openxmlformats.org/officeDocument/2006/relationships/hyperlink" Target="https://chem.echa.europa.eu/substance-search?searchText=7790-91-2" TargetMode="External"/><Relationship Id="rId3404" Type="http://schemas.openxmlformats.org/officeDocument/2006/relationships/hyperlink" Target="https://chem.echa.europa.eu/substance-search?searchText=96-22-0" TargetMode="External"/><Relationship Id="rId3611" Type="http://schemas.openxmlformats.org/officeDocument/2006/relationships/hyperlink" Target="https://www.google.com/search?q=1313-99-1+SDS+safety+data+sheet+filetype:pdf" TargetMode="External"/><Relationship Id="rId6767" Type="http://schemas.openxmlformats.org/officeDocument/2006/relationships/hyperlink" Target="https://www.google.com/search?q=68359-37-5+SDS+safety+data+sheet+filetype:pdf" TargetMode="External"/><Relationship Id="rId118" Type="http://schemas.openxmlformats.org/officeDocument/2006/relationships/hyperlink" Target="https://chemicalsafety.ilo.org/dyn/icsc/showcard.display?p_card_id=0030&amp;p_lang=tr" TargetMode="External"/><Relationship Id="rId325" Type="http://schemas.openxmlformats.org/officeDocument/2006/relationships/hyperlink" Target="https://chemicalsafety.ilo.org/dyn/icsc/showcard.display?p_card_id=0082&amp;p_lang=en" TargetMode="External"/><Relationship Id="rId532" Type="http://schemas.openxmlformats.org/officeDocument/2006/relationships/hyperlink" Target="https://chem.echa.europa.eu/substance-search?searchText=126-99-8" TargetMode="External"/><Relationship Id="rId1162" Type="http://schemas.openxmlformats.org/officeDocument/2006/relationships/hyperlink" Target="https://chemicalsafety.ilo.org/dyn/icsc/showcard.display?p_card_id=0292&amp;p_lang=tr" TargetMode="External"/><Relationship Id="rId2006" Type="http://schemas.openxmlformats.org/officeDocument/2006/relationships/hyperlink" Target="https://chemicalsafety.ilo.org/dyn/icsc/showcard.display?p_card_id=0508&amp;p_lang=tr" TargetMode="External"/><Relationship Id="rId2213" Type="http://schemas.openxmlformats.org/officeDocument/2006/relationships/hyperlink" Target="https://chemicalsafety.ilo.org/dyn/icsc/showcard.display?p_card_id=0565&amp;p_lang=en" TargetMode="External"/><Relationship Id="rId2420" Type="http://schemas.openxmlformats.org/officeDocument/2006/relationships/hyperlink" Target="https://chem.echa.europa.eu/substance-search?searchText=111-46-6" TargetMode="External"/><Relationship Id="rId5369" Type="http://schemas.openxmlformats.org/officeDocument/2006/relationships/hyperlink" Target="https://chemicalsafety.ilo.org/dyn/icsc/showcard.display?p_card_id=1390&amp;p_lang=en" TargetMode="External"/><Relationship Id="rId5576" Type="http://schemas.openxmlformats.org/officeDocument/2006/relationships/hyperlink" Target="https://chem.echa.europa.eu/substance-search?searchText=110-96-3" TargetMode="External"/><Relationship Id="rId5783" Type="http://schemas.openxmlformats.org/officeDocument/2006/relationships/hyperlink" Target="https://www.google.com/search?q=7705-08-0+SDS+safety+data+sheet+filetype:pdf" TargetMode="External"/><Relationship Id="rId6627" Type="http://schemas.openxmlformats.org/officeDocument/2006/relationships/hyperlink" Target="https://www.google.com/search?q=118-69-4+SDS+safety+data+sheet+filetype:pdf" TargetMode="External"/><Relationship Id="rId1022" Type="http://schemas.openxmlformats.org/officeDocument/2006/relationships/hyperlink" Target="https://chemicalsafety.ilo.org/dyn/icsc/showcard.display?p_card_id=0257&amp;p_lang=tr" TargetMode="External"/><Relationship Id="rId4178" Type="http://schemas.openxmlformats.org/officeDocument/2006/relationships/hyperlink" Target="https://chemicalsafety.ilo.org/dyn/icsc/showcard.display?p_card_id=1079&amp;p_lang=tr" TargetMode="External"/><Relationship Id="rId4385" Type="http://schemas.openxmlformats.org/officeDocument/2006/relationships/hyperlink" Target="https://chemicalsafety.ilo.org/dyn/icsc/showcard.display?p_card_id=1135&amp;p_lang=en" TargetMode="External"/><Relationship Id="rId4592" Type="http://schemas.openxmlformats.org/officeDocument/2006/relationships/hyperlink" Target="https://chem.echa.europa.eu/substance-search?searchText=93-58-3" TargetMode="External"/><Relationship Id="rId5229" Type="http://schemas.openxmlformats.org/officeDocument/2006/relationships/hyperlink" Target="https://chemicalsafety.ilo.org/dyn/icsc/showcard.display?p_card_id=1354&amp;p_lang=en" TargetMode="External"/><Relationship Id="rId5436" Type="http://schemas.openxmlformats.org/officeDocument/2006/relationships/hyperlink" Target="https://chem.echa.europa.eu/substance-search?searchText=1314-80-3" TargetMode="External"/><Relationship Id="rId5990" Type="http://schemas.openxmlformats.org/officeDocument/2006/relationships/hyperlink" Target="https://chemicalsafety.ilo.org/dyn/icsc/showcard.display?p_card_id=1552&amp;p_lang=tr" TargetMode="External"/><Relationship Id="rId6834" Type="http://schemas.openxmlformats.org/officeDocument/2006/relationships/hyperlink" Target="https://chemicalsafety.ilo.org/dyn/icsc/showcard.display?p_card_id=1782&amp;p_lang=tr" TargetMode="External"/><Relationship Id="rId1979" Type="http://schemas.openxmlformats.org/officeDocument/2006/relationships/hyperlink" Target="https://www.google.com/search?q=50-21-5+SDS+safety+data+sheet+filetype:pdf" TargetMode="External"/><Relationship Id="rId3194" Type="http://schemas.openxmlformats.org/officeDocument/2006/relationships/hyperlink" Target="https://chemicalsafety.ilo.org/dyn/icsc/showcard.display?p_card_id=0819&amp;p_lang=tr" TargetMode="External"/><Relationship Id="rId4038" Type="http://schemas.openxmlformats.org/officeDocument/2006/relationships/hyperlink" Target="https://chemicalsafety.ilo.org/dyn/icsc/showcard.display?p_card_id=1040&amp;p_lang=tr" TargetMode="External"/><Relationship Id="rId4245" Type="http://schemas.openxmlformats.org/officeDocument/2006/relationships/hyperlink" Target="https://chemicalsafety.ilo.org/dyn/icsc/showcard.display?p_card_id=1097&amp;p_lang=en" TargetMode="External"/><Relationship Id="rId5643" Type="http://schemas.openxmlformats.org/officeDocument/2006/relationships/hyperlink" Target="https://www.google.com/search?q=7681-57-4+SDS+safety+data+sheet+filetype:pdf" TargetMode="External"/><Relationship Id="rId5850" Type="http://schemas.openxmlformats.org/officeDocument/2006/relationships/hyperlink" Target="https://chemicalsafety.ilo.org/dyn/icsc/showcard.display?p_card_id=1516&amp;p_lang=tr" TargetMode="External"/><Relationship Id="rId1839" Type="http://schemas.openxmlformats.org/officeDocument/2006/relationships/hyperlink" Target="https://www.google.com/search?q=122-39-4+SDS+safety+data+sheet+filetype:pdf" TargetMode="External"/><Relationship Id="rId3054" Type="http://schemas.openxmlformats.org/officeDocument/2006/relationships/hyperlink" Target="https://chemicalsafety.ilo.org/dyn/icsc/showcard.display?p_card_id=0784&amp;p_lang=tr" TargetMode="External"/><Relationship Id="rId4452" Type="http://schemas.openxmlformats.org/officeDocument/2006/relationships/hyperlink" Target="https://chem.echa.europa.eu/substance-search?searchText=112-36-7" TargetMode="External"/><Relationship Id="rId5503" Type="http://schemas.openxmlformats.org/officeDocument/2006/relationships/hyperlink" Target="https://www.google.com/search?q=638-21-1+SDS+safety+data+sheet+filetype:pdf" TargetMode="External"/><Relationship Id="rId5710" Type="http://schemas.openxmlformats.org/officeDocument/2006/relationships/hyperlink" Target="https://chemicalsafety.ilo.org/dyn/icsc/showcard.display?p_card_id=1480&amp;p_lang=tr" TargetMode="External"/><Relationship Id="rId182" Type="http://schemas.openxmlformats.org/officeDocument/2006/relationships/hyperlink" Target="https://chemicalsafety.ilo.org/dyn/icsc/showcard.display?p_card_id=0046&amp;p_lang=tr" TargetMode="External"/><Relationship Id="rId1906" Type="http://schemas.openxmlformats.org/officeDocument/2006/relationships/hyperlink" Target="https://chemicalsafety.ilo.org/dyn/icsc/showcard.display?p_card_id=0483&amp;p_lang=tr" TargetMode="External"/><Relationship Id="rId3261" Type="http://schemas.openxmlformats.org/officeDocument/2006/relationships/hyperlink" Target="https://chemicalsafety.ilo.org/dyn/icsc/showcard.display?p_card_id=0837&amp;p_lang=en" TargetMode="External"/><Relationship Id="rId4105" Type="http://schemas.openxmlformats.org/officeDocument/2006/relationships/hyperlink" Target="https://chemicalsafety.ilo.org/dyn/icsc/showcard.display?p_card_id=1057&amp;p_lang=en" TargetMode="External"/><Relationship Id="rId4312" Type="http://schemas.openxmlformats.org/officeDocument/2006/relationships/hyperlink" Target="https://chem.echa.europa.eu/substance-search?searchText=7758-01-2" TargetMode="External"/><Relationship Id="rId2070" Type="http://schemas.openxmlformats.org/officeDocument/2006/relationships/hyperlink" Target="https://chemicalsafety.ilo.org/dyn/icsc/showcard.display?p_card_id=0528&amp;p_lang=tr" TargetMode="External"/><Relationship Id="rId3121" Type="http://schemas.openxmlformats.org/officeDocument/2006/relationships/hyperlink" Target="https://chemicalsafety.ilo.org/dyn/icsc/showcard.display?p_card_id=0801&amp;p_lang=en" TargetMode="External"/><Relationship Id="rId6277" Type="http://schemas.openxmlformats.org/officeDocument/2006/relationships/hyperlink" Target="https://chemicalsafety.ilo.org/dyn/icsc/showcard.display?p_card_id=1625&amp;p_lang=en" TargetMode="External"/><Relationship Id="rId6484" Type="http://schemas.openxmlformats.org/officeDocument/2006/relationships/hyperlink" Target="https://chem.echa.europa.eu/substance-search?searchText=95-78-3" TargetMode="External"/><Relationship Id="rId6691" Type="http://schemas.openxmlformats.org/officeDocument/2006/relationships/hyperlink" Target="https://www.google.com/search?q=15630-89-4+SDS+safety+data+sheet+filetype:pdf" TargetMode="External"/><Relationship Id="rId999" Type="http://schemas.openxmlformats.org/officeDocument/2006/relationships/hyperlink" Target="https://www.google.com/search?q=3209-22-1+SDS+safety+data+sheet+filetype:pdf" TargetMode="External"/><Relationship Id="rId2887" Type="http://schemas.openxmlformats.org/officeDocument/2006/relationships/hyperlink" Target="https://www.google.com/search?q=115-29-7+SDS+safety+data+sheet+filetype:pdf" TargetMode="External"/><Relationship Id="rId5086" Type="http://schemas.openxmlformats.org/officeDocument/2006/relationships/hyperlink" Target="https://chemicalsafety.ilo.org/dyn/icsc/showcard.display?p_card_id=1316&amp;p_lang=tr" TargetMode="External"/><Relationship Id="rId5293" Type="http://schemas.openxmlformats.org/officeDocument/2006/relationships/hyperlink" Target="https://chemicalsafety.ilo.org/dyn/icsc/showcard.display?p_card_id=1370&amp;p_lang=en" TargetMode="External"/><Relationship Id="rId6137" Type="http://schemas.openxmlformats.org/officeDocument/2006/relationships/hyperlink" Target="https://chemicalsafety.ilo.org/dyn/icsc/showcard.display?p_card_id=1589&amp;p_lang=en" TargetMode="External"/><Relationship Id="rId6344" Type="http://schemas.openxmlformats.org/officeDocument/2006/relationships/hyperlink" Target="https://chem.echa.europa.eu/substance-search?searchText=85-42-7" TargetMode="External"/><Relationship Id="rId6551" Type="http://schemas.openxmlformats.org/officeDocument/2006/relationships/hyperlink" Target="https://www.google.com/search?q=91-58-7+SDS+safety+data+sheet+filetype:pdf" TargetMode="External"/><Relationship Id="rId859" Type="http://schemas.openxmlformats.org/officeDocument/2006/relationships/hyperlink" Target="https://www.google.com/search?q=6484-52-2+SDS+safety+data+sheet+filetype:pdf" TargetMode="External"/><Relationship Id="rId1489" Type="http://schemas.openxmlformats.org/officeDocument/2006/relationships/hyperlink" Target="https://chemicalsafety.ilo.org/dyn/icsc/showcard.display?p_card_id=0375&amp;p_lang=en" TargetMode="External"/><Relationship Id="rId1696" Type="http://schemas.openxmlformats.org/officeDocument/2006/relationships/hyperlink" Target="https://chem.echa.europa.eu/substance-search?searchText=124-18-5" TargetMode="External"/><Relationship Id="rId3938" Type="http://schemas.openxmlformats.org/officeDocument/2006/relationships/hyperlink" Target="https://chemicalsafety.ilo.org/dyn/icsc/showcard.display?p_card_id=1015&amp;p_lang=tr" TargetMode="External"/><Relationship Id="rId5153" Type="http://schemas.openxmlformats.org/officeDocument/2006/relationships/hyperlink" Target="https://chemicalsafety.ilo.org/dyn/icsc/showcard.display?p_card_id=1335&amp;p_lang=en" TargetMode="External"/><Relationship Id="rId5360" Type="http://schemas.openxmlformats.org/officeDocument/2006/relationships/hyperlink" Target="https://chem.echa.europa.eu/substance-search?searchText=1335-88-2" TargetMode="External"/><Relationship Id="rId6204" Type="http://schemas.openxmlformats.org/officeDocument/2006/relationships/hyperlink" Target="https://chem.echa.europa.eu/substance-search?searchText=84-65-1" TargetMode="External"/><Relationship Id="rId6411" Type="http://schemas.openxmlformats.org/officeDocument/2006/relationships/hyperlink" Target="https://www.google.com/search?q=3033-77-0+SDS+safety+data+sheet+filetype:pdf" TargetMode="External"/><Relationship Id="rId1349" Type="http://schemas.openxmlformats.org/officeDocument/2006/relationships/hyperlink" Target="https://chemicalsafety.ilo.org/dyn/icsc/showcard.display?p_card_id=0339&amp;p_lang=en" TargetMode="External"/><Relationship Id="rId2747" Type="http://schemas.openxmlformats.org/officeDocument/2006/relationships/hyperlink" Target="https://www.google.com/search?q=6153-56-6+SDS+safety+data+sheet+filetype:pdf" TargetMode="External"/><Relationship Id="rId2954" Type="http://schemas.openxmlformats.org/officeDocument/2006/relationships/hyperlink" Target="https://chemicalsafety.ilo.org/dyn/icsc/showcard.display?p_card_id=0759&amp;p_lang=tr" TargetMode="External"/><Relationship Id="rId5013" Type="http://schemas.openxmlformats.org/officeDocument/2006/relationships/hyperlink" Target="https://chemicalsafety.ilo.org/dyn/icsc/showcard.display?p_card_id=1296&amp;p_lang=en" TargetMode="External"/><Relationship Id="rId5220" Type="http://schemas.openxmlformats.org/officeDocument/2006/relationships/hyperlink" Target="https://chem.echa.europa.eu/substance-search?searchText=13510-49-1" TargetMode="External"/><Relationship Id="rId719" Type="http://schemas.openxmlformats.org/officeDocument/2006/relationships/hyperlink" Target="https://www.google.com/search?q=60-34-4+SDS+safety+data+sheet+filetype:pdf" TargetMode="External"/><Relationship Id="rId926" Type="http://schemas.openxmlformats.org/officeDocument/2006/relationships/hyperlink" Target="https://chemicalsafety.ilo.org/dyn/icsc/showcard.display?p_card_id=0233&amp;p_lang=tr" TargetMode="External"/><Relationship Id="rId1556" Type="http://schemas.openxmlformats.org/officeDocument/2006/relationships/hyperlink" Target="https://chem.echa.europa.eu/substance-search?searchText=21725-46-2" TargetMode="External"/><Relationship Id="rId1763" Type="http://schemas.openxmlformats.org/officeDocument/2006/relationships/hyperlink" Target="https://www.google.com/search?q=25340-17-4+SDS+safety+data+sheet+filetype:pdf" TargetMode="External"/><Relationship Id="rId1970" Type="http://schemas.openxmlformats.org/officeDocument/2006/relationships/hyperlink" Target="https://chemicalsafety.ilo.org/dyn/icsc/showcard.display?p_card_id=0499&amp;p_lang=tr" TargetMode="External"/><Relationship Id="rId2607" Type="http://schemas.openxmlformats.org/officeDocument/2006/relationships/hyperlink" Target="https://www.google.com/search?q=90-43-7+SDS+safety+data+sheet+filetype:pdf" TargetMode="External"/><Relationship Id="rId2814" Type="http://schemas.openxmlformats.org/officeDocument/2006/relationships/hyperlink" Target="https://chemicalsafety.ilo.org/dyn/icsc/showcard.display?p_card_id=0724&amp;p_lang=tr" TargetMode="External"/><Relationship Id="rId55" Type="http://schemas.openxmlformats.org/officeDocument/2006/relationships/hyperlink" Target="https://www.google.com/search?q=12001-29-5+SDS+safety+data+sheet+filetype:pdf" TargetMode="External"/><Relationship Id="rId1209" Type="http://schemas.openxmlformats.org/officeDocument/2006/relationships/hyperlink" Target="https://chemicalsafety.ilo.org/dyn/icsc/showcard.display?p_card_id=0304&amp;p_lang=en" TargetMode="External"/><Relationship Id="rId1416" Type="http://schemas.openxmlformats.org/officeDocument/2006/relationships/hyperlink" Target="https://chem.echa.europa.eu/substance-search?searchText=60-29-7" TargetMode="External"/><Relationship Id="rId1623" Type="http://schemas.openxmlformats.org/officeDocument/2006/relationships/hyperlink" Target="https://www.google.com/search?q=1305-78-8+SDS+safety+data+sheet+filetype:pdf" TargetMode="External"/><Relationship Id="rId1830" Type="http://schemas.openxmlformats.org/officeDocument/2006/relationships/hyperlink" Target="https://chemicalsafety.ilo.org/dyn/icsc/showcard.display?p_card_id=0464&amp;p_lang=tr" TargetMode="External"/><Relationship Id="rId4779" Type="http://schemas.openxmlformats.org/officeDocument/2006/relationships/hyperlink" Target="https://www.google.com/search?q=THINNER+(OBSOLETE)+SDS+safety+data+sheet+filetype:pdf" TargetMode="External"/><Relationship Id="rId4986" Type="http://schemas.openxmlformats.org/officeDocument/2006/relationships/hyperlink" Target="https://chemicalsafety.ilo.org/dyn/icsc/showcard.display?p_card_id=1289&amp;p_lang=tr" TargetMode="External"/><Relationship Id="rId3588" Type="http://schemas.openxmlformats.org/officeDocument/2006/relationships/hyperlink" Target="https://chem.echa.europa.eu/substance-search?searchText=110-43-0" TargetMode="External"/><Relationship Id="rId3795" Type="http://schemas.openxmlformats.org/officeDocument/2006/relationships/hyperlink" Target="https://www.google.com/search?q=86-88-4+SDS+safety+data+sheet+filetype:pdf" TargetMode="External"/><Relationship Id="rId4639" Type="http://schemas.openxmlformats.org/officeDocument/2006/relationships/hyperlink" Target="https://www.google.com/search?q=96-09-3+SDS+safety+data+sheet+filetype:pdf" TargetMode="External"/><Relationship Id="rId4846" Type="http://schemas.openxmlformats.org/officeDocument/2006/relationships/hyperlink" Target="https://chemicalsafety.ilo.org/dyn/icsc/showcard.display?p_card_id=1254&amp;p_lang=tr" TargetMode="External"/><Relationship Id="rId2397" Type="http://schemas.openxmlformats.org/officeDocument/2006/relationships/hyperlink" Target="https://chemicalsafety.ilo.org/dyn/icsc/showcard.display?p_card_id=0614&amp;p_lang=en" TargetMode="External"/><Relationship Id="rId3448" Type="http://schemas.openxmlformats.org/officeDocument/2006/relationships/hyperlink" Target="https://chem.echa.europa.eu/substance-search?searchText=1321-74-0" TargetMode="External"/><Relationship Id="rId3655" Type="http://schemas.openxmlformats.org/officeDocument/2006/relationships/hyperlink" Target="https://www.google.com/search?q=92-84-2+SDS+safety+data+sheet+filetype:pdf" TargetMode="External"/><Relationship Id="rId3862" Type="http://schemas.openxmlformats.org/officeDocument/2006/relationships/hyperlink" Target="https://chemicalsafety.ilo.org/dyn/icsc/showcard.display?p_card_id=0991&amp;p_lang=tr" TargetMode="External"/><Relationship Id="rId4706" Type="http://schemas.openxmlformats.org/officeDocument/2006/relationships/hyperlink" Target="https://chemicalsafety.ilo.org/dyn/icsc/showcard.display?p_card_id=1219&amp;p_lang=tr" TargetMode="External"/><Relationship Id="rId6061" Type="http://schemas.openxmlformats.org/officeDocument/2006/relationships/hyperlink" Target="https://chemicalsafety.ilo.org/dyn/icsc/showcard.display?p_card_id=1570&amp;p_lang=en" TargetMode="External"/><Relationship Id="rId369" Type="http://schemas.openxmlformats.org/officeDocument/2006/relationships/hyperlink" Target="https://chemicalsafety.ilo.org/dyn/icsc/showcard.display?p_card_id=0093&amp;p_lang=en" TargetMode="External"/><Relationship Id="rId576" Type="http://schemas.openxmlformats.org/officeDocument/2006/relationships/hyperlink" Target="https://chem.echa.europa.eu/substance-search?searchText=95-76-1" TargetMode="External"/><Relationship Id="rId783" Type="http://schemas.openxmlformats.org/officeDocument/2006/relationships/hyperlink" Target="https://www.google.com/search?q=7789-38-0+SDS+safety+data+sheet+filetype:pdf" TargetMode="External"/><Relationship Id="rId990" Type="http://schemas.openxmlformats.org/officeDocument/2006/relationships/hyperlink" Target="https://chemicalsafety.ilo.org/dyn/icsc/showcard.display?p_card_id=0249&amp;p_lang=tr" TargetMode="External"/><Relationship Id="rId2257" Type="http://schemas.openxmlformats.org/officeDocument/2006/relationships/hyperlink" Target="https://chemicalsafety.ilo.org/dyn/icsc/showcard.display?p_card_id=0576&amp;p_lang=en" TargetMode="External"/><Relationship Id="rId2464" Type="http://schemas.openxmlformats.org/officeDocument/2006/relationships/hyperlink" Target="https://chem.echa.europa.eu/substance-search?searchText=95-69-2" TargetMode="External"/><Relationship Id="rId2671" Type="http://schemas.openxmlformats.org/officeDocument/2006/relationships/hyperlink" Target="https://www.google.com/search?q=75-38-7+SDS+safety+data+sheet+filetype:pdf" TargetMode="External"/><Relationship Id="rId3308" Type="http://schemas.openxmlformats.org/officeDocument/2006/relationships/hyperlink" Target="https://chem.echa.europa.eu/substance-search?searchText=95-57-8" TargetMode="External"/><Relationship Id="rId3515" Type="http://schemas.openxmlformats.org/officeDocument/2006/relationships/hyperlink" Target="https://www.google.com/search?q=78-84-2+SDS+safety+data+sheet+filetype:pdf" TargetMode="External"/><Relationship Id="rId4913" Type="http://schemas.openxmlformats.org/officeDocument/2006/relationships/hyperlink" Target="https://chemicalsafety.ilo.org/dyn/icsc/showcard.display?p_card_id=1271&amp;p_lang=en" TargetMode="External"/><Relationship Id="rId229" Type="http://schemas.openxmlformats.org/officeDocument/2006/relationships/hyperlink" Target="https://chemicalsafety.ilo.org/dyn/icsc/showcard.display?p_card_id=0058&amp;p_lang=en" TargetMode="External"/><Relationship Id="rId436" Type="http://schemas.openxmlformats.org/officeDocument/2006/relationships/hyperlink" Target="https://chem.echa.europa.eu/substance-search?searchText=74-83-9" TargetMode="External"/><Relationship Id="rId643" Type="http://schemas.openxmlformats.org/officeDocument/2006/relationships/hyperlink" Target="https://www.google.com/search?q=70-30-4+SDS+safety+data+sheet+filetype:pdf" TargetMode="External"/><Relationship Id="rId1066" Type="http://schemas.openxmlformats.org/officeDocument/2006/relationships/hyperlink" Target="https://chemicalsafety.ilo.org/dyn/icsc/showcard.display?p_card_id=0268&amp;p_lang=tr" TargetMode="External"/><Relationship Id="rId1273" Type="http://schemas.openxmlformats.org/officeDocument/2006/relationships/hyperlink" Target="https://chemicalsafety.ilo.org/dyn/icsc/showcard.display?p_card_id=0320&amp;p_lang=en" TargetMode="External"/><Relationship Id="rId1480" Type="http://schemas.openxmlformats.org/officeDocument/2006/relationships/hyperlink" Target="https://chem.echa.europa.eu/substance-search?searchText=57-06-7" TargetMode="External"/><Relationship Id="rId2117" Type="http://schemas.openxmlformats.org/officeDocument/2006/relationships/hyperlink" Target="https://chemicalsafety.ilo.org/dyn/icsc/showcard.display?p_card_id=0540&amp;p_lang=en" TargetMode="External"/><Relationship Id="rId2324" Type="http://schemas.openxmlformats.org/officeDocument/2006/relationships/hyperlink" Target="https://chem.echa.europa.eu/substance-search?searchText=121-43-7" TargetMode="External"/><Relationship Id="rId3722" Type="http://schemas.openxmlformats.org/officeDocument/2006/relationships/hyperlink" Target="https://chemicalsafety.ilo.org/dyn/icsc/showcard.display?p_card_id=0954&amp;p_lang=tr" TargetMode="External"/><Relationship Id="rId850" Type="http://schemas.openxmlformats.org/officeDocument/2006/relationships/hyperlink" Target="https://chemicalsafety.ilo.org/dyn/icsc/showcard.display?p_card_id=0214&amp;p_lang=tr" TargetMode="External"/><Relationship Id="rId1133" Type="http://schemas.openxmlformats.org/officeDocument/2006/relationships/hyperlink" Target="https://chemicalsafety.ilo.org/dyn/icsc/showcard.display?p_card_id=0285&amp;p_lang=en" TargetMode="External"/><Relationship Id="rId2531" Type="http://schemas.openxmlformats.org/officeDocument/2006/relationships/hyperlink" Target="https://www.google.com/search?q=76-14-2+SDS+safety+data+sheet+filetype:pdf" TargetMode="External"/><Relationship Id="rId4289" Type="http://schemas.openxmlformats.org/officeDocument/2006/relationships/hyperlink" Target="https://chemicalsafety.ilo.org/dyn/icsc/showcard.display?p_card_id=1110&amp;p_lang=en" TargetMode="External"/><Relationship Id="rId5687" Type="http://schemas.openxmlformats.org/officeDocument/2006/relationships/hyperlink" Target="https://www.google.com/search?q=693-21-0+SDS+safety+data+sheet+filetype:pdf" TargetMode="External"/><Relationship Id="rId5894" Type="http://schemas.openxmlformats.org/officeDocument/2006/relationships/hyperlink" Target="https://chemicalsafety.ilo.org/dyn/icsc/showcard.display?p_card_id=1527&amp;p_lang=tr" TargetMode="External"/><Relationship Id="rId6738" Type="http://schemas.openxmlformats.org/officeDocument/2006/relationships/hyperlink" Target="https://chemicalsafety.ilo.org/dyn/icsc/showcard.display?p_card_id=1757&amp;p_lang=tr" TargetMode="External"/><Relationship Id="rId503" Type="http://schemas.openxmlformats.org/officeDocument/2006/relationships/hyperlink" Target="https://www.google.com/search?q=7782-50-5+SDS+safety+data+sheet+filetype:pdf" TargetMode="External"/><Relationship Id="rId710" Type="http://schemas.openxmlformats.org/officeDocument/2006/relationships/hyperlink" Target="https://chemicalsafety.ilo.org/dyn/icsc/showcard.display?p_card_id=0178&amp;p_lang=tr" TargetMode="External"/><Relationship Id="rId1340" Type="http://schemas.openxmlformats.org/officeDocument/2006/relationships/hyperlink" Target="https://chem.echa.europa.eu/substance-search?searchText=7446-18-6" TargetMode="External"/><Relationship Id="rId3098" Type="http://schemas.openxmlformats.org/officeDocument/2006/relationships/hyperlink" Target="https://chemicalsafety.ilo.org/dyn/icsc/showcard.display?p_card_id=0795&amp;p_lang=tr" TargetMode="External"/><Relationship Id="rId4496" Type="http://schemas.openxmlformats.org/officeDocument/2006/relationships/hyperlink" Target="https://chem.echa.europa.eu/substance-search?searchText=107-22-2" TargetMode="External"/><Relationship Id="rId5547" Type="http://schemas.openxmlformats.org/officeDocument/2006/relationships/hyperlink" Target="https://www.google.com/search?q=26675-46-7+SDS+safety+data+sheet+filetype:pdf" TargetMode="External"/><Relationship Id="rId5754" Type="http://schemas.openxmlformats.org/officeDocument/2006/relationships/hyperlink" Target="https://chemicalsafety.ilo.org/dyn/icsc/showcard.display?p_card_id=1492&amp;p_lang=tr" TargetMode="External"/><Relationship Id="rId5961" Type="http://schemas.openxmlformats.org/officeDocument/2006/relationships/hyperlink" Target="https://chemicalsafety.ilo.org/dyn/icsc/showcard.display?p_card_id=1545&amp;p_lang=en" TargetMode="External"/><Relationship Id="rId6805" Type="http://schemas.openxmlformats.org/officeDocument/2006/relationships/hyperlink" Target="https://chemicalsafety.ilo.org/dyn/icsc/showcard.display?p_card_id=1774&amp;p_lang=en" TargetMode="External"/><Relationship Id="rId1200" Type="http://schemas.openxmlformats.org/officeDocument/2006/relationships/hyperlink" Target="https://chem.echa.europa.eu/substance-search?searchText=75-79-6" TargetMode="External"/><Relationship Id="rId4149" Type="http://schemas.openxmlformats.org/officeDocument/2006/relationships/hyperlink" Target="https://chemicalsafety.ilo.org/dyn/icsc/showcard.display?p_card_id=1070&amp;p_lang=en" TargetMode="External"/><Relationship Id="rId4356" Type="http://schemas.openxmlformats.org/officeDocument/2006/relationships/hyperlink" Target="https://chem.echa.europa.eu/substance-search?searchText=1305-99-3" TargetMode="External"/><Relationship Id="rId4563" Type="http://schemas.openxmlformats.org/officeDocument/2006/relationships/hyperlink" Target="https://www.google.com/search?q=111-14-8+SDS+safety+data+sheet+filetype:pdf" TargetMode="External"/><Relationship Id="rId4770" Type="http://schemas.openxmlformats.org/officeDocument/2006/relationships/hyperlink" Target="https://chemicalsafety.ilo.org/dyn/icsc/showcard.display?p_card_id=1235&amp;p_lang=tr" TargetMode="External"/><Relationship Id="rId5407" Type="http://schemas.openxmlformats.org/officeDocument/2006/relationships/hyperlink" Target="https://www.google.com/search?q=86290-81-5+SDS+safety+data+sheet+filetype:pdf" TargetMode="External"/><Relationship Id="rId5614" Type="http://schemas.openxmlformats.org/officeDocument/2006/relationships/hyperlink" Target="https://chemicalsafety.ilo.org/dyn/icsc/showcard.display?p_card_id=1452&amp;p_lang=tr" TargetMode="External"/><Relationship Id="rId5821" Type="http://schemas.openxmlformats.org/officeDocument/2006/relationships/hyperlink" Target="https://chemicalsafety.ilo.org/dyn/icsc/showcard.display?p_card_id=1509&amp;p_lang=en" TargetMode="External"/><Relationship Id="rId3165" Type="http://schemas.openxmlformats.org/officeDocument/2006/relationships/hyperlink" Target="https://chemicalsafety.ilo.org/dyn/icsc/showcard.display?p_card_id=0812&amp;p_lang=en" TargetMode="External"/><Relationship Id="rId3372" Type="http://schemas.openxmlformats.org/officeDocument/2006/relationships/hyperlink" Target="https://chem.echa.europa.eu/substance-search?searchText=124-02-7" TargetMode="External"/><Relationship Id="rId4009" Type="http://schemas.openxmlformats.org/officeDocument/2006/relationships/hyperlink" Target="https://chemicalsafety.ilo.org/dyn/icsc/showcard.display?p_card_id=1033&amp;p_lang=en" TargetMode="External"/><Relationship Id="rId4216" Type="http://schemas.openxmlformats.org/officeDocument/2006/relationships/hyperlink" Target="https://chem.echa.europa.eu/substance-search?searchText=333-20-0" TargetMode="External"/><Relationship Id="rId4423" Type="http://schemas.openxmlformats.org/officeDocument/2006/relationships/hyperlink" Target="https://www.google.com/search?q=1332-58-7+SDS+safety+data+sheet+filetype:pdf" TargetMode="External"/><Relationship Id="rId4630" Type="http://schemas.openxmlformats.org/officeDocument/2006/relationships/hyperlink" Target="https://chemicalsafety.ilo.org/dyn/icsc/showcard.display?p_card_id=1199&amp;p_lang=tr" TargetMode="External"/><Relationship Id="rId293" Type="http://schemas.openxmlformats.org/officeDocument/2006/relationships/hyperlink" Target="https://chemicalsafety.ilo.org/dyn/icsc/showcard.display?p_card_id=0074&amp;p_lang=en" TargetMode="External"/><Relationship Id="rId2181" Type="http://schemas.openxmlformats.org/officeDocument/2006/relationships/hyperlink" Target="https://chemicalsafety.ilo.org/dyn/icsc/showcard.display?p_card_id=0557&amp;p_lang=en" TargetMode="External"/><Relationship Id="rId3025" Type="http://schemas.openxmlformats.org/officeDocument/2006/relationships/hyperlink" Target="https://chemicalsafety.ilo.org/dyn/icsc/showcard.display?p_card_id=0777&amp;p_lang=en" TargetMode="External"/><Relationship Id="rId3232" Type="http://schemas.openxmlformats.org/officeDocument/2006/relationships/hyperlink" Target="https://chem.echa.europa.eu/substance-search?searchText=25057-89-0" TargetMode="External"/><Relationship Id="rId6388" Type="http://schemas.openxmlformats.org/officeDocument/2006/relationships/hyperlink" Target="https://chem.echa.europa.eu/substance-search?searchText=10545-99-0" TargetMode="External"/><Relationship Id="rId6595" Type="http://schemas.openxmlformats.org/officeDocument/2006/relationships/hyperlink" Target="https://www.google.com/search?q=115-18-4+SDS+safety+data+sheet+filetype:pdf" TargetMode="External"/><Relationship Id="rId153" Type="http://schemas.openxmlformats.org/officeDocument/2006/relationships/hyperlink" Target="https://chemicalsafety.ilo.org/dyn/icsc/showcard.display?p_card_id=0039&amp;p_lang=en" TargetMode="External"/><Relationship Id="rId360" Type="http://schemas.openxmlformats.org/officeDocument/2006/relationships/hyperlink" Target="https://chem.echa.europa.eu/substance-search?searchText=107-02-8" TargetMode="External"/><Relationship Id="rId2041" Type="http://schemas.openxmlformats.org/officeDocument/2006/relationships/hyperlink" Target="https://chemicalsafety.ilo.org/dyn/icsc/showcard.display?p_card_id=0520&amp;p_lang=en" TargetMode="External"/><Relationship Id="rId5197" Type="http://schemas.openxmlformats.org/officeDocument/2006/relationships/hyperlink" Target="https://chemicalsafety.ilo.org/dyn/icsc/showcard.display?p_card_id=1346&amp;p_lang=en" TargetMode="External"/><Relationship Id="rId6248" Type="http://schemas.openxmlformats.org/officeDocument/2006/relationships/hyperlink" Target="https://chem.echa.europa.eu/substance-search?searchText=24083-03-2" TargetMode="External"/><Relationship Id="rId6455" Type="http://schemas.openxmlformats.org/officeDocument/2006/relationships/hyperlink" Target="https://www.google.com/search?q=106-91-2+SDS+safety+data+sheet+filetype:pdf" TargetMode="External"/><Relationship Id="rId220" Type="http://schemas.openxmlformats.org/officeDocument/2006/relationships/hyperlink" Target="https://chem.echa.europa.eu/substance-search?searchText=93-65-2" TargetMode="External"/><Relationship Id="rId2998" Type="http://schemas.openxmlformats.org/officeDocument/2006/relationships/hyperlink" Target="https://chemicalsafety.ilo.org/dyn/icsc/showcard.display?p_card_id=0770&amp;p_lang=tr" TargetMode="External"/><Relationship Id="rId5057" Type="http://schemas.openxmlformats.org/officeDocument/2006/relationships/hyperlink" Target="https://chemicalsafety.ilo.org/dyn/icsc/showcard.display?p_card_id=1309&amp;p_lang=en" TargetMode="External"/><Relationship Id="rId5264" Type="http://schemas.openxmlformats.org/officeDocument/2006/relationships/hyperlink" Target="https://chem.echa.europa.eu/substance-search?searchText=526-73-8" TargetMode="External"/><Relationship Id="rId6108" Type="http://schemas.openxmlformats.org/officeDocument/2006/relationships/hyperlink" Target="https://chem.echa.europa.eu/substance-search?searchText=88-19-7" TargetMode="External"/><Relationship Id="rId6662" Type="http://schemas.openxmlformats.org/officeDocument/2006/relationships/hyperlink" Target="https://chemicalsafety.ilo.org/dyn/icsc/showcard.display?p_card_id=1737&amp;p_lang=tr" TargetMode="External"/><Relationship Id="rId2858" Type="http://schemas.openxmlformats.org/officeDocument/2006/relationships/hyperlink" Target="https://chemicalsafety.ilo.org/dyn/icsc/showcard.display?p_card_id=0735&amp;p_lang=tr" TargetMode="External"/><Relationship Id="rId3909" Type="http://schemas.openxmlformats.org/officeDocument/2006/relationships/hyperlink" Target="https://chemicalsafety.ilo.org/dyn/icsc/showcard.display?p_card_id=1007&amp;p_lang=en" TargetMode="External"/><Relationship Id="rId4073" Type="http://schemas.openxmlformats.org/officeDocument/2006/relationships/hyperlink" Target="https://chemicalsafety.ilo.org/dyn/icsc/showcard.display?p_card_id=1049&amp;p_lang=en" TargetMode="External"/><Relationship Id="rId5471" Type="http://schemas.openxmlformats.org/officeDocument/2006/relationships/hyperlink" Target="https://www.google.com/search?q=7758-99-8+SDS+safety+data+sheet+filetype:pdf" TargetMode="External"/><Relationship Id="rId6315" Type="http://schemas.openxmlformats.org/officeDocument/2006/relationships/hyperlink" Target="https://www.google.com/search?q=793-24-8+SDS+safety+data+sheet+filetype:pdf" TargetMode="External"/><Relationship Id="rId6522" Type="http://schemas.openxmlformats.org/officeDocument/2006/relationships/hyperlink" Target="https://chemicalsafety.ilo.org/dyn/icsc/showcard.display?p_card_id=1701&amp;p_lang=tr" TargetMode="External"/><Relationship Id="rId99" Type="http://schemas.openxmlformats.org/officeDocument/2006/relationships/hyperlink" Target="https://www.google.com/search?q=2917-26-2+SDS+safety+data+sheet+filetype:pdf" TargetMode="External"/><Relationship Id="rId1667" Type="http://schemas.openxmlformats.org/officeDocument/2006/relationships/hyperlink" Target="https://www.google.com/search?q=1317-39-1+SDS+safety+data+sheet+filetype:pdf" TargetMode="External"/><Relationship Id="rId1874" Type="http://schemas.openxmlformats.org/officeDocument/2006/relationships/hyperlink" Target="https://chemicalsafety.ilo.org/dyn/icsc/showcard.display?p_card_id=0475&amp;p_lang=tr" TargetMode="External"/><Relationship Id="rId2718" Type="http://schemas.openxmlformats.org/officeDocument/2006/relationships/hyperlink" Target="https://chemicalsafety.ilo.org/dyn/icsc/showcard.display?p_card_id=0700&amp;p_lang=tr" TargetMode="External"/><Relationship Id="rId2925" Type="http://schemas.openxmlformats.org/officeDocument/2006/relationships/hyperlink" Target="https://chemicalsafety.ilo.org/dyn/icsc/showcard.display?p_card_id=0752&amp;p_lang=en" TargetMode="External"/><Relationship Id="rId4280" Type="http://schemas.openxmlformats.org/officeDocument/2006/relationships/hyperlink" Target="https://chem.echa.europa.eu/substance-search?searchText=97-02-9" TargetMode="External"/><Relationship Id="rId5124" Type="http://schemas.openxmlformats.org/officeDocument/2006/relationships/hyperlink" Target="https://chem.echa.europa.eu/substance-search?searchText=1304-56-9" TargetMode="External"/><Relationship Id="rId5331" Type="http://schemas.openxmlformats.org/officeDocument/2006/relationships/hyperlink" Target="https://www.google.com/search?q=64742-47-8+SDS+safety+data+sheet+filetype:pdf" TargetMode="External"/><Relationship Id="rId1527" Type="http://schemas.openxmlformats.org/officeDocument/2006/relationships/hyperlink" Target="https://www.google.com/search?q=1302-78-9+SDS+safety+data+sheet+filetype:pdf" TargetMode="External"/><Relationship Id="rId1734" Type="http://schemas.openxmlformats.org/officeDocument/2006/relationships/hyperlink" Target="https://chemicalsafety.ilo.org/dyn/icsc/showcard.display?p_card_id=0438&amp;p_lang=tr" TargetMode="External"/><Relationship Id="rId1941" Type="http://schemas.openxmlformats.org/officeDocument/2006/relationships/hyperlink" Target="https://chemicalsafety.ilo.org/dyn/icsc/showcard.display?p_card_id=0492&amp;p_lang=en" TargetMode="External"/><Relationship Id="rId4140" Type="http://schemas.openxmlformats.org/officeDocument/2006/relationships/hyperlink" Target="https://chem.echa.europa.eu/substance-search?searchText=95-50-1" TargetMode="External"/><Relationship Id="rId26" Type="http://schemas.openxmlformats.org/officeDocument/2006/relationships/hyperlink" Target="https://chemicalsafety.ilo.org/dyn/icsc/showcard.display?p_card_id=0007&amp;p_lang=tr" TargetMode="External"/><Relationship Id="rId3699" Type="http://schemas.openxmlformats.org/officeDocument/2006/relationships/hyperlink" Target="https://www.google.com/search?q=7791-23-3+SDS+safety+data+sheet+filetype:pdf" TargetMode="External"/><Relationship Id="rId4000" Type="http://schemas.openxmlformats.org/officeDocument/2006/relationships/hyperlink" Target="https://chem.echa.europa.eu/substance-search?searchText=111-87-5" TargetMode="External"/><Relationship Id="rId1801" Type="http://schemas.openxmlformats.org/officeDocument/2006/relationships/hyperlink" Target="https://chemicalsafety.ilo.org/dyn/icsc/showcard.display?p_card_id=0456&amp;p_lang=en" TargetMode="External"/><Relationship Id="rId3559" Type="http://schemas.openxmlformats.org/officeDocument/2006/relationships/hyperlink" Target="https://www.google.com/search?q=1310-65-2+SDS+safety+data+sheet+filetype:pdf" TargetMode="External"/><Relationship Id="rId4957" Type="http://schemas.openxmlformats.org/officeDocument/2006/relationships/hyperlink" Target="https://chemicalsafety.ilo.org/dyn/icsc/showcard.display?p_card_id=1282&amp;p_lang=en" TargetMode="External"/><Relationship Id="rId6172" Type="http://schemas.openxmlformats.org/officeDocument/2006/relationships/hyperlink" Target="https://chem.echa.europa.eu/substance-search?searchText=8042-47-5" TargetMode="External"/><Relationship Id="rId687" Type="http://schemas.openxmlformats.org/officeDocument/2006/relationships/hyperlink" Target="https://www.google.com/search?q=121-75-5+SDS+safety+data+sheet+filetype:pdf" TargetMode="External"/><Relationship Id="rId2368" Type="http://schemas.openxmlformats.org/officeDocument/2006/relationships/hyperlink" Target="https://chem.echa.europa.eu/substance-search?searchText=3710-30-3" TargetMode="External"/><Relationship Id="rId3766" Type="http://schemas.openxmlformats.org/officeDocument/2006/relationships/hyperlink" Target="https://chemicalsafety.ilo.org/dyn/icsc/showcard.display?p_card_id=0965&amp;p_lang=tr" TargetMode="External"/><Relationship Id="rId3973" Type="http://schemas.openxmlformats.org/officeDocument/2006/relationships/hyperlink" Target="https://chemicalsafety.ilo.org/dyn/icsc/showcard.display?p_card_id=1024&amp;p_lang=en" TargetMode="External"/><Relationship Id="rId4817" Type="http://schemas.openxmlformats.org/officeDocument/2006/relationships/hyperlink" Target="https://chemicalsafety.ilo.org/dyn/icsc/showcard.display?p_card_id=1247&amp;p_lang=en" TargetMode="External"/><Relationship Id="rId6032" Type="http://schemas.openxmlformats.org/officeDocument/2006/relationships/hyperlink" Target="https://chem.echa.europa.eu/substance-search?searchText=95-68-1" TargetMode="External"/><Relationship Id="rId894" Type="http://schemas.openxmlformats.org/officeDocument/2006/relationships/hyperlink" Target="https://chemicalsafety.ilo.org/dyn/icsc/showcard.display?p_card_id=0225&amp;p_lang=tr" TargetMode="External"/><Relationship Id="rId1177" Type="http://schemas.openxmlformats.org/officeDocument/2006/relationships/hyperlink" Target="https://chemicalsafety.ilo.org/dyn/icsc/showcard.display?p_card_id=0296&amp;p_lang=en" TargetMode="External"/><Relationship Id="rId2575" Type="http://schemas.openxmlformats.org/officeDocument/2006/relationships/hyperlink" Target="https://www.google.com/search?q=107-41-5+SDS+safety+data+sheet+filetype:pdf" TargetMode="External"/><Relationship Id="rId2782" Type="http://schemas.openxmlformats.org/officeDocument/2006/relationships/hyperlink" Target="https://chemicalsafety.ilo.org/dyn/icsc/showcard.display?p_card_id=0716&amp;p_lang=tr" TargetMode="External"/><Relationship Id="rId3419" Type="http://schemas.openxmlformats.org/officeDocument/2006/relationships/hyperlink" Target="https://www.google.com/search?q=75-18-3+SDS+safety+data+sheet+filetype:pdf" TargetMode="External"/><Relationship Id="rId3626" Type="http://schemas.openxmlformats.org/officeDocument/2006/relationships/hyperlink" Target="https://chemicalsafety.ilo.org/dyn/icsc/showcard.display?p_card_id=0930&amp;p_lang=tr" TargetMode="External"/><Relationship Id="rId3833" Type="http://schemas.openxmlformats.org/officeDocument/2006/relationships/hyperlink" Target="https://chemicalsafety.ilo.org/dyn/icsc/showcard.display?p_card_id=0983&amp;p_lang=en" TargetMode="External"/><Relationship Id="rId547" Type="http://schemas.openxmlformats.org/officeDocument/2006/relationships/hyperlink" Target="https://www.google.com/search?q=333-41-5+SDS+safety+data+sheet+filetype:pdf" TargetMode="External"/><Relationship Id="rId754" Type="http://schemas.openxmlformats.org/officeDocument/2006/relationships/hyperlink" Target="https://chemicalsafety.ilo.org/dyn/icsc/showcard.display?p_card_id=0189&amp;p_lang=tr" TargetMode="External"/><Relationship Id="rId961" Type="http://schemas.openxmlformats.org/officeDocument/2006/relationships/hyperlink" Target="https://chemicalsafety.ilo.org/dyn/icsc/showcard.display?p_card_id=0242&amp;p_lang=en" TargetMode="External"/><Relationship Id="rId1384" Type="http://schemas.openxmlformats.org/officeDocument/2006/relationships/hyperlink" Target="https://chem.echa.europa.eu/substance-search?searchText=108-05-4" TargetMode="External"/><Relationship Id="rId1591" Type="http://schemas.openxmlformats.org/officeDocument/2006/relationships/hyperlink" Target="https://www.google.com/search?q=13952-84-6+SDS+safety+data+sheet+filetype:pdf" TargetMode="External"/><Relationship Id="rId2228" Type="http://schemas.openxmlformats.org/officeDocument/2006/relationships/hyperlink" Target="https://chem.echa.europa.eu/substance-search?searchText=57-11-4" TargetMode="External"/><Relationship Id="rId2435" Type="http://schemas.openxmlformats.org/officeDocument/2006/relationships/hyperlink" Target="https://www.google.com/search?q=109-94-4+SDS+safety+data+sheet+filetype:pdf" TargetMode="External"/><Relationship Id="rId2642" Type="http://schemas.openxmlformats.org/officeDocument/2006/relationships/hyperlink" Target="https://chemicalsafety.ilo.org/dyn/icsc/showcard.display?p_card_id=0678&amp;p_lang=tr" TargetMode="External"/><Relationship Id="rId3900" Type="http://schemas.openxmlformats.org/officeDocument/2006/relationships/hyperlink" Target="https://chem.echa.europa.eu/substance-search?searchText=7439-98-7" TargetMode="External"/><Relationship Id="rId5798" Type="http://schemas.openxmlformats.org/officeDocument/2006/relationships/hyperlink" Target="https://chemicalsafety.ilo.org/dyn/icsc/showcard.display?p_card_id=1503&amp;p_lang=tr" TargetMode="External"/><Relationship Id="rId6849" Type="http://schemas.openxmlformats.org/officeDocument/2006/relationships/table" Target="../tables/table1.xml"/><Relationship Id="rId90" Type="http://schemas.openxmlformats.org/officeDocument/2006/relationships/hyperlink" Target="https://chemicalsafety.ilo.org/dyn/icsc/showcard.display?p_card_id=0023&amp;p_lang=tr" TargetMode="External"/><Relationship Id="rId407" Type="http://schemas.openxmlformats.org/officeDocument/2006/relationships/hyperlink" Target="https://www.google.com/search?q=100-52-7+SDS+safety+data+sheet+filetype:pdf" TargetMode="External"/><Relationship Id="rId614" Type="http://schemas.openxmlformats.org/officeDocument/2006/relationships/hyperlink" Target="https://chemicalsafety.ilo.org/dyn/icsc/showcard.display?p_card_id=0154&amp;p_lang=tr" TargetMode="External"/><Relationship Id="rId821" Type="http://schemas.openxmlformats.org/officeDocument/2006/relationships/hyperlink" Target="https://chemicalsafety.ilo.org/dyn/icsc/showcard.display?p_card_id=0206&amp;p_lang=en" TargetMode="External"/><Relationship Id="rId1037" Type="http://schemas.openxmlformats.org/officeDocument/2006/relationships/hyperlink" Target="https://chemicalsafety.ilo.org/dyn/icsc/showcard.display?p_card_id=0261&amp;p_lang=en" TargetMode="External"/><Relationship Id="rId1244" Type="http://schemas.openxmlformats.org/officeDocument/2006/relationships/hyperlink" Target="https://chem.echa.europa.eu/substance-search?searchText=52645-53-1" TargetMode="External"/><Relationship Id="rId1451" Type="http://schemas.openxmlformats.org/officeDocument/2006/relationships/hyperlink" Target="https://www.google.com/search?q=111-15-9+SDS+safety+data+sheet+filetype:pdf" TargetMode="External"/><Relationship Id="rId2502" Type="http://schemas.openxmlformats.org/officeDocument/2006/relationships/hyperlink" Target="https://chemicalsafety.ilo.org/dyn/icsc/showcard.display?p_card_id=0641&amp;p_lang=tr" TargetMode="External"/><Relationship Id="rId5658" Type="http://schemas.openxmlformats.org/officeDocument/2006/relationships/hyperlink" Target="https://chemicalsafety.ilo.org/dyn/icsc/showcard.display?p_card_id=1466&amp;p_lang=tr" TargetMode="External"/><Relationship Id="rId5865" Type="http://schemas.openxmlformats.org/officeDocument/2006/relationships/hyperlink" Target="https://chemicalsafety.ilo.org/dyn/icsc/showcard.display?p_card_id=1520&amp;p_lang=en" TargetMode="External"/><Relationship Id="rId6709" Type="http://schemas.openxmlformats.org/officeDocument/2006/relationships/hyperlink" Target="https://chemicalsafety.ilo.org/dyn/icsc/showcard.display?p_card_id=1749&amp;p_lang=en" TargetMode="External"/><Relationship Id="rId1104" Type="http://schemas.openxmlformats.org/officeDocument/2006/relationships/hyperlink" Target="https://chem.echa.europa.eu/substance-search?searchText=151-67-7" TargetMode="External"/><Relationship Id="rId1311" Type="http://schemas.openxmlformats.org/officeDocument/2006/relationships/hyperlink" Target="https://www.google.com/search?q=14807-96-6+SDS+safety+data+sheet+filetype:pdf" TargetMode="External"/><Relationship Id="rId4467" Type="http://schemas.openxmlformats.org/officeDocument/2006/relationships/hyperlink" Target="https://www.google.com/search?q=108-67-8+SDS+safety+data+sheet+filetype:pdf" TargetMode="External"/><Relationship Id="rId4674" Type="http://schemas.openxmlformats.org/officeDocument/2006/relationships/hyperlink" Target="https://chemicalsafety.ilo.org/dyn/icsc/showcard.display?p_card_id=1211&amp;p_lang=tr" TargetMode="External"/><Relationship Id="rId4881" Type="http://schemas.openxmlformats.org/officeDocument/2006/relationships/hyperlink" Target="https://chemicalsafety.ilo.org/dyn/icsc/showcard.display?p_card_id=1263&amp;p_lang=en" TargetMode="External"/><Relationship Id="rId5518" Type="http://schemas.openxmlformats.org/officeDocument/2006/relationships/hyperlink" Target="https://chemicalsafety.ilo.org/dyn/icsc/showcard.display?p_card_id=1428&amp;p_lang=tr" TargetMode="External"/><Relationship Id="rId5725" Type="http://schemas.openxmlformats.org/officeDocument/2006/relationships/hyperlink" Target="https://chemicalsafety.ilo.org/dyn/icsc/showcard.display?p_card_id=1485&amp;p_lang=en" TargetMode="External"/><Relationship Id="rId3069" Type="http://schemas.openxmlformats.org/officeDocument/2006/relationships/hyperlink" Target="https://chemicalsafety.ilo.org/dyn/icsc/showcard.display?p_card_id=0788&amp;p_lang=en" TargetMode="External"/><Relationship Id="rId3276" Type="http://schemas.openxmlformats.org/officeDocument/2006/relationships/hyperlink" Target="https://chem.echa.europa.eu/substance-search?searchText=128-37-0" TargetMode="External"/><Relationship Id="rId3483" Type="http://schemas.openxmlformats.org/officeDocument/2006/relationships/hyperlink" Target="https://www.google.com/search?q=50-01-1+SDS+safety+data+sheet+filetype:pdf" TargetMode="External"/><Relationship Id="rId3690" Type="http://schemas.openxmlformats.org/officeDocument/2006/relationships/hyperlink" Target="https://chemicalsafety.ilo.org/dyn/icsc/showcard.display?p_card_id=0946&amp;p_lang=tr" TargetMode="External"/><Relationship Id="rId4327" Type="http://schemas.openxmlformats.org/officeDocument/2006/relationships/hyperlink" Target="https://www.google.com/search?q=7681-52-9+SDS+safety+data+sheet+filetype:pdf" TargetMode="External"/><Relationship Id="rId4534" Type="http://schemas.openxmlformats.org/officeDocument/2006/relationships/hyperlink" Target="https://chemicalsafety.ilo.org/dyn/icsc/showcard.display?p_card_id=1172&amp;p_lang=tr" TargetMode="External"/><Relationship Id="rId5932" Type="http://schemas.openxmlformats.org/officeDocument/2006/relationships/hyperlink" Target="https://chem.echa.europa.eu/substance-search?searchText=532-32-1" TargetMode="External"/><Relationship Id="rId197" Type="http://schemas.openxmlformats.org/officeDocument/2006/relationships/hyperlink" Target="https://chemicalsafety.ilo.org/dyn/icsc/showcard.display?p_card_id=0050&amp;p_lang=en" TargetMode="External"/><Relationship Id="rId2085" Type="http://schemas.openxmlformats.org/officeDocument/2006/relationships/hyperlink" Target="https://chemicalsafety.ilo.org/dyn/icsc/showcard.display?p_card_id=0532&amp;p_lang=en" TargetMode="External"/><Relationship Id="rId2292" Type="http://schemas.openxmlformats.org/officeDocument/2006/relationships/hyperlink" Target="https://chem.echa.europa.eu/substance-search?searchText=52-68-6" TargetMode="External"/><Relationship Id="rId3136" Type="http://schemas.openxmlformats.org/officeDocument/2006/relationships/hyperlink" Target="https://chem.echa.europa.eu/substance-search?searchText=836-30-6" TargetMode="External"/><Relationship Id="rId3343" Type="http://schemas.openxmlformats.org/officeDocument/2006/relationships/hyperlink" Target="https://www.google.com/search?q=68085-85-8+SDS+safety+data+sheet+filetype:pdf" TargetMode="External"/><Relationship Id="rId4741" Type="http://schemas.openxmlformats.org/officeDocument/2006/relationships/hyperlink" Target="https://chemicalsafety.ilo.org/dyn/icsc/showcard.display?p_card_id=1228&amp;p_lang=en" TargetMode="External"/><Relationship Id="rId6499" Type="http://schemas.openxmlformats.org/officeDocument/2006/relationships/hyperlink" Target="https://www.google.com/search?q=1633-05-2+SDS+safety+data+sheet+filetype:pdf" TargetMode="External"/><Relationship Id="rId264" Type="http://schemas.openxmlformats.org/officeDocument/2006/relationships/hyperlink" Target="https://chem.echa.europa.eu/substance-search?searchText=100-02-7" TargetMode="External"/><Relationship Id="rId471" Type="http://schemas.openxmlformats.org/officeDocument/2006/relationships/hyperlink" Target="https://www.google.com/search?q=105-60-2+SDS+safety+data+sheet+filetype:pdf" TargetMode="External"/><Relationship Id="rId2152" Type="http://schemas.openxmlformats.org/officeDocument/2006/relationships/hyperlink" Target="https://chem.echa.europa.eu/substance-search?searchText=1312-73-8" TargetMode="External"/><Relationship Id="rId3550" Type="http://schemas.openxmlformats.org/officeDocument/2006/relationships/hyperlink" Target="https://chemicalsafety.ilo.org/dyn/icsc/showcard.display?p_card_id=0911&amp;p_lang=tr" TargetMode="External"/><Relationship Id="rId4601" Type="http://schemas.openxmlformats.org/officeDocument/2006/relationships/hyperlink" Target="https://chemicalsafety.ilo.org/dyn/icsc/showcard.display?p_card_id=1190&amp;p_lang=en" TargetMode="External"/><Relationship Id="rId124" Type="http://schemas.openxmlformats.org/officeDocument/2006/relationships/hyperlink" Target="https://chem.echa.europa.eu/substance-search?searchText=106-44-5" TargetMode="External"/><Relationship Id="rId3203" Type="http://schemas.openxmlformats.org/officeDocument/2006/relationships/hyperlink" Target="https://www.google.com/search?q=81-81-2+SDS+safety+data+sheet+filetype:pdf" TargetMode="External"/><Relationship Id="rId3410" Type="http://schemas.openxmlformats.org/officeDocument/2006/relationships/hyperlink" Target="https://chemicalsafety.ilo.org/dyn/icsc/showcard.display?p_card_id=0876&amp;p_lang=tr" TargetMode="External"/><Relationship Id="rId6359" Type="http://schemas.openxmlformats.org/officeDocument/2006/relationships/hyperlink" Target="https://www.google.com/search?q=95-85-2+SDS+safety+data+sheet+filetype:pdf" TargetMode="External"/><Relationship Id="rId6566" Type="http://schemas.openxmlformats.org/officeDocument/2006/relationships/hyperlink" Target="https://chemicalsafety.ilo.org/dyn/icsc/showcard.display?p_card_id=1712&amp;p_lang=tr" TargetMode="External"/><Relationship Id="rId6773" Type="http://schemas.openxmlformats.org/officeDocument/2006/relationships/hyperlink" Target="https://chemicalsafety.ilo.org/dyn/icsc/showcard.display?p_card_id=1766&amp;p_lang=en" TargetMode="External"/><Relationship Id="rId331" Type="http://schemas.openxmlformats.org/officeDocument/2006/relationships/hyperlink" Target="https://www.google.com/search?q=75-35-4+SDS+safety+data+sheet+filetype:pdf" TargetMode="External"/><Relationship Id="rId2012" Type="http://schemas.openxmlformats.org/officeDocument/2006/relationships/hyperlink" Target="https://chem.echa.europa.eu/substance-search?searchText=74-88-4" TargetMode="External"/><Relationship Id="rId2969" Type="http://schemas.openxmlformats.org/officeDocument/2006/relationships/hyperlink" Target="https://chemicalsafety.ilo.org/dyn/icsc/showcard.display?p_card_id=0763&amp;p_lang=en" TargetMode="External"/><Relationship Id="rId5168" Type="http://schemas.openxmlformats.org/officeDocument/2006/relationships/hyperlink" Target="https://chem.echa.europa.eu/substance-search?searchText=100-46-9" TargetMode="External"/><Relationship Id="rId5375" Type="http://schemas.openxmlformats.org/officeDocument/2006/relationships/hyperlink" Target="https://www.google.com/search?q=541-85-5+SDS+safety+data+sheet+filetype:pdf" TargetMode="External"/><Relationship Id="rId5582" Type="http://schemas.openxmlformats.org/officeDocument/2006/relationships/hyperlink" Target="https://chemicalsafety.ilo.org/dyn/icsc/showcard.display?p_card_id=1444&amp;p_lang=tr" TargetMode="External"/><Relationship Id="rId6219" Type="http://schemas.openxmlformats.org/officeDocument/2006/relationships/hyperlink" Target="https://www.google.com/search?q=91-66-7+SDS+safety+data+sheet+filetype:pdf" TargetMode="External"/><Relationship Id="rId6426" Type="http://schemas.openxmlformats.org/officeDocument/2006/relationships/hyperlink" Target="https://chemicalsafety.ilo.org/dyn/icsc/showcard.display?p_card_id=1672&amp;p_lang=tr" TargetMode="External"/><Relationship Id="rId6633" Type="http://schemas.openxmlformats.org/officeDocument/2006/relationships/hyperlink" Target="https://chemicalsafety.ilo.org/dyn/icsc/showcard.display?p_card_id=1730&amp;p_lang=en" TargetMode="External"/><Relationship Id="rId6840" Type="http://schemas.openxmlformats.org/officeDocument/2006/relationships/hyperlink" Target="https://chem.echa.europa.eu/substance-search?searchText=26471-62-5" TargetMode="External"/><Relationship Id="rId1778" Type="http://schemas.openxmlformats.org/officeDocument/2006/relationships/hyperlink" Target="https://chemicalsafety.ilo.org/dyn/icsc/showcard.display?p_card_id=0449&amp;p_lang=tr" TargetMode="External"/><Relationship Id="rId1985" Type="http://schemas.openxmlformats.org/officeDocument/2006/relationships/hyperlink" Target="https://chemicalsafety.ilo.org/dyn/icsc/showcard.display?p_card_id=0503&amp;p_lang=en" TargetMode="External"/><Relationship Id="rId2829" Type="http://schemas.openxmlformats.org/officeDocument/2006/relationships/hyperlink" Target="https://chemicalsafety.ilo.org/dyn/icsc/showcard.display?p_card_id=0728&amp;p_lang=en" TargetMode="External"/><Relationship Id="rId4184" Type="http://schemas.openxmlformats.org/officeDocument/2006/relationships/hyperlink" Target="https://chem.echa.europa.eu/substance-search?searchText=616-38-6" TargetMode="External"/><Relationship Id="rId4391" Type="http://schemas.openxmlformats.org/officeDocument/2006/relationships/hyperlink" Target="https://www.google.com/search?q=7775-27-1+SDS+safety+data+sheet+filetype:pdf" TargetMode="External"/><Relationship Id="rId5028" Type="http://schemas.openxmlformats.org/officeDocument/2006/relationships/hyperlink" Target="https://chem.echa.europa.eu/substance-search?searchText=75-88-7" TargetMode="External"/><Relationship Id="rId5235" Type="http://schemas.openxmlformats.org/officeDocument/2006/relationships/hyperlink" Target="https://www.google.com/search?q=7787-49-7+SDS+safety+data+sheet+filetype:pdf" TargetMode="External"/><Relationship Id="rId5442" Type="http://schemas.openxmlformats.org/officeDocument/2006/relationships/hyperlink" Target="https://chemicalsafety.ilo.org/dyn/icsc/showcard.display?p_card_id=1409&amp;p_lang=tr" TargetMode="External"/><Relationship Id="rId6700" Type="http://schemas.openxmlformats.org/officeDocument/2006/relationships/hyperlink" Target="https://chem.echa.europa.eu/substance-search?searchText=115-19-5" TargetMode="External"/><Relationship Id="rId1638" Type="http://schemas.openxmlformats.org/officeDocument/2006/relationships/hyperlink" Target="https://chemicalsafety.ilo.org/dyn/icsc/showcard.display?p_card_id=0414&amp;p_lang=tr" TargetMode="External"/><Relationship Id="rId4044" Type="http://schemas.openxmlformats.org/officeDocument/2006/relationships/hyperlink" Target="https://chem.echa.europa.eu/substance-search?searchText=10377-60-3" TargetMode="External"/><Relationship Id="rId4251" Type="http://schemas.openxmlformats.org/officeDocument/2006/relationships/hyperlink" Target="https://www.google.com/search?q=107-70-0+SDS+safety+data+sheet+filetype:pdf" TargetMode="External"/><Relationship Id="rId5302" Type="http://schemas.openxmlformats.org/officeDocument/2006/relationships/hyperlink" Target="https://chemicalsafety.ilo.org/dyn/icsc/showcard.display?p_card_id=1372&amp;p_lang=tr" TargetMode="External"/><Relationship Id="rId1845" Type="http://schemas.openxmlformats.org/officeDocument/2006/relationships/hyperlink" Target="https://chemicalsafety.ilo.org/dyn/icsc/showcard.display?p_card_id=0468&amp;p_lang=en" TargetMode="External"/><Relationship Id="rId3060" Type="http://schemas.openxmlformats.org/officeDocument/2006/relationships/hyperlink" Target="https://chem.echa.europa.eu/substance-search?searchText=1308-04-9" TargetMode="External"/><Relationship Id="rId4111" Type="http://schemas.openxmlformats.org/officeDocument/2006/relationships/hyperlink" Target="https://www.google.com/search?q=2234-13-1+SDS+safety+data+sheet+filetype:pdf" TargetMode="External"/><Relationship Id="rId1705" Type="http://schemas.openxmlformats.org/officeDocument/2006/relationships/hyperlink" Target="https://chemicalsafety.ilo.org/dyn/icsc/showcard.display?p_card_id=0431&amp;p_lang=en" TargetMode="External"/><Relationship Id="rId1912" Type="http://schemas.openxmlformats.org/officeDocument/2006/relationships/hyperlink" Target="https://chem.echa.europa.eu/substance-search?searchText=62-74-8" TargetMode="External"/><Relationship Id="rId6076" Type="http://schemas.openxmlformats.org/officeDocument/2006/relationships/hyperlink" Target="https://chem.echa.europa.eu/substance-search?searchText=1569-02-4" TargetMode="External"/><Relationship Id="rId6283" Type="http://schemas.openxmlformats.org/officeDocument/2006/relationships/hyperlink" Target="https://www.google.com/search?q=98-11-3+SDS+safety+data+sheet+filetype:pdf" TargetMode="External"/><Relationship Id="rId3877" Type="http://schemas.openxmlformats.org/officeDocument/2006/relationships/hyperlink" Target="https://chemicalsafety.ilo.org/dyn/icsc/showcard.display?p_card_id=0997&amp;p_lang=en" TargetMode="External"/><Relationship Id="rId4928" Type="http://schemas.openxmlformats.org/officeDocument/2006/relationships/hyperlink" Target="https://chem.echa.europa.eu/substance-search?searchText=2451-62-9" TargetMode="External"/><Relationship Id="rId5092" Type="http://schemas.openxmlformats.org/officeDocument/2006/relationships/hyperlink" Target="https://chem.echa.europa.eu/substance-search?searchText=10049-05-5" TargetMode="External"/><Relationship Id="rId6490" Type="http://schemas.openxmlformats.org/officeDocument/2006/relationships/hyperlink" Target="https://chemicalsafety.ilo.org/dyn/icsc/showcard.display?p_card_id=1688&amp;p_lang=tr" TargetMode="External"/><Relationship Id="rId798" Type="http://schemas.openxmlformats.org/officeDocument/2006/relationships/hyperlink" Target="https://chemicalsafety.ilo.org/dyn/icsc/showcard.display?p_card_id=0200&amp;p_lang=tr" TargetMode="External"/><Relationship Id="rId2479" Type="http://schemas.openxmlformats.org/officeDocument/2006/relationships/hyperlink" Target="https://www.google.com/search?q=80-05-7+SDS+safety+data+sheet+filetype:pdf" TargetMode="External"/><Relationship Id="rId2686" Type="http://schemas.openxmlformats.org/officeDocument/2006/relationships/hyperlink" Target="https://chemicalsafety.ilo.org/dyn/icsc/showcard.display?p_card_id=0691&amp;p_lang=tr" TargetMode="External"/><Relationship Id="rId2893" Type="http://schemas.openxmlformats.org/officeDocument/2006/relationships/hyperlink" Target="https://chemicalsafety.ilo.org/dyn/icsc/showcard.display?p_card_id=0744&amp;p_lang=en" TargetMode="External"/><Relationship Id="rId3737" Type="http://schemas.openxmlformats.org/officeDocument/2006/relationships/hyperlink" Target="https://chemicalsafety.ilo.org/dyn/icsc/showcard.display?p_card_id=0958&amp;p_lang=en" TargetMode="External"/><Relationship Id="rId3944" Type="http://schemas.openxmlformats.org/officeDocument/2006/relationships/hyperlink" Target="https://chem.echa.europa.eu/substance-search?searchText=108-86-1" TargetMode="External"/><Relationship Id="rId6143" Type="http://schemas.openxmlformats.org/officeDocument/2006/relationships/hyperlink" Target="https://www.google.com/search?q=15978-77-5+SDS+safety+data+sheet+filetype:pdf" TargetMode="External"/><Relationship Id="rId6350" Type="http://schemas.openxmlformats.org/officeDocument/2006/relationships/hyperlink" Target="https://chemicalsafety.ilo.org/dyn/icsc/showcard.display?p_card_id=1645&amp;p_lang=tr" TargetMode="External"/><Relationship Id="rId658" Type="http://schemas.openxmlformats.org/officeDocument/2006/relationships/hyperlink" Target="https://chemicalsafety.ilo.org/dyn/icsc/showcard.display?p_card_id=0165&amp;p_lang=tr" TargetMode="External"/><Relationship Id="rId865" Type="http://schemas.openxmlformats.org/officeDocument/2006/relationships/hyperlink" Target="https://chemicalsafety.ilo.org/dyn/icsc/showcard.display?p_card_id=0218&amp;p_lang=en" TargetMode="External"/><Relationship Id="rId1288" Type="http://schemas.openxmlformats.org/officeDocument/2006/relationships/hyperlink" Target="https://chem.echa.europa.eu/substance-search?searchText=110-86-1" TargetMode="External"/><Relationship Id="rId1495" Type="http://schemas.openxmlformats.org/officeDocument/2006/relationships/hyperlink" Target="https://www.google.com/search?q=60-80-0+SDS+safety+data+sheet+filetype:pdf" TargetMode="External"/><Relationship Id="rId2339" Type="http://schemas.openxmlformats.org/officeDocument/2006/relationships/hyperlink" Target="https://www.google.com/search?q=593-60-2+SDS+safety+data+sheet+filetype:pdf" TargetMode="External"/><Relationship Id="rId2546" Type="http://schemas.openxmlformats.org/officeDocument/2006/relationships/hyperlink" Target="https://chemicalsafety.ilo.org/dyn/icsc/showcard.display?p_card_id=0653&amp;p_lang=tr" TargetMode="External"/><Relationship Id="rId2753" Type="http://schemas.openxmlformats.org/officeDocument/2006/relationships/hyperlink" Target="https://chemicalsafety.ilo.org/dyn/icsc/showcard.display?p_card_id=0709&amp;p_lang=en" TargetMode="External"/><Relationship Id="rId2960" Type="http://schemas.openxmlformats.org/officeDocument/2006/relationships/hyperlink" Target="https://chem.echa.europa.eu/substance-search?searchText=78-95-5" TargetMode="External"/><Relationship Id="rId3804" Type="http://schemas.openxmlformats.org/officeDocument/2006/relationships/hyperlink" Target="https://chem.echa.europa.eu/substance-search?searchText=299-84-3" TargetMode="External"/><Relationship Id="rId6003" Type="http://schemas.openxmlformats.org/officeDocument/2006/relationships/hyperlink" Target="https://www.google.com/search?q=7773-06-0+SDS+safety+data+sheet+filetype:pdf" TargetMode="External"/><Relationship Id="rId6210" Type="http://schemas.openxmlformats.org/officeDocument/2006/relationships/hyperlink" Target="https://chemicalsafety.ilo.org/dyn/icsc/showcard.display?p_card_id=1607&amp;p_lang=tr" TargetMode="External"/><Relationship Id="rId518" Type="http://schemas.openxmlformats.org/officeDocument/2006/relationships/hyperlink" Target="https://chemicalsafety.ilo.org/dyn/icsc/showcard.display?p_card_id=0130&amp;p_lang=tr" TargetMode="External"/><Relationship Id="rId725" Type="http://schemas.openxmlformats.org/officeDocument/2006/relationships/hyperlink" Target="https://chemicalsafety.ilo.org/dyn/icsc/showcard.display?p_card_id=0182&amp;p_lang=en" TargetMode="External"/><Relationship Id="rId932" Type="http://schemas.openxmlformats.org/officeDocument/2006/relationships/hyperlink" Target="https://chem.echa.europa.eu/substance-search?searchText=302-17-0" TargetMode="External"/><Relationship Id="rId1148" Type="http://schemas.openxmlformats.org/officeDocument/2006/relationships/hyperlink" Target="https://chem.echa.europa.eu/substance-search?searchText=1317-36-8" TargetMode="External"/><Relationship Id="rId1355" Type="http://schemas.openxmlformats.org/officeDocument/2006/relationships/hyperlink" Target="https://www.google.com/search?q=823-40-5+SDS+safety+data+sheet+filetype:pdf" TargetMode="External"/><Relationship Id="rId1562" Type="http://schemas.openxmlformats.org/officeDocument/2006/relationships/hyperlink" Target="https://chemicalsafety.ilo.org/dyn/icsc/showcard.display?p_card_id=0393&amp;p_lang=tr" TargetMode="External"/><Relationship Id="rId2406" Type="http://schemas.openxmlformats.org/officeDocument/2006/relationships/hyperlink" Target="https://chemicalsafety.ilo.org/dyn/icsc/showcard.display?p_card_id=0616&amp;p_lang=tr" TargetMode="External"/><Relationship Id="rId2613" Type="http://schemas.openxmlformats.org/officeDocument/2006/relationships/hyperlink" Target="https://chemicalsafety.ilo.org/dyn/icsc/showcard.display?p_card_id=0671&amp;p_lang=en" TargetMode="External"/><Relationship Id="rId5769" Type="http://schemas.openxmlformats.org/officeDocument/2006/relationships/hyperlink" Target="https://chemicalsafety.ilo.org/dyn/icsc/showcard.display?p_card_id=1496&amp;p_lang=en" TargetMode="External"/><Relationship Id="rId1008" Type="http://schemas.openxmlformats.org/officeDocument/2006/relationships/hyperlink" Target="https://chem.echa.europa.eu/substance-search?searchText=601-88-7" TargetMode="External"/><Relationship Id="rId1215" Type="http://schemas.openxmlformats.org/officeDocument/2006/relationships/hyperlink" Target="https://www.google.com/search?q=126-30-7+SDS+safety+data+sheet+filetype:pdf" TargetMode="External"/><Relationship Id="rId1422" Type="http://schemas.openxmlformats.org/officeDocument/2006/relationships/hyperlink" Target="https://chemicalsafety.ilo.org/dyn/icsc/showcard.display?p_card_id=0357&amp;p_lang=tr" TargetMode="External"/><Relationship Id="rId2820" Type="http://schemas.openxmlformats.org/officeDocument/2006/relationships/hyperlink" Target="https://chem.echa.europa.eu/substance-search?searchText=25154-54-5" TargetMode="External"/><Relationship Id="rId4578" Type="http://schemas.openxmlformats.org/officeDocument/2006/relationships/hyperlink" Target="https://chemicalsafety.ilo.org/dyn/icsc/showcard.display?p_card_id=1183&amp;p_lang=tr" TargetMode="External"/><Relationship Id="rId5976" Type="http://schemas.openxmlformats.org/officeDocument/2006/relationships/hyperlink" Target="https://chem.echa.europa.eu/substance-search?searchText=91-17-8" TargetMode="External"/><Relationship Id="rId61" Type="http://schemas.openxmlformats.org/officeDocument/2006/relationships/hyperlink" Target="https://chemicalsafety.ilo.org/dyn/icsc/showcard.display?p_card_id=0016&amp;p_lang=en" TargetMode="External"/><Relationship Id="rId3387" Type="http://schemas.openxmlformats.org/officeDocument/2006/relationships/hyperlink" Target="https://www.google.com/search?q=75-78-5+SDS+safety+data+sheet+filetype:pdf" TargetMode="External"/><Relationship Id="rId4785" Type="http://schemas.openxmlformats.org/officeDocument/2006/relationships/hyperlink" Target="https://chemicalsafety.ilo.org/dyn/icsc/showcard.display?p_card_id=1239&amp;p_lang=en" TargetMode="External"/><Relationship Id="rId4992" Type="http://schemas.openxmlformats.org/officeDocument/2006/relationships/hyperlink" Target="https://chem.echa.europa.eu/substance-search?searchText=122-62-3" TargetMode="External"/><Relationship Id="rId5629" Type="http://schemas.openxmlformats.org/officeDocument/2006/relationships/hyperlink" Target="https://chemicalsafety.ilo.org/dyn/icsc/showcard.display?p_card_id=1456&amp;p_lang=en" TargetMode="External"/><Relationship Id="rId5836" Type="http://schemas.openxmlformats.org/officeDocument/2006/relationships/hyperlink" Target="https://chem.echa.europa.eu/substance-search?searchText=102-54-5" TargetMode="External"/><Relationship Id="rId2196" Type="http://schemas.openxmlformats.org/officeDocument/2006/relationships/hyperlink" Target="https://chem.echa.europa.eu/substance-search?searchText=74-99-7" TargetMode="External"/><Relationship Id="rId3594" Type="http://schemas.openxmlformats.org/officeDocument/2006/relationships/hyperlink" Target="https://chemicalsafety.ilo.org/dyn/icsc/showcard.display?p_card_id=0922&amp;p_lang=tr" TargetMode="External"/><Relationship Id="rId4438" Type="http://schemas.openxmlformats.org/officeDocument/2006/relationships/hyperlink" Target="https://chemicalsafety.ilo.org/dyn/icsc/showcard.display?p_card_id=1148&amp;p_lang=tr" TargetMode="External"/><Relationship Id="rId4645" Type="http://schemas.openxmlformats.org/officeDocument/2006/relationships/hyperlink" Target="https://chemicalsafety.ilo.org/dyn/icsc/showcard.display?p_card_id=1203&amp;p_lang=en" TargetMode="External"/><Relationship Id="rId4852" Type="http://schemas.openxmlformats.org/officeDocument/2006/relationships/hyperlink" Target="https://chem.echa.europa.eu/substance-search?searchText=7790-98-9" TargetMode="External"/><Relationship Id="rId5903" Type="http://schemas.openxmlformats.org/officeDocument/2006/relationships/hyperlink" Target="https://www.google.com/search?q=1317-42-6+SDS+safety+data+sheet+filetype:pdf" TargetMode="External"/><Relationship Id="rId168" Type="http://schemas.openxmlformats.org/officeDocument/2006/relationships/hyperlink" Target="https://chem.echa.europa.eu/substance-search?searchText=112-55-0" TargetMode="External"/><Relationship Id="rId3247" Type="http://schemas.openxmlformats.org/officeDocument/2006/relationships/hyperlink" Target="https://www.google.com/search?q=100-51-6+SDS+safety+data+sheet+filetype:pdf" TargetMode="External"/><Relationship Id="rId3454" Type="http://schemas.openxmlformats.org/officeDocument/2006/relationships/hyperlink" Target="https://chemicalsafety.ilo.org/dyn/icsc/showcard.display?p_card_id=0887&amp;p_lang=tr" TargetMode="External"/><Relationship Id="rId3661" Type="http://schemas.openxmlformats.org/officeDocument/2006/relationships/hyperlink" Target="https://chemicalsafety.ilo.org/dyn/icsc/showcard.display?p_card_id=0939&amp;p_lang=en" TargetMode="External"/><Relationship Id="rId4505" Type="http://schemas.openxmlformats.org/officeDocument/2006/relationships/hyperlink" Target="https://chemicalsafety.ilo.org/dyn/icsc/showcard.display?p_card_id=1165&amp;p_lang=en" TargetMode="External"/><Relationship Id="rId4712" Type="http://schemas.openxmlformats.org/officeDocument/2006/relationships/hyperlink" Target="https://chem.echa.europa.eu/substance-search?searchText=6858-44-2" TargetMode="External"/><Relationship Id="rId375" Type="http://schemas.openxmlformats.org/officeDocument/2006/relationships/hyperlink" Target="https://www.google.com/search?q=116-06-3+SDS+safety+data+sheet+filetype:pdf" TargetMode="External"/><Relationship Id="rId582" Type="http://schemas.openxmlformats.org/officeDocument/2006/relationships/hyperlink" Target="https://chemicalsafety.ilo.org/dyn/icsc/showcard.display?p_card_id=0146&amp;p_lang=tr" TargetMode="External"/><Relationship Id="rId2056" Type="http://schemas.openxmlformats.org/officeDocument/2006/relationships/hyperlink" Target="https://chem.echa.europa.eu/substance-search?searchText=88-75-5" TargetMode="External"/><Relationship Id="rId2263" Type="http://schemas.openxmlformats.org/officeDocument/2006/relationships/hyperlink" Target="https://www.google.com/search?q=75-46-7+SDS+safety+data+sheet+filetype:pdf" TargetMode="External"/><Relationship Id="rId2470" Type="http://schemas.openxmlformats.org/officeDocument/2006/relationships/hyperlink" Target="https://chemicalsafety.ilo.org/dyn/icsc/showcard.display?p_card_id=0632&amp;p_lang=tr" TargetMode="External"/><Relationship Id="rId3107" Type="http://schemas.openxmlformats.org/officeDocument/2006/relationships/hyperlink" Target="https://www.google.com/search?q=2310-17-0+SDS+safety+data+sheet+filetype:pdf" TargetMode="External"/><Relationship Id="rId3314" Type="http://schemas.openxmlformats.org/officeDocument/2006/relationships/hyperlink" Target="https://chemicalsafety.ilo.org/dyn/icsc/showcard.display?p_card_id=0851&amp;p_lang=tr" TargetMode="External"/><Relationship Id="rId3521" Type="http://schemas.openxmlformats.org/officeDocument/2006/relationships/hyperlink" Target="https://chemicalsafety.ilo.org/dyn/icsc/showcard.display?p_card_id=0904&amp;p_lang=en" TargetMode="External"/><Relationship Id="rId6677" Type="http://schemas.openxmlformats.org/officeDocument/2006/relationships/hyperlink" Target="https://chemicalsafety.ilo.org/dyn/icsc/showcard.display?p_card_id=1741&amp;p_lang=en" TargetMode="External"/><Relationship Id="rId235" Type="http://schemas.openxmlformats.org/officeDocument/2006/relationships/hyperlink" Target="https://www.google.com/search?q=111-76-2+SDS+safety+data+sheet+filetype:pdf" TargetMode="External"/><Relationship Id="rId442" Type="http://schemas.openxmlformats.org/officeDocument/2006/relationships/hyperlink" Target="https://chemicalsafety.ilo.org/dyn/icsc/showcard.display?p_card_id=0111&amp;p_lang=tr" TargetMode="External"/><Relationship Id="rId1072" Type="http://schemas.openxmlformats.org/officeDocument/2006/relationships/hyperlink" Target="https://chem.echa.europa.eu/substance-search?searchText=107-15-3" TargetMode="External"/><Relationship Id="rId2123" Type="http://schemas.openxmlformats.org/officeDocument/2006/relationships/hyperlink" Target="https://www.google.com/search?q=55-68-5+SDS+safety+data+sheet+filetype:pdf" TargetMode="External"/><Relationship Id="rId2330" Type="http://schemas.openxmlformats.org/officeDocument/2006/relationships/hyperlink" Target="https://chemicalsafety.ilo.org/dyn/icsc/showcard.display?p_card_id=0595&amp;p_lang=tr" TargetMode="External"/><Relationship Id="rId5279" Type="http://schemas.openxmlformats.org/officeDocument/2006/relationships/hyperlink" Target="https://www.google.com/search?q=603-34-9+SDS+safety+data+sheet+filetype:pdf" TargetMode="External"/><Relationship Id="rId5486" Type="http://schemas.openxmlformats.org/officeDocument/2006/relationships/hyperlink" Target="https://chemicalsafety.ilo.org/dyn/icsc/showcard.display?p_card_id=1420&amp;p_lang=tr" TargetMode="External"/><Relationship Id="rId5693" Type="http://schemas.openxmlformats.org/officeDocument/2006/relationships/hyperlink" Target="https://chemicalsafety.ilo.org/dyn/icsc/showcard.display?p_card_id=1475&amp;p_lang=en" TargetMode="External"/><Relationship Id="rId6537" Type="http://schemas.openxmlformats.org/officeDocument/2006/relationships/hyperlink" Target="https://chemicalsafety.ilo.org/dyn/icsc/showcard.display?p_card_id=1705&amp;p_lang=en" TargetMode="External"/><Relationship Id="rId6744" Type="http://schemas.openxmlformats.org/officeDocument/2006/relationships/hyperlink" Target="https://chem.echa.europa.eu/substance-search?searchText=2079-00-7" TargetMode="External"/><Relationship Id="rId302" Type="http://schemas.openxmlformats.org/officeDocument/2006/relationships/hyperlink" Target="https://chemicalsafety.ilo.org/dyn/icsc/showcard.display?p_card_id=0076&amp;p_lang=tr" TargetMode="External"/><Relationship Id="rId4088" Type="http://schemas.openxmlformats.org/officeDocument/2006/relationships/hyperlink" Target="https://chem.echa.europa.eu/substance-search?searchText=7440-39-3" TargetMode="External"/><Relationship Id="rId4295" Type="http://schemas.openxmlformats.org/officeDocument/2006/relationships/hyperlink" Target="https://www.google.com/search?q=101-77-9+SDS+safety+data+sheet+filetype:pdf" TargetMode="External"/><Relationship Id="rId5139" Type="http://schemas.openxmlformats.org/officeDocument/2006/relationships/hyperlink" Target="https://www.google.com/search?q=140-11-4+SDS+safety+data+sheet+filetype:pdf" TargetMode="External"/><Relationship Id="rId5346" Type="http://schemas.openxmlformats.org/officeDocument/2006/relationships/hyperlink" Target="https://chemicalsafety.ilo.org/dyn/icsc/showcard.display?p_card_id=1383&amp;p_lang=tr" TargetMode="External"/><Relationship Id="rId5553" Type="http://schemas.openxmlformats.org/officeDocument/2006/relationships/hyperlink" Target="https://chemicalsafety.ilo.org/dyn/icsc/showcard.display?p_card_id=1437&amp;p_lang=en" TargetMode="External"/><Relationship Id="rId1889" Type="http://schemas.openxmlformats.org/officeDocument/2006/relationships/hyperlink" Target="https://chemicalsafety.ilo.org/dyn/icsc/showcard.display?p_card_id=0479&amp;p_lang=en" TargetMode="External"/><Relationship Id="rId4155" Type="http://schemas.openxmlformats.org/officeDocument/2006/relationships/hyperlink" Target="https://www.google.com/search?q=557-40-4+SDS+safety+data+sheet+filetype:pdf" TargetMode="External"/><Relationship Id="rId4362" Type="http://schemas.openxmlformats.org/officeDocument/2006/relationships/hyperlink" Target="https://chemicalsafety.ilo.org/dyn/icsc/showcard.display?p_card_id=1128&amp;p_lang=tr" TargetMode="External"/><Relationship Id="rId5206" Type="http://schemas.openxmlformats.org/officeDocument/2006/relationships/hyperlink" Target="https://chemicalsafety.ilo.org/dyn/icsc/showcard.display?p_card_id=1348&amp;p_lang=tr" TargetMode="External"/><Relationship Id="rId5760" Type="http://schemas.openxmlformats.org/officeDocument/2006/relationships/hyperlink" Target="https://chem.echa.europa.eu/substance-search?searchText=111-88-6" TargetMode="External"/><Relationship Id="rId6604" Type="http://schemas.openxmlformats.org/officeDocument/2006/relationships/hyperlink" Target="https://chem.echa.europa.eu/substance-search?searchText=288-32-4" TargetMode="External"/><Relationship Id="rId6811" Type="http://schemas.openxmlformats.org/officeDocument/2006/relationships/hyperlink" Target="https://www.google.com/search?q=11103-86-9+SDS+safety+data+sheet+filetype:pdf" TargetMode="External"/><Relationship Id="rId1749" Type="http://schemas.openxmlformats.org/officeDocument/2006/relationships/hyperlink" Target="https://chemicalsafety.ilo.org/dyn/icsc/showcard.display?p_card_id=0442&amp;p_lang=en" TargetMode="External"/><Relationship Id="rId1956" Type="http://schemas.openxmlformats.org/officeDocument/2006/relationships/hyperlink" Target="https://chem.echa.europa.eu/substance-search?searchText=25339-17-7" TargetMode="External"/><Relationship Id="rId3171" Type="http://schemas.openxmlformats.org/officeDocument/2006/relationships/hyperlink" Target="https://www.google.com/search?q=7580-67-8+SDS+safety+data+sheet+filetype:pdf" TargetMode="External"/><Relationship Id="rId4015" Type="http://schemas.openxmlformats.org/officeDocument/2006/relationships/hyperlink" Target="https://www.google.com/search?q=102-71-6+SDS+safety+data+sheet+filetype:pdf" TargetMode="External"/><Relationship Id="rId5413" Type="http://schemas.openxmlformats.org/officeDocument/2006/relationships/hyperlink" Target="https://chemicalsafety.ilo.org/dyn/icsc/showcard.display?p_card_id=1402&amp;p_lang=en" TargetMode="External"/><Relationship Id="rId5620" Type="http://schemas.openxmlformats.org/officeDocument/2006/relationships/hyperlink" Target="https://chem.echa.europa.eu/substance-search?searchText=238-84-6" TargetMode="External"/><Relationship Id="rId1609" Type="http://schemas.openxmlformats.org/officeDocument/2006/relationships/hyperlink" Target="https://chemicalsafety.ilo.org/dyn/icsc/showcard.display?p_card_id=0406&amp;p_lang=en" TargetMode="External"/><Relationship Id="rId1816" Type="http://schemas.openxmlformats.org/officeDocument/2006/relationships/hyperlink" Target="https://chem.echa.europa.eu/substance-search?searchText=67-68-5" TargetMode="External"/><Relationship Id="rId4222" Type="http://schemas.openxmlformats.org/officeDocument/2006/relationships/hyperlink" Target="https://chemicalsafety.ilo.org/dyn/icsc/showcard.display?p_card_id=1090&amp;p_lang=tr" TargetMode="External"/><Relationship Id="rId3031" Type="http://schemas.openxmlformats.org/officeDocument/2006/relationships/hyperlink" Target="https://www.google.com/search?q=1304-28-5+SDS+safety+data+sheet+filetype:pdf" TargetMode="External"/><Relationship Id="rId3988" Type="http://schemas.openxmlformats.org/officeDocument/2006/relationships/hyperlink" Target="https://chem.echa.europa.eu/substance-search?searchText=115-11-7" TargetMode="External"/><Relationship Id="rId6187" Type="http://schemas.openxmlformats.org/officeDocument/2006/relationships/hyperlink" Target="https://www.google.com/search?q=111-48-8+SDS+safety+data+sheet+filetype:pdf" TargetMode="External"/><Relationship Id="rId6394" Type="http://schemas.openxmlformats.org/officeDocument/2006/relationships/hyperlink" Target="https://chemicalsafety.ilo.org/dyn/icsc/showcard.display?p_card_id=1664&amp;p_lang=tr" TargetMode="External"/><Relationship Id="rId2797" Type="http://schemas.openxmlformats.org/officeDocument/2006/relationships/hyperlink" Target="https://chemicalsafety.ilo.org/dyn/icsc/showcard.display?p_card_id=0720&amp;p_lang=en" TargetMode="External"/><Relationship Id="rId3848" Type="http://schemas.openxmlformats.org/officeDocument/2006/relationships/hyperlink" Target="https://chem.echa.europa.eu/substance-search?searchText=13494-80-9" TargetMode="External"/><Relationship Id="rId6047" Type="http://schemas.openxmlformats.org/officeDocument/2006/relationships/hyperlink" Target="https://www.google.com/search?q=1120-36-1+SDS+safety+data+sheet+filetype:pdf" TargetMode="External"/><Relationship Id="rId6254" Type="http://schemas.openxmlformats.org/officeDocument/2006/relationships/hyperlink" Target="https://chemicalsafety.ilo.org/dyn/icsc/showcard.display?p_card_id=1618&amp;p_lang=tr" TargetMode="External"/><Relationship Id="rId6461" Type="http://schemas.openxmlformats.org/officeDocument/2006/relationships/hyperlink" Target="https://chemicalsafety.ilo.org/dyn/icsc/showcard.display?p_card_id=1681&amp;p_lang=en" TargetMode="External"/><Relationship Id="rId769" Type="http://schemas.openxmlformats.org/officeDocument/2006/relationships/hyperlink" Target="https://chemicalsafety.ilo.org/dyn/icsc/showcard.display?p_card_id=0193&amp;p_lang=en" TargetMode="External"/><Relationship Id="rId976" Type="http://schemas.openxmlformats.org/officeDocument/2006/relationships/hyperlink" Target="https://chem.echa.europa.eu/substance-search?searchText=108-91-8" TargetMode="External"/><Relationship Id="rId1399" Type="http://schemas.openxmlformats.org/officeDocument/2006/relationships/hyperlink" Target="https://www.google.com/search?q=1344-28-1+SDS+safety+data+sheet+filetype:pdf" TargetMode="External"/><Relationship Id="rId2657" Type="http://schemas.openxmlformats.org/officeDocument/2006/relationships/hyperlink" Target="https://chemicalsafety.ilo.org/dyn/icsc/showcard.display?p_card_id=0684&amp;p_lang=en" TargetMode="External"/><Relationship Id="rId5063" Type="http://schemas.openxmlformats.org/officeDocument/2006/relationships/hyperlink" Target="https://www.google.com/search?q=12018-01-8+SDS+safety+data+sheet+filetype:pdf" TargetMode="External"/><Relationship Id="rId5270" Type="http://schemas.openxmlformats.org/officeDocument/2006/relationships/hyperlink" Target="https://chemicalsafety.ilo.org/dyn/icsc/showcard.display?p_card_id=1364&amp;p_lang=tr" TargetMode="External"/><Relationship Id="rId6114" Type="http://schemas.openxmlformats.org/officeDocument/2006/relationships/hyperlink" Target="https://chemicalsafety.ilo.org/dyn/icsc/showcard.display?p_card_id=1583&amp;p_lang=tr" TargetMode="External"/><Relationship Id="rId6321" Type="http://schemas.openxmlformats.org/officeDocument/2006/relationships/hyperlink" Target="https://chemicalsafety.ilo.org/dyn/icsc/showcard.display?p_card_id=1637&amp;p_lang=en" TargetMode="External"/><Relationship Id="rId629" Type="http://schemas.openxmlformats.org/officeDocument/2006/relationships/hyperlink" Target="https://chemicalsafety.ilo.org/dyn/icsc/showcard.display?p_card_id=0158&amp;p_lang=en" TargetMode="External"/><Relationship Id="rId1259" Type="http://schemas.openxmlformats.org/officeDocument/2006/relationships/hyperlink" Target="https://www.google.com/search?q=88-89-1+SDS+safety+data+sheet+filetype:pdf" TargetMode="External"/><Relationship Id="rId1466" Type="http://schemas.openxmlformats.org/officeDocument/2006/relationships/hyperlink" Target="https://chemicalsafety.ilo.org/dyn/icsc/showcard.display?p_card_id=0368&amp;p_lang=tr" TargetMode="External"/><Relationship Id="rId2864" Type="http://schemas.openxmlformats.org/officeDocument/2006/relationships/hyperlink" Target="https://chem.echa.europa.eu/substance-search?searchText=873-66-5" TargetMode="External"/><Relationship Id="rId3708" Type="http://schemas.openxmlformats.org/officeDocument/2006/relationships/hyperlink" Target="https://chem.echa.europa.eu/substance-search?searchText=26628-22-8" TargetMode="External"/><Relationship Id="rId3915" Type="http://schemas.openxmlformats.org/officeDocument/2006/relationships/hyperlink" Target="https://www.google.com/search?q=7664-38-2+SDS+safety+data+sheet+filetype:pdf" TargetMode="External"/><Relationship Id="rId5130" Type="http://schemas.openxmlformats.org/officeDocument/2006/relationships/hyperlink" Target="https://chemicalsafety.ilo.org/dyn/icsc/showcard.display?p_card_id=1327&amp;p_lang=tr" TargetMode="External"/><Relationship Id="rId836" Type="http://schemas.openxmlformats.org/officeDocument/2006/relationships/hyperlink" Target="https://chem.echa.europa.eu/substance-search?searchText=75-36-5" TargetMode="External"/><Relationship Id="rId1119" Type="http://schemas.openxmlformats.org/officeDocument/2006/relationships/hyperlink" Target="https://www.google.com/search?q=302-01-2+SDS+safety+data+sheet+filetype:pdf" TargetMode="External"/><Relationship Id="rId1673" Type="http://schemas.openxmlformats.org/officeDocument/2006/relationships/hyperlink" Target="https://chemicalsafety.ilo.org/dyn/icsc/showcard.display?p_card_id=0423&amp;p_lang=en" TargetMode="External"/><Relationship Id="rId1880" Type="http://schemas.openxmlformats.org/officeDocument/2006/relationships/hyperlink" Target="https://chem.echa.europa.eu/substance-search?searchText=110-49-6" TargetMode="External"/><Relationship Id="rId2517" Type="http://schemas.openxmlformats.org/officeDocument/2006/relationships/hyperlink" Target="https://chemicalsafety.ilo.org/dyn/icsc/showcard.display?p_card_id=0646&amp;p_lang=en" TargetMode="External"/><Relationship Id="rId2724" Type="http://schemas.openxmlformats.org/officeDocument/2006/relationships/hyperlink" Target="https://chem.echa.europa.eu/substance-search?searchText=7439-95-4" TargetMode="External"/><Relationship Id="rId2931" Type="http://schemas.openxmlformats.org/officeDocument/2006/relationships/hyperlink" Target="https://www.google.com/search?q=2104-64-5+SDS+safety+data+sheet+filetype:pdf" TargetMode="External"/><Relationship Id="rId903" Type="http://schemas.openxmlformats.org/officeDocument/2006/relationships/hyperlink" Target="https://www.google.com/search?q=584-79-2+SDS+safety+data+sheet+filetype:pdf" TargetMode="External"/><Relationship Id="rId1326" Type="http://schemas.openxmlformats.org/officeDocument/2006/relationships/hyperlink" Target="https://chemicalsafety.ilo.org/dyn/icsc/showcard.display?p_card_id=0333&amp;p_lang=tr" TargetMode="External"/><Relationship Id="rId1533" Type="http://schemas.openxmlformats.org/officeDocument/2006/relationships/hyperlink" Target="https://chemicalsafety.ilo.org/dyn/icsc/showcard.display?p_card_id=0386&amp;p_lang=en" TargetMode="External"/><Relationship Id="rId1740" Type="http://schemas.openxmlformats.org/officeDocument/2006/relationships/hyperlink" Target="https://chem.echa.europa.eu/substance-search?searchText=583-78-8" TargetMode="External"/><Relationship Id="rId4689" Type="http://schemas.openxmlformats.org/officeDocument/2006/relationships/hyperlink" Target="https://chemicalsafety.ilo.org/dyn/icsc/showcard.display?p_card_id=1215&amp;p_lang=en" TargetMode="External"/><Relationship Id="rId4896" Type="http://schemas.openxmlformats.org/officeDocument/2006/relationships/hyperlink" Target="https://chem.echa.europa.eu/substance-search?searchText=86479-06-3" TargetMode="External"/><Relationship Id="rId5947" Type="http://schemas.openxmlformats.org/officeDocument/2006/relationships/hyperlink" Target="https://www.google.com/search?q=5160-02-1+SDS+safety+data+sheet+filetype:pdf" TargetMode="External"/><Relationship Id="rId32" Type="http://schemas.openxmlformats.org/officeDocument/2006/relationships/hyperlink" Target="https://chem.echa.europa.eu/substance-search?searchText=78-00-2" TargetMode="External"/><Relationship Id="rId1600" Type="http://schemas.openxmlformats.org/officeDocument/2006/relationships/hyperlink" Target="https://chem.echa.europa.eu/substance-search?searchText=123-72-8" TargetMode="External"/><Relationship Id="rId3498" Type="http://schemas.openxmlformats.org/officeDocument/2006/relationships/hyperlink" Target="https://chemicalsafety.ilo.org/dyn/icsc/showcard.display?p_card_id=0898&amp;p_lang=tr" TargetMode="External"/><Relationship Id="rId4549" Type="http://schemas.openxmlformats.org/officeDocument/2006/relationships/hyperlink" Target="https://chemicalsafety.ilo.org/dyn/icsc/showcard.display?p_card_id=1176&amp;p_lang=en" TargetMode="External"/><Relationship Id="rId4756" Type="http://schemas.openxmlformats.org/officeDocument/2006/relationships/hyperlink" Target="https://chem.echa.europa.eu/substance-search?searchText=108-77-0" TargetMode="External"/><Relationship Id="rId4963" Type="http://schemas.openxmlformats.org/officeDocument/2006/relationships/hyperlink" Target="https://www.google.com/search?q=76-87-9+SDS+safety+data+sheet+filetype:pdf" TargetMode="External"/><Relationship Id="rId5807" Type="http://schemas.openxmlformats.org/officeDocument/2006/relationships/hyperlink" Target="https://www.google.com/search?q=119-36-8+SDS+safety+data+sheet+filetype:pdf" TargetMode="External"/><Relationship Id="rId3358" Type="http://schemas.openxmlformats.org/officeDocument/2006/relationships/hyperlink" Target="https://chemicalsafety.ilo.org/dyn/icsc/showcard.display?p_card_id=0862&amp;p_lang=tr" TargetMode="External"/><Relationship Id="rId3565" Type="http://schemas.openxmlformats.org/officeDocument/2006/relationships/hyperlink" Target="https://chemicalsafety.ilo.org/dyn/icsc/showcard.display?p_card_id=0915&amp;p_lang=en" TargetMode="External"/><Relationship Id="rId3772" Type="http://schemas.openxmlformats.org/officeDocument/2006/relationships/hyperlink" Target="https://chem.echa.europa.eu/substance-search?searchText=75-77-4" TargetMode="External"/><Relationship Id="rId4409" Type="http://schemas.openxmlformats.org/officeDocument/2006/relationships/hyperlink" Target="https://chemicalsafety.ilo.org/dyn/icsc/showcard.display?p_card_id=1141&amp;p_lang=en" TargetMode="External"/><Relationship Id="rId4616" Type="http://schemas.openxmlformats.org/officeDocument/2006/relationships/hyperlink" Target="https://chem.echa.europa.eu/substance-search?searchText=471-34-1" TargetMode="External"/><Relationship Id="rId4823" Type="http://schemas.openxmlformats.org/officeDocument/2006/relationships/hyperlink" Target="https://www.google.com/search?q=35400-43-2+SDS+safety+data+sheet+filetype:pdf" TargetMode="External"/><Relationship Id="rId279" Type="http://schemas.openxmlformats.org/officeDocument/2006/relationships/hyperlink" Target="https://www.google.com/search?q=108-95-2+SDS+safety+data+sheet+filetype:pdf" TargetMode="External"/><Relationship Id="rId486" Type="http://schemas.openxmlformats.org/officeDocument/2006/relationships/hyperlink" Target="https://chemicalsafety.ilo.org/dyn/icsc/showcard.display?p_card_id=0122&amp;p_lang=tr" TargetMode="External"/><Relationship Id="rId693" Type="http://schemas.openxmlformats.org/officeDocument/2006/relationships/hyperlink" Target="https://chemicalsafety.ilo.org/dyn/icsc/showcard.display?p_card_id=0174&amp;p_lang=en" TargetMode="External"/><Relationship Id="rId2167" Type="http://schemas.openxmlformats.org/officeDocument/2006/relationships/hyperlink" Target="https://www.google.com/search?q=71-23-8+SDS+safety+data+sheet+filetype:pdf" TargetMode="External"/><Relationship Id="rId2374" Type="http://schemas.openxmlformats.org/officeDocument/2006/relationships/hyperlink" Target="https://chemicalsafety.ilo.org/dyn/icsc/showcard.display?p_card_id=0608&amp;p_lang=tr" TargetMode="External"/><Relationship Id="rId2581" Type="http://schemas.openxmlformats.org/officeDocument/2006/relationships/hyperlink" Target="https://chemicalsafety.ilo.org/dyn/icsc/showcard.display?p_card_id=0662&amp;p_lang=en" TargetMode="External"/><Relationship Id="rId3218" Type="http://schemas.openxmlformats.org/officeDocument/2006/relationships/hyperlink" Target="https://chemicalsafety.ilo.org/dyn/icsc/showcard.display?p_card_id=0825&amp;p_lang=tr" TargetMode="External"/><Relationship Id="rId3425" Type="http://schemas.openxmlformats.org/officeDocument/2006/relationships/hyperlink" Target="https://chemicalsafety.ilo.org/dyn/icsc/showcard.display?p_card_id=0880&amp;p_lang=en" TargetMode="External"/><Relationship Id="rId3632" Type="http://schemas.openxmlformats.org/officeDocument/2006/relationships/hyperlink" Target="https://chem.echa.europa.eu/substance-search?searchText=88-72-2" TargetMode="External"/><Relationship Id="rId6788" Type="http://schemas.openxmlformats.org/officeDocument/2006/relationships/hyperlink" Target="https://chem.echa.europa.eu/substance-search?searchText=GLASS+FIBRES" TargetMode="External"/><Relationship Id="rId139" Type="http://schemas.openxmlformats.org/officeDocument/2006/relationships/hyperlink" Target="https://www.google.com/search?q=143-10-2+SDS+safety+data+sheet+filetype:pdf" TargetMode="External"/><Relationship Id="rId346" Type="http://schemas.openxmlformats.org/officeDocument/2006/relationships/hyperlink" Target="https://chemicalsafety.ilo.org/dyn/icsc/showcard.display?p_card_id=0087&amp;p_lang=tr" TargetMode="External"/><Relationship Id="rId553" Type="http://schemas.openxmlformats.org/officeDocument/2006/relationships/hyperlink" Target="https://chemicalsafety.ilo.org/dyn/icsc/showcard.display?p_card_id=0139&amp;p_lang=en" TargetMode="External"/><Relationship Id="rId760" Type="http://schemas.openxmlformats.org/officeDocument/2006/relationships/hyperlink" Target="https://chem.echa.europa.eu/substance-search?searchText=10025-87-3" TargetMode="External"/><Relationship Id="rId1183" Type="http://schemas.openxmlformats.org/officeDocument/2006/relationships/hyperlink" Target="https://www.google.com/search?q=75-54-7+SDS+safety+data+sheet+filetype:pdf" TargetMode="External"/><Relationship Id="rId1390" Type="http://schemas.openxmlformats.org/officeDocument/2006/relationships/hyperlink" Target="https://chemicalsafety.ilo.org/dyn/icsc/showcard.display?p_card_id=0349&amp;p_lang=tr" TargetMode="External"/><Relationship Id="rId2027" Type="http://schemas.openxmlformats.org/officeDocument/2006/relationships/hyperlink" Target="https://www.google.com/search?q=3268-49-3+SDS+safety+data+sheet+filetype:pdf" TargetMode="External"/><Relationship Id="rId2234" Type="http://schemas.openxmlformats.org/officeDocument/2006/relationships/hyperlink" Target="https://chemicalsafety.ilo.org/dyn/icsc/showcard.display?p_card_id=0570&amp;p_lang=tr" TargetMode="External"/><Relationship Id="rId2441" Type="http://schemas.openxmlformats.org/officeDocument/2006/relationships/hyperlink" Target="https://chemicalsafety.ilo.org/dyn/icsc/showcard.display?p_card_id=0625&amp;p_lang=en" TargetMode="External"/><Relationship Id="rId5597" Type="http://schemas.openxmlformats.org/officeDocument/2006/relationships/hyperlink" Target="https://chemicalsafety.ilo.org/dyn/icsc/showcard.display?p_card_id=1448&amp;p_lang=en" TargetMode="External"/><Relationship Id="rId206" Type="http://schemas.openxmlformats.org/officeDocument/2006/relationships/hyperlink" Target="https://chemicalsafety.ilo.org/dyn/icsc/showcard.display?p_card_id=0052&amp;p_lang=tr" TargetMode="External"/><Relationship Id="rId413" Type="http://schemas.openxmlformats.org/officeDocument/2006/relationships/hyperlink" Target="https://chemicalsafety.ilo.org/dyn/icsc/showcard.display?p_card_id=0104&amp;p_lang=en" TargetMode="External"/><Relationship Id="rId1043" Type="http://schemas.openxmlformats.org/officeDocument/2006/relationships/hyperlink" Target="https://www.google.com/search?q=120-61-6+SDS+safety+data+sheet+filetype:pdf" TargetMode="External"/><Relationship Id="rId4199" Type="http://schemas.openxmlformats.org/officeDocument/2006/relationships/hyperlink" Target="https://www.google.com/search?q=111-27-3+SDS+safety+data+sheet+filetype:pdf" TargetMode="External"/><Relationship Id="rId6648" Type="http://schemas.openxmlformats.org/officeDocument/2006/relationships/hyperlink" Target="https://chem.echa.europa.eu/substance-search?searchText=110-65-6" TargetMode="External"/><Relationship Id="rId620" Type="http://schemas.openxmlformats.org/officeDocument/2006/relationships/hyperlink" Target="https://chem.echa.europa.eu/substance-search?searchText=75-21-8" TargetMode="External"/><Relationship Id="rId1250" Type="http://schemas.openxmlformats.org/officeDocument/2006/relationships/hyperlink" Target="https://chemicalsafety.ilo.org/dyn/icsc/showcard.display?p_card_id=0314&amp;p_lang=tr" TargetMode="External"/><Relationship Id="rId2301" Type="http://schemas.openxmlformats.org/officeDocument/2006/relationships/hyperlink" Target="https://chemicalsafety.ilo.org/dyn/icsc/showcard.display?p_card_id=0588&amp;p_lang=en" TargetMode="External"/><Relationship Id="rId4059" Type="http://schemas.openxmlformats.org/officeDocument/2006/relationships/hyperlink" Target="https://www.google.com/search?q=7758-19-2+SDS+safety+data+sheet+filetype:pdf" TargetMode="External"/><Relationship Id="rId5457" Type="http://schemas.openxmlformats.org/officeDocument/2006/relationships/hyperlink" Target="https://chemicalsafety.ilo.org/dyn/icsc/showcard.display?p_card_id=1413&amp;p_lang=en" TargetMode="External"/><Relationship Id="rId5664" Type="http://schemas.openxmlformats.org/officeDocument/2006/relationships/hyperlink" Target="https://chem.echa.europa.eu/substance-search?searchText=1746-01-6" TargetMode="External"/><Relationship Id="rId5871" Type="http://schemas.openxmlformats.org/officeDocument/2006/relationships/hyperlink" Target="https://www.google.com/search?q=110-66-7+SDS+safety+data+sheet+filetype:pdf" TargetMode="External"/><Relationship Id="rId6508" Type="http://schemas.openxmlformats.org/officeDocument/2006/relationships/hyperlink" Target="https://chem.echa.europa.eu/substance-search?searchText=19430-93-4" TargetMode="External"/><Relationship Id="rId6715" Type="http://schemas.openxmlformats.org/officeDocument/2006/relationships/hyperlink" Target="https://www.google.com/search?q=1559-34-8+SDS+safety+data+sheet+filetype:pdf" TargetMode="External"/><Relationship Id="rId1110" Type="http://schemas.openxmlformats.org/officeDocument/2006/relationships/hyperlink" Target="https://chemicalsafety.ilo.org/dyn/icsc/showcard.display?p_card_id=0279&amp;p_lang=tr" TargetMode="External"/><Relationship Id="rId4266" Type="http://schemas.openxmlformats.org/officeDocument/2006/relationships/hyperlink" Target="https://chemicalsafety.ilo.org/dyn/icsc/showcard.display?p_card_id=1104&amp;p_lang=tr" TargetMode="External"/><Relationship Id="rId4473" Type="http://schemas.openxmlformats.org/officeDocument/2006/relationships/hyperlink" Target="https://chemicalsafety.ilo.org/dyn/icsc/showcard.display?p_card_id=1157&amp;p_lang=en" TargetMode="External"/><Relationship Id="rId4680" Type="http://schemas.openxmlformats.org/officeDocument/2006/relationships/hyperlink" Target="https://chem.echa.europa.eu/substance-search?searchText=10031-13-7" TargetMode="External"/><Relationship Id="rId5317" Type="http://schemas.openxmlformats.org/officeDocument/2006/relationships/hyperlink" Target="https://chemicalsafety.ilo.org/dyn/icsc/showcard.display?p_card_id=1376&amp;p_lang=en" TargetMode="External"/><Relationship Id="rId5524" Type="http://schemas.openxmlformats.org/officeDocument/2006/relationships/hyperlink" Target="https://chem.echa.europa.eu/substance-search?searchText=9003-04-7" TargetMode="External"/><Relationship Id="rId5731" Type="http://schemas.openxmlformats.org/officeDocument/2006/relationships/hyperlink" Target="https://www.google.com/search?q=630-20-6+SDS+safety+data+sheet+filetype:pdf" TargetMode="External"/><Relationship Id="rId1927" Type="http://schemas.openxmlformats.org/officeDocument/2006/relationships/hyperlink" Target="https://www.google.com/search?q=626-93-7+SDS+safety+data+sheet+filetype:pdf" TargetMode="External"/><Relationship Id="rId3075" Type="http://schemas.openxmlformats.org/officeDocument/2006/relationships/hyperlink" Target="https://www.google.com/search?q=124-17-4+SDS+safety+data+sheet+filetype:pdf" TargetMode="External"/><Relationship Id="rId3282" Type="http://schemas.openxmlformats.org/officeDocument/2006/relationships/hyperlink" Target="https://chemicalsafety.ilo.org/dyn/icsc/showcard.display?p_card_id=0843&amp;p_lang=tr" TargetMode="External"/><Relationship Id="rId4126" Type="http://schemas.openxmlformats.org/officeDocument/2006/relationships/hyperlink" Target="https://chemicalsafety.ilo.org/dyn/icsc/showcard.display?p_card_id=1063&amp;p_lang=tr" TargetMode="External"/><Relationship Id="rId4333" Type="http://schemas.openxmlformats.org/officeDocument/2006/relationships/hyperlink" Target="https://chemicalsafety.ilo.org/dyn/icsc/showcard.display?p_card_id=1121&amp;p_lang=en" TargetMode="External"/><Relationship Id="rId4540" Type="http://schemas.openxmlformats.org/officeDocument/2006/relationships/hyperlink" Target="https://chem.echa.europa.eu/substance-search?searchText=110-17-8" TargetMode="External"/><Relationship Id="rId2091" Type="http://schemas.openxmlformats.org/officeDocument/2006/relationships/hyperlink" Target="https://www.google.com/search?q=123-54-6+SDS+safety+data+sheet+filetype:pdf" TargetMode="External"/><Relationship Id="rId3142" Type="http://schemas.openxmlformats.org/officeDocument/2006/relationships/hyperlink" Target="https://chemicalsafety.ilo.org/dyn/icsc/showcard.display?p_card_id=0806&amp;p_lang=tr" TargetMode="External"/><Relationship Id="rId4400" Type="http://schemas.openxmlformats.org/officeDocument/2006/relationships/hyperlink" Target="https://chem.echa.europa.eu/substance-search?searchText=7772-98-7" TargetMode="External"/><Relationship Id="rId6298" Type="http://schemas.openxmlformats.org/officeDocument/2006/relationships/hyperlink" Target="https://chemicalsafety.ilo.org/dyn/icsc/showcard.display?p_card_id=1631&amp;p_lang=tr" TargetMode="External"/><Relationship Id="rId270" Type="http://schemas.openxmlformats.org/officeDocument/2006/relationships/hyperlink" Target="https://chemicalsafety.ilo.org/dyn/icsc/showcard.display?p_card_id=0068&amp;p_lang=tr" TargetMode="External"/><Relationship Id="rId3002" Type="http://schemas.openxmlformats.org/officeDocument/2006/relationships/hyperlink" Target="https://chemicalsafety.ilo.org/dyn/icsc/showcard.display?p_card_id=0771&amp;p_lang=tr" TargetMode="External"/><Relationship Id="rId6158" Type="http://schemas.openxmlformats.org/officeDocument/2006/relationships/hyperlink" Target="https://chemicalsafety.ilo.org/dyn/icsc/showcard.display?p_card_id=1594&amp;p_lang=tr" TargetMode="External"/><Relationship Id="rId6365" Type="http://schemas.openxmlformats.org/officeDocument/2006/relationships/hyperlink" Target="https://chemicalsafety.ilo.org/dyn/icsc/showcard.display?p_card_id=1654&amp;p_lang=en" TargetMode="External"/><Relationship Id="rId6572" Type="http://schemas.openxmlformats.org/officeDocument/2006/relationships/hyperlink" Target="https://chem.echa.europa.eu/substance-search?searchText=13863-41-7" TargetMode="External"/><Relationship Id="rId130" Type="http://schemas.openxmlformats.org/officeDocument/2006/relationships/hyperlink" Target="https://chemicalsafety.ilo.org/dyn/icsc/showcard.display?p_card_id=0033&amp;p_lang=tr" TargetMode="External"/><Relationship Id="rId3959" Type="http://schemas.openxmlformats.org/officeDocument/2006/relationships/hyperlink" Target="https://www.google.com/search?q=96-48-0+SDS+safety+data+sheet+filetype:pdf" TargetMode="External"/><Relationship Id="rId5174" Type="http://schemas.openxmlformats.org/officeDocument/2006/relationships/hyperlink" Target="https://chemicalsafety.ilo.org/dyn/icsc/showcard.display?p_card_id=1340&amp;p_lang=tr" TargetMode="External"/><Relationship Id="rId5381" Type="http://schemas.openxmlformats.org/officeDocument/2006/relationships/hyperlink" Target="https://chemicalsafety.ilo.org/dyn/icsc/showcard.display?p_card_id=1393&amp;p_lang=en" TargetMode="External"/><Relationship Id="rId6018" Type="http://schemas.openxmlformats.org/officeDocument/2006/relationships/hyperlink" Target="https://chemicalsafety.ilo.org/dyn/icsc/showcard.display?p_card_id=1559&amp;p_lang=tr" TargetMode="External"/><Relationship Id="rId6225" Type="http://schemas.openxmlformats.org/officeDocument/2006/relationships/hyperlink" Target="https://chemicalsafety.ilo.org/dyn/icsc/showcard.display?p_card_id=1611&amp;p_lang=en" TargetMode="External"/><Relationship Id="rId2768" Type="http://schemas.openxmlformats.org/officeDocument/2006/relationships/hyperlink" Target="https://chem.echa.europa.eu/substance-search?searchText=17702-41-9" TargetMode="External"/><Relationship Id="rId2975" Type="http://schemas.openxmlformats.org/officeDocument/2006/relationships/hyperlink" Target="https://www.google.com/search?q=7786-30-3+SDS+safety+data+sheet+filetype:pdf" TargetMode="External"/><Relationship Id="rId3819" Type="http://schemas.openxmlformats.org/officeDocument/2006/relationships/hyperlink" Target="https://www.google.com/search?q=7487-94-7+SDS+safety+data+sheet+filetype:pdf" TargetMode="External"/><Relationship Id="rId5034" Type="http://schemas.openxmlformats.org/officeDocument/2006/relationships/hyperlink" Target="https://chemicalsafety.ilo.org/dyn/icsc/showcard.display?p_card_id=1301&amp;p_lang=tr" TargetMode="External"/><Relationship Id="rId6432" Type="http://schemas.openxmlformats.org/officeDocument/2006/relationships/hyperlink" Target="https://chem.echa.europa.eu/substance-search?searchText=76-05-1" TargetMode="External"/><Relationship Id="rId947" Type="http://schemas.openxmlformats.org/officeDocument/2006/relationships/hyperlink" Target="https://www.google.com/search?q=107-30-2+SDS+safety+data+sheet+filetype:pdf" TargetMode="External"/><Relationship Id="rId1577" Type="http://schemas.openxmlformats.org/officeDocument/2006/relationships/hyperlink" Target="https://chemicalsafety.ilo.org/dyn/icsc/showcard.display?p_card_id=0398&amp;p_lang=en" TargetMode="External"/><Relationship Id="rId1784" Type="http://schemas.openxmlformats.org/officeDocument/2006/relationships/hyperlink" Target="https://chem.echa.europa.eu/substance-search?searchText=2867-47-2" TargetMode="External"/><Relationship Id="rId1991" Type="http://schemas.openxmlformats.org/officeDocument/2006/relationships/hyperlink" Target="https://www.google.com/search?q=1309-48-4+SDS+safety+data+sheet+filetype:pdf" TargetMode="External"/><Relationship Id="rId2628" Type="http://schemas.openxmlformats.org/officeDocument/2006/relationships/hyperlink" Target="https://chem.echa.europa.eu/substance-search?searchText=141-52-6" TargetMode="External"/><Relationship Id="rId2835" Type="http://schemas.openxmlformats.org/officeDocument/2006/relationships/hyperlink" Target="https://www.google.com/search?q=610-39-9+SDS+safety+data+sheet+filetype:pdf" TargetMode="External"/><Relationship Id="rId4190" Type="http://schemas.openxmlformats.org/officeDocument/2006/relationships/hyperlink" Target="https://chemicalsafety.ilo.org/dyn/icsc/showcard.display?p_card_id=1082&amp;p_lang=tr" TargetMode="External"/><Relationship Id="rId5241" Type="http://schemas.openxmlformats.org/officeDocument/2006/relationships/hyperlink" Target="https://chemicalsafety.ilo.org/dyn/icsc/showcard.display?p_card_id=1357&amp;p_lang=en" TargetMode="External"/><Relationship Id="rId76" Type="http://schemas.openxmlformats.org/officeDocument/2006/relationships/hyperlink" Target="https://chem.echa.europa.eu/substance-search?searchText=75-66-1" TargetMode="External"/><Relationship Id="rId807" Type="http://schemas.openxmlformats.org/officeDocument/2006/relationships/hyperlink" Target="https://www.google.com/search?q=1912-26-1+SDS+safety+data+sheet+filetype:pdf" TargetMode="External"/><Relationship Id="rId1437" Type="http://schemas.openxmlformats.org/officeDocument/2006/relationships/hyperlink" Target="https://chemicalsafety.ilo.org/dyn/icsc/showcard.display?p_card_id=0361&amp;p_lang=en" TargetMode="External"/><Relationship Id="rId1644" Type="http://schemas.openxmlformats.org/officeDocument/2006/relationships/hyperlink" Target="https://chem.echa.europa.eu/substance-search?searchText=52-51-7" TargetMode="External"/><Relationship Id="rId1851" Type="http://schemas.openxmlformats.org/officeDocument/2006/relationships/hyperlink" Target="https://www.google.com/search?q=759-94-4+SDS+safety+data+sheet+filetype:pdf" TargetMode="External"/><Relationship Id="rId2902" Type="http://schemas.openxmlformats.org/officeDocument/2006/relationships/hyperlink" Target="https://chemicalsafety.ilo.org/dyn/icsc/showcard.display?p_card_id=0746&amp;p_lang=tr" TargetMode="External"/><Relationship Id="rId4050" Type="http://schemas.openxmlformats.org/officeDocument/2006/relationships/hyperlink" Target="https://chemicalsafety.ilo.org/dyn/icsc/showcard.display?p_card_id=1043&amp;p_lang=tr" TargetMode="External"/><Relationship Id="rId5101" Type="http://schemas.openxmlformats.org/officeDocument/2006/relationships/hyperlink" Target="https://chemicalsafety.ilo.org/dyn/icsc/showcard.display?p_card_id=1320&amp;p_lang=en" TargetMode="External"/><Relationship Id="rId1504" Type="http://schemas.openxmlformats.org/officeDocument/2006/relationships/hyperlink" Target="https://chem.echa.europa.eu/substance-search?searchText=1327-53-3" TargetMode="External"/><Relationship Id="rId1711" Type="http://schemas.openxmlformats.org/officeDocument/2006/relationships/hyperlink" Target="https://www.google.com/search?q=19287-45-7+SDS+safety+data+sheet+filetype:pdf" TargetMode="External"/><Relationship Id="rId4867" Type="http://schemas.openxmlformats.org/officeDocument/2006/relationships/hyperlink" Target="https://www.google.com/search?q=78-85-3+SDS+safety+data+sheet+filetype:pdf" TargetMode="External"/><Relationship Id="rId3469" Type="http://schemas.openxmlformats.org/officeDocument/2006/relationships/hyperlink" Target="https://chemicalsafety.ilo.org/dyn/icsc/showcard.display?p_card_id=0891&amp;p_lang=en" TargetMode="External"/><Relationship Id="rId3676" Type="http://schemas.openxmlformats.org/officeDocument/2006/relationships/hyperlink" Target="https://chem.echa.europa.eu/substance-search?searchText=78-90-0" TargetMode="External"/><Relationship Id="rId5918" Type="http://schemas.openxmlformats.org/officeDocument/2006/relationships/hyperlink" Target="https://chemicalsafety.ilo.org/dyn/icsc/showcard.display?p_card_id=1533&amp;p_lang=tr" TargetMode="External"/><Relationship Id="rId6082" Type="http://schemas.openxmlformats.org/officeDocument/2006/relationships/hyperlink" Target="https://chemicalsafety.ilo.org/dyn/icsc/showcard.display?p_card_id=1575&amp;p_lang=tr" TargetMode="External"/><Relationship Id="rId597" Type="http://schemas.openxmlformats.org/officeDocument/2006/relationships/hyperlink" Target="https://chemicalsafety.ilo.org/dyn/icsc/showcard.display?p_card_id=0150&amp;p_lang=en" TargetMode="External"/><Relationship Id="rId2278" Type="http://schemas.openxmlformats.org/officeDocument/2006/relationships/hyperlink" Target="https://chemicalsafety.ilo.org/dyn/icsc/showcard.display?p_card_id=0581&amp;p_lang=tr" TargetMode="External"/><Relationship Id="rId2485" Type="http://schemas.openxmlformats.org/officeDocument/2006/relationships/hyperlink" Target="https://chemicalsafety.ilo.org/dyn/icsc/showcard.display?p_card_id=0636&amp;p_lang=en" TargetMode="External"/><Relationship Id="rId3329" Type="http://schemas.openxmlformats.org/officeDocument/2006/relationships/hyperlink" Target="https://chemicalsafety.ilo.org/dyn/icsc/showcard.display?p_card_id=0855&amp;p_lang=en" TargetMode="External"/><Relationship Id="rId3883" Type="http://schemas.openxmlformats.org/officeDocument/2006/relationships/hyperlink" Target="https://www.google.com/search?q=598-63-0+SDS+safety+data+sheet+filetype:pdf" TargetMode="External"/><Relationship Id="rId4727" Type="http://schemas.openxmlformats.org/officeDocument/2006/relationships/hyperlink" Target="https://www.google.com/search?q=10025-91-9+SDS+safety+data+sheet+filetype:pdf" TargetMode="External"/><Relationship Id="rId4934" Type="http://schemas.openxmlformats.org/officeDocument/2006/relationships/hyperlink" Target="https://chemicalsafety.ilo.org/dyn/icsc/showcard.display?p_card_id=1276&amp;p_lang=tr" TargetMode="External"/><Relationship Id="rId457" Type="http://schemas.openxmlformats.org/officeDocument/2006/relationships/hyperlink" Target="https://chemicalsafety.ilo.org/dyn/icsc/showcard.display?p_card_id=0115&amp;p_lang=en" TargetMode="External"/><Relationship Id="rId1087" Type="http://schemas.openxmlformats.org/officeDocument/2006/relationships/hyperlink" Target="https://www.google.com/search?q=51630-58-1+SDS+safety+data+sheet+filetype:pdf" TargetMode="External"/><Relationship Id="rId1294" Type="http://schemas.openxmlformats.org/officeDocument/2006/relationships/hyperlink" Target="https://chemicalsafety.ilo.org/dyn/icsc/showcard.display?p_card_id=0325&amp;p_lang=tr" TargetMode="External"/><Relationship Id="rId2138" Type="http://schemas.openxmlformats.org/officeDocument/2006/relationships/hyperlink" Target="https://chemicalsafety.ilo.org/dyn/icsc/showcard.display?p_card_id=0545&amp;p_lang=tr" TargetMode="External"/><Relationship Id="rId2692" Type="http://schemas.openxmlformats.org/officeDocument/2006/relationships/hyperlink" Target="https://chem.echa.europa.eu/substance-search?searchText=100-25-4" TargetMode="External"/><Relationship Id="rId3536" Type="http://schemas.openxmlformats.org/officeDocument/2006/relationships/hyperlink" Target="https://chem.echa.europa.eu/substance-search?searchText=108-21-4" TargetMode="External"/><Relationship Id="rId3743" Type="http://schemas.openxmlformats.org/officeDocument/2006/relationships/hyperlink" Target="https://www.google.com/search?q=479-45-8+SDS+safety+data+sheet+filetype:pdf" TargetMode="External"/><Relationship Id="rId3950" Type="http://schemas.openxmlformats.org/officeDocument/2006/relationships/hyperlink" Target="https://chemicalsafety.ilo.org/dyn/icsc/showcard.display?p_card_id=1018&amp;p_lang=tr" TargetMode="External"/><Relationship Id="rId664" Type="http://schemas.openxmlformats.org/officeDocument/2006/relationships/hyperlink" Target="https://chem.echa.europa.eu/substance-search?searchText=123-31-9" TargetMode="External"/><Relationship Id="rId871" Type="http://schemas.openxmlformats.org/officeDocument/2006/relationships/hyperlink" Target="https://www.google.com/search?q=626-38-0+SDS+safety+data+sheet+filetype:pdf" TargetMode="External"/><Relationship Id="rId2345" Type="http://schemas.openxmlformats.org/officeDocument/2006/relationships/hyperlink" Target="https://chemicalsafety.ilo.org/dyn/icsc/showcard.display?p_card_id=0600&amp;p_lang=en" TargetMode="External"/><Relationship Id="rId2552" Type="http://schemas.openxmlformats.org/officeDocument/2006/relationships/hyperlink" Target="https://chem.echa.europa.eu/substance-search?searchText=108-01-0" TargetMode="External"/><Relationship Id="rId3603" Type="http://schemas.openxmlformats.org/officeDocument/2006/relationships/hyperlink" Target="https://www.google.com/search?q=7786-34-7+SDS+safety+data+sheet+filetype:pdf" TargetMode="External"/><Relationship Id="rId3810" Type="http://schemas.openxmlformats.org/officeDocument/2006/relationships/hyperlink" Target="https://chemicalsafety.ilo.org/dyn/icsc/showcard.display?p_card_id=0977&amp;p_lang=tr" TargetMode="External"/><Relationship Id="rId6759" Type="http://schemas.openxmlformats.org/officeDocument/2006/relationships/hyperlink" Target="https://www.google.com/search?q=98-59-9+SDS+safety+data+sheet+filetype:pdf" TargetMode="External"/><Relationship Id="rId317" Type="http://schemas.openxmlformats.org/officeDocument/2006/relationships/hyperlink" Target="https://chemicalsafety.ilo.org/dyn/icsc/showcard.display?p_card_id=0080&amp;p_lang=en" TargetMode="External"/><Relationship Id="rId524" Type="http://schemas.openxmlformats.org/officeDocument/2006/relationships/hyperlink" Target="https://chem.echa.europa.eu/substance-search?searchText=59-50-7" TargetMode="External"/><Relationship Id="rId731" Type="http://schemas.openxmlformats.org/officeDocument/2006/relationships/hyperlink" Target="https://www.google.com/search?q=7697-37-2+SDS+safety+data+sheet+filetype:pdf" TargetMode="External"/><Relationship Id="rId1154" Type="http://schemas.openxmlformats.org/officeDocument/2006/relationships/hyperlink" Target="https://chemicalsafety.ilo.org/dyn/icsc/showcard.display?p_card_id=0290&amp;p_lang=tr" TargetMode="External"/><Relationship Id="rId1361" Type="http://schemas.openxmlformats.org/officeDocument/2006/relationships/hyperlink" Target="https://chemicalsafety.ilo.org/dyn/icsc/showcard.display?p_card_id=0342&amp;p_lang=en" TargetMode="External"/><Relationship Id="rId2205" Type="http://schemas.openxmlformats.org/officeDocument/2006/relationships/hyperlink" Target="https://chemicalsafety.ilo.org/dyn/icsc/showcard.display?p_card_id=0563&amp;p_lang=en" TargetMode="External"/><Relationship Id="rId2412" Type="http://schemas.openxmlformats.org/officeDocument/2006/relationships/hyperlink" Target="https://chem.echa.europa.eu/substance-search?searchText=99-87-6" TargetMode="External"/><Relationship Id="rId5568" Type="http://schemas.openxmlformats.org/officeDocument/2006/relationships/hyperlink" Target="https://chem.echa.europa.eu/substance-search?searchText=8009-03-8" TargetMode="External"/><Relationship Id="rId5775" Type="http://schemas.openxmlformats.org/officeDocument/2006/relationships/hyperlink" Target="https://www.google.com/search?q=110-61-2+SDS+safety+data+sheet+filetype:pdf" TargetMode="External"/><Relationship Id="rId5982" Type="http://schemas.openxmlformats.org/officeDocument/2006/relationships/hyperlink" Target="https://chemicalsafety.ilo.org/dyn/icsc/showcard.display?p_card_id=1550&amp;p_lang=tr" TargetMode="External"/><Relationship Id="rId6619" Type="http://schemas.openxmlformats.org/officeDocument/2006/relationships/hyperlink" Target="https://www.google.com/search?q=5392-40-5+SDS+safety+data+sheet+filetype:pdf" TargetMode="External"/><Relationship Id="rId6826" Type="http://schemas.openxmlformats.org/officeDocument/2006/relationships/hyperlink" Target="https://chemicalsafety.ilo.org/dyn/icsc/showcard.display?p_card_id=1779&amp;p_lang=tr" TargetMode="External"/><Relationship Id="rId1014" Type="http://schemas.openxmlformats.org/officeDocument/2006/relationships/hyperlink" Target="https://chemicalsafety.ilo.org/dyn/icsc/showcard.display?p_card_id=0255&amp;p_lang=tr" TargetMode="External"/><Relationship Id="rId1221" Type="http://schemas.openxmlformats.org/officeDocument/2006/relationships/hyperlink" Target="https://chemicalsafety.ilo.org/dyn/icsc/showcard.display?p_card_id=0307&amp;p_lang=en" TargetMode="External"/><Relationship Id="rId4377" Type="http://schemas.openxmlformats.org/officeDocument/2006/relationships/hyperlink" Target="https://chemicalsafety.ilo.org/dyn/icsc/showcard.display?p_card_id=1133&amp;p_lang=en" TargetMode="External"/><Relationship Id="rId4584" Type="http://schemas.openxmlformats.org/officeDocument/2006/relationships/hyperlink" Target="https://chem.echa.europa.eu/substance-search?searchText=10043-52-4" TargetMode="External"/><Relationship Id="rId4791" Type="http://schemas.openxmlformats.org/officeDocument/2006/relationships/hyperlink" Target="https://www.google.com/search?q=5064-31-3+SDS+safety+data+sheet+filetype:pdf" TargetMode="External"/><Relationship Id="rId5428" Type="http://schemas.openxmlformats.org/officeDocument/2006/relationships/hyperlink" Target="https://chem.echa.europa.eu/substance-search?searchText=7440-67-7" TargetMode="External"/><Relationship Id="rId5635" Type="http://schemas.openxmlformats.org/officeDocument/2006/relationships/hyperlink" Target="https://www.google.com/search?q=8002-74-2+SDS+safety+data+sheet+filetype:pdf" TargetMode="External"/><Relationship Id="rId5842" Type="http://schemas.openxmlformats.org/officeDocument/2006/relationships/hyperlink" Target="https://chemicalsafety.ilo.org/dyn/icsc/showcard.display?p_card_id=1514&amp;p_lang=tr" TargetMode="External"/><Relationship Id="rId3186" Type="http://schemas.openxmlformats.org/officeDocument/2006/relationships/hyperlink" Target="https://chemicalsafety.ilo.org/dyn/icsc/showcard.display?p_card_id=0817&amp;p_lang=tr" TargetMode="External"/><Relationship Id="rId3393" Type="http://schemas.openxmlformats.org/officeDocument/2006/relationships/hyperlink" Target="https://chemicalsafety.ilo.org/dyn/icsc/showcard.display?p_card_id=0872&amp;p_lang=en" TargetMode="External"/><Relationship Id="rId4237" Type="http://schemas.openxmlformats.org/officeDocument/2006/relationships/hyperlink" Target="https://chemicalsafety.ilo.org/dyn/icsc/showcard.display?p_card_id=1095&amp;p_lang=en" TargetMode="External"/><Relationship Id="rId4444" Type="http://schemas.openxmlformats.org/officeDocument/2006/relationships/hyperlink" Target="https://chem.echa.europa.eu/substance-search?searchText=112-48-1" TargetMode="External"/><Relationship Id="rId4651" Type="http://schemas.openxmlformats.org/officeDocument/2006/relationships/hyperlink" Target="https://www.google.com/search?q=7440-66-6+SDS+safety+data+sheet+filetype:pdf" TargetMode="External"/><Relationship Id="rId3046" Type="http://schemas.openxmlformats.org/officeDocument/2006/relationships/hyperlink" Target="https://chemicalsafety.ilo.org/dyn/icsc/showcard.display?p_card_id=0782&amp;p_lang=tr" TargetMode="External"/><Relationship Id="rId3253" Type="http://schemas.openxmlformats.org/officeDocument/2006/relationships/hyperlink" Target="https://chemicalsafety.ilo.org/dyn/icsc/showcard.display?p_card_id=0835&amp;p_lang=en" TargetMode="External"/><Relationship Id="rId3460" Type="http://schemas.openxmlformats.org/officeDocument/2006/relationships/hyperlink" Target="https://chem.echa.europa.eu/substance-search?searchText=563-12-2" TargetMode="External"/><Relationship Id="rId4304" Type="http://schemas.openxmlformats.org/officeDocument/2006/relationships/hyperlink" Target="https://chem.echa.europa.eu/substance-search?searchText=90-30-2" TargetMode="External"/><Relationship Id="rId5702" Type="http://schemas.openxmlformats.org/officeDocument/2006/relationships/hyperlink" Target="https://chemicalsafety.ilo.org/dyn/icsc/showcard.display?p_card_id=1477&amp;p_lang=tr" TargetMode="External"/><Relationship Id="rId174" Type="http://schemas.openxmlformats.org/officeDocument/2006/relationships/hyperlink" Target="https://chemicalsafety.ilo.org/dyn/icsc/showcard.display?p_card_id=0044&amp;p_lang=tr" TargetMode="External"/><Relationship Id="rId381" Type="http://schemas.openxmlformats.org/officeDocument/2006/relationships/hyperlink" Target="https://chemicalsafety.ilo.org/dyn/icsc/showcard.display?p_card_id=0096&amp;p_lang=en" TargetMode="External"/><Relationship Id="rId2062" Type="http://schemas.openxmlformats.org/officeDocument/2006/relationships/hyperlink" Target="https://chemicalsafety.ilo.org/dyn/icsc/showcard.display?p_card_id=0526&amp;p_lang=tr" TargetMode="External"/><Relationship Id="rId3113" Type="http://schemas.openxmlformats.org/officeDocument/2006/relationships/hyperlink" Target="https://chemicalsafety.ilo.org/dyn/icsc/showcard.display?p_card_id=0799&amp;p_lang=en" TargetMode="External"/><Relationship Id="rId4511" Type="http://schemas.openxmlformats.org/officeDocument/2006/relationships/hyperlink" Target="https://www.google.com/search?q=7704-34-9+SDS+safety+data+sheet+filetype:pdf" TargetMode="External"/><Relationship Id="rId6269" Type="http://schemas.openxmlformats.org/officeDocument/2006/relationships/hyperlink" Target="https://chemicalsafety.ilo.org/dyn/icsc/showcard.display?p_card_id=1622&amp;p_lang=en" TargetMode="External"/><Relationship Id="rId241" Type="http://schemas.openxmlformats.org/officeDocument/2006/relationships/hyperlink" Target="https://chemicalsafety.ilo.org/dyn/icsc/showcard.display?p_card_id=0061&amp;p_lang=en" TargetMode="External"/><Relationship Id="rId3320" Type="http://schemas.openxmlformats.org/officeDocument/2006/relationships/hyperlink" Target="https://chem.echa.europa.eu/substance-search?searchText=1918-13-4" TargetMode="External"/><Relationship Id="rId5078" Type="http://schemas.openxmlformats.org/officeDocument/2006/relationships/hyperlink" Target="https://chemicalsafety.ilo.org/dyn/icsc/showcard.display?p_card_id=1314&amp;p_lang=tr" TargetMode="External"/><Relationship Id="rId6476" Type="http://schemas.openxmlformats.org/officeDocument/2006/relationships/hyperlink" Target="https://chem.echa.europa.eu/substance-search?searchText=62-23-7" TargetMode="External"/><Relationship Id="rId6683" Type="http://schemas.openxmlformats.org/officeDocument/2006/relationships/hyperlink" Target="https://www.google.com/search?q=25584-83-2+SDS+safety+data+sheet+filetype:pdf" TargetMode="External"/><Relationship Id="rId2879" Type="http://schemas.openxmlformats.org/officeDocument/2006/relationships/hyperlink" Target="https://www.google.com/search?q=57-74-9+SDS+safety+data+sheet+filetype:pdf" TargetMode="External"/><Relationship Id="rId5285" Type="http://schemas.openxmlformats.org/officeDocument/2006/relationships/hyperlink" Target="https://chemicalsafety.ilo.org/dyn/icsc/showcard.display?p_card_id=1368&amp;p_lang=en" TargetMode="External"/><Relationship Id="rId5492" Type="http://schemas.openxmlformats.org/officeDocument/2006/relationships/hyperlink" Target="https://chem.echa.europa.eu/substance-search?searchText=76-12-0" TargetMode="External"/><Relationship Id="rId6129" Type="http://schemas.openxmlformats.org/officeDocument/2006/relationships/hyperlink" Target="https://chemicalsafety.ilo.org/dyn/icsc/showcard.display?p_card_id=1587&amp;p_lang=en" TargetMode="External"/><Relationship Id="rId6336" Type="http://schemas.openxmlformats.org/officeDocument/2006/relationships/hyperlink" Target="https://chem.echa.europa.eu/substance-search?searchText=121-82-4" TargetMode="External"/><Relationship Id="rId6543" Type="http://schemas.openxmlformats.org/officeDocument/2006/relationships/hyperlink" Target="https://www.google.com/search?q=637-92-3+SDS+safety+data+sheet+filetype:pdf" TargetMode="External"/><Relationship Id="rId6750" Type="http://schemas.openxmlformats.org/officeDocument/2006/relationships/hyperlink" Target="https://chemicalsafety.ilo.org/dyn/icsc/showcard.display?p_card_id=1760&amp;p_lang=tr" TargetMode="External"/><Relationship Id="rId101" Type="http://schemas.openxmlformats.org/officeDocument/2006/relationships/hyperlink" Target="https://chemicalsafety.ilo.org/dyn/icsc/showcard.display?p_card_id=0026&amp;p_lang=en" TargetMode="External"/><Relationship Id="rId1688" Type="http://schemas.openxmlformats.org/officeDocument/2006/relationships/hyperlink" Target="https://chem.echa.europa.eu/substance-search?searchText=622-45-7" TargetMode="External"/><Relationship Id="rId1895" Type="http://schemas.openxmlformats.org/officeDocument/2006/relationships/hyperlink" Target="https://www.google.com/search?q=100-74-3+SDS+safety+data+sheet+filetype:pdf" TargetMode="External"/><Relationship Id="rId2739" Type="http://schemas.openxmlformats.org/officeDocument/2006/relationships/hyperlink" Target="https://www.google.com/search?q=919-86-8+SDS+safety+data+sheet+filetype:pdf" TargetMode="External"/><Relationship Id="rId2946" Type="http://schemas.openxmlformats.org/officeDocument/2006/relationships/hyperlink" Target="https://chemicalsafety.ilo.org/dyn/icsc/showcard.display?p_card_id=0757&amp;p_lang=tr" TargetMode="External"/><Relationship Id="rId4094" Type="http://schemas.openxmlformats.org/officeDocument/2006/relationships/hyperlink" Target="https://chemicalsafety.ilo.org/dyn/icsc/showcard.display?p_card_id=1054&amp;p_lang=tr" TargetMode="External"/><Relationship Id="rId5145" Type="http://schemas.openxmlformats.org/officeDocument/2006/relationships/hyperlink" Target="https://chemicalsafety.ilo.org/dyn/icsc/showcard.display?p_card_id=1333&amp;p_lang=en" TargetMode="External"/><Relationship Id="rId5352" Type="http://schemas.openxmlformats.org/officeDocument/2006/relationships/hyperlink" Target="https://chem.echa.europa.eu/substance-search?searchText=103-69-5" TargetMode="External"/><Relationship Id="rId6403" Type="http://schemas.openxmlformats.org/officeDocument/2006/relationships/hyperlink" Target="https://www.google.com/search?q=91-95-2+SDS+safety+data+sheet+filetype:pdf" TargetMode="External"/><Relationship Id="rId6610" Type="http://schemas.openxmlformats.org/officeDocument/2006/relationships/hyperlink" Target="https://chemicalsafety.ilo.org/dyn/icsc/showcard.display?p_card_id=1723&amp;p_lang=tr" TargetMode="External"/><Relationship Id="rId918" Type="http://schemas.openxmlformats.org/officeDocument/2006/relationships/hyperlink" Target="https://chemicalsafety.ilo.org/dyn/icsc/showcard.display?p_card_id=0231&amp;p_lang=tr" TargetMode="External"/><Relationship Id="rId1548" Type="http://schemas.openxmlformats.org/officeDocument/2006/relationships/hyperlink" Target="https://chem.echa.europa.eu/substance-search?searchText=119-61-9" TargetMode="External"/><Relationship Id="rId1755" Type="http://schemas.openxmlformats.org/officeDocument/2006/relationships/hyperlink" Target="https://www.google.com/search?q=1702-17-6+SDS+safety+data+sheet+filetype:pdf" TargetMode="External"/><Relationship Id="rId4161" Type="http://schemas.openxmlformats.org/officeDocument/2006/relationships/hyperlink" Target="https://chemicalsafety.ilo.org/dyn/icsc/showcard.display?p_card_id=1074&amp;p_lang=en" TargetMode="External"/><Relationship Id="rId5005" Type="http://schemas.openxmlformats.org/officeDocument/2006/relationships/hyperlink" Target="https://chemicalsafety.ilo.org/dyn/icsc/showcard.display?p_card_id=1294&amp;p_lang=en" TargetMode="External"/><Relationship Id="rId5212" Type="http://schemas.openxmlformats.org/officeDocument/2006/relationships/hyperlink" Target="https://chem.echa.europa.eu/substance-search?searchText=109-43-3" TargetMode="External"/><Relationship Id="rId1408" Type="http://schemas.openxmlformats.org/officeDocument/2006/relationships/hyperlink" Target="https://chem.echa.europa.eu/substance-search?searchText=287-92-3" TargetMode="External"/><Relationship Id="rId1962" Type="http://schemas.openxmlformats.org/officeDocument/2006/relationships/hyperlink" Target="https://chemicalsafety.ilo.org/dyn/icsc/showcard.display?p_card_id=0497&amp;p_lang=tr" TargetMode="External"/><Relationship Id="rId2806" Type="http://schemas.openxmlformats.org/officeDocument/2006/relationships/hyperlink" Target="https://chemicalsafety.ilo.org/dyn/icsc/showcard.display?p_card_id=0722&amp;p_lang=tr" TargetMode="External"/><Relationship Id="rId4021" Type="http://schemas.openxmlformats.org/officeDocument/2006/relationships/hyperlink" Target="https://chemicalsafety.ilo.org/dyn/icsc/showcard.display?p_card_id=1036&amp;p_lang=en" TargetMode="External"/><Relationship Id="rId47" Type="http://schemas.openxmlformats.org/officeDocument/2006/relationships/hyperlink" Target="https://www.google.com/search?q=1309-64-4+SDS+safety+data+sheet+filetype:pdf" TargetMode="External"/><Relationship Id="rId1615" Type="http://schemas.openxmlformats.org/officeDocument/2006/relationships/hyperlink" Target="https://www.google.com/search?q=592-01-8+SDS+safety+data+sheet+filetype:pdf" TargetMode="External"/><Relationship Id="rId1822" Type="http://schemas.openxmlformats.org/officeDocument/2006/relationships/hyperlink" Target="https://chemicalsafety.ilo.org/dyn/icsc/showcard.display?p_card_id=0462&amp;p_lang=tr" TargetMode="External"/><Relationship Id="rId4978" Type="http://schemas.openxmlformats.org/officeDocument/2006/relationships/hyperlink" Target="https://chemicalsafety.ilo.org/dyn/icsc/showcard.display?p_card_id=1287&amp;p_lang=tr" TargetMode="External"/><Relationship Id="rId6193" Type="http://schemas.openxmlformats.org/officeDocument/2006/relationships/hyperlink" Target="https://chemicalsafety.ilo.org/dyn/icsc/showcard.display?p_card_id=1603&amp;p_lang=en" TargetMode="External"/><Relationship Id="rId3787" Type="http://schemas.openxmlformats.org/officeDocument/2006/relationships/hyperlink" Target="https://www.google.com/search?q=90-04-0+SDS+safety+data+sheet+filetype:pdf" TargetMode="External"/><Relationship Id="rId3994" Type="http://schemas.openxmlformats.org/officeDocument/2006/relationships/hyperlink" Target="https://chemicalsafety.ilo.org/dyn/icsc/showcard.display?p_card_id=1029&amp;p_lang=tr" TargetMode="External"/><Relationship Id="rId4838" Type="http://schemas.openxmlformats.org/officeDocument/2006/relationships/hyperlink" Target="https://chemicalsafety.ilo.org/dyn/icsc/showcard.display?p_card_id=1252&amp;p_lang=tr" TargetMode="External"/><Relationship Id="rId6053" Type="http://schemas.openxmlformats.org/officeDocument/2006/relationships/hyperlink" Target="https://chemicalsafety.ilo.org/dyn/icsc/showcard.display?p_card_id=1568&amp;p_lang=en" TargetMode="External"/><Relationship Id="rId2389" Type="http://schemas.openxmlformats.org/officeDocument/2006/relationships/hyperlink" Target="https://chemicalsafety.ilo.org/dyn/icsc/showcard.display?p_card_id=0612&amp;p_lang=en" TargetMode="External"/><Relationship Id="rId2596" Type="http://schemas.openxmlformats.org/officeDocument/2006/relationships/hyperlink" Target="https://chem.echa.europa.eu/substance-search?searchText=108-11-2" TargetMode="External"/><Relationship Id="rId3647" Type="http://schemas.openxmlformats.org/officeDocument/2006/relationships/hyperlink" Target="https://www.google.com/search?q=1321-64-8+SDS+safety+data+sheet+filetype:pdf" TargetMode="External"/><Relationship Id="rId3854" Type="http://schemas.openxmlformats.org/officeDocument/2006/relationships/hyperlink" Target="https://chemicalsafety.ilo.org/dyn/icsc/showcard.display?p_card_id=0988&amp;p_lang=tr" TargetMode="External"/><Relationship Id="rId4905" Type="http://schemas.openxmlformats.org/officeDocument/2006/relationships/hyperlink" Target="https://chemicalsafety.ilo.org/dyn/icsc/showcard.display?p_card_id=1269&amp;p_lang=en" TargetMode="External"/><Relationship Id="rId6260" Type="http://schemas.openxmlformats.org/officeDocument/2006/relationships/hyperlink" Target="https://chem.echa.europa.eu/substance-search?searchText=1639-09-4" TargetMode="External"/><Relationship Id="rId568" Type="http://schemas.openxmlformats.org/officeDocument/2006/relationships/hyperlink" Target="https://chem.echa.europa.eu/substance-search?searchText=95-82-9" TargetMode="External"/><Relationship Id="rId775" Type="http://schemas.openxmlformats.org/officeDocument/2006/relationships/hyperlink" Target="https://www.google.com/search?q=ROCK+WOOL+SDS+safety+data+sheet+filetype:pdf" TargetMode="External"/><Relationship Id="rId982" Type="http://schemas.openxmlformats.org/officeDocument/2006/relationships/hyperlink" Target="https://chemicalsafety.ilo.org/dyn/icsc/showcard.display?p_card_id=0247&amp;p_lang=tr" TargetMode="External"/><Relationship Id="rId1198" Type="http://schemas.openxmlformats.org/officeDocument/2006/relationships/hyperlink" Target="https://chemicalsafety.ilo.org/dyn/icsc/showcard.display?p_card_id=0301&amp;p_lang=tr" TargetMode="External"/><Relationship Id="rId2249" Type="http://schemas.openxmlformats.org/officeDocument/2006/relationships/hyperlink" Target="https://chemicalsafety.ilo.org/dyn/icsc/showcard.display?p_card_id=0574&amp;p_lang=en" TargetMode="External"/><Relationship Id="rId2456" Type="http://schemas.openxmlformats.org/officeDocument/2006/relationships/hyperlink" Target="https://chem.echa.europa.eu/substance-search?searchText=12185-10-3" TargetMode="External"/><Relationship Id="rId2663" Type="http://schemas.openxmlformats.org/officeDocument/2006/relationships/hyperlink" Target="https://www.google.com/search?q=79-38-9+SDS+safety+data+sheet+filetype:pdf" TargetMode="External"/><Relationship Id="rId2870" Type="http://schemas.openxmlformats.org/officeDocument/2006/relationships/hyperlink" Target="https://chemicalsafety.ilo.org/dyn/icsc/showcard.display?p_card_id=0738&amp;p_lang=tr" TargetMode="External"/><Relationship Id="rId3507" Type="http://schemas.openxmlformats.org/officeDocument/2006/relationships/hyperlink" Target="https://www.google.com/search?q=1689-83-4+SDS+safety+data+sheet+filetype:pdf" TargetMode="External"/><Relationship Id="rId3714" Type="http://schemas.openxmlformats.org/officeDocument/2006/relationships/hyperlink" Target="https://chemicalsafety.ilo.org/dyn/icsc/showcard.display?p_card_id=0952&amp;p_lang=tr" TargetMode="External"/><Relationship Id="rId3921" Type="http://schemas.openxmlformats.org/officeDocument/2006/relationships/hyperlink" Target="https://chemicalsafety.ilo.org/dyn/icsc/showcard.display?p_card_id=1010&amp;p_lang=en" TargetMode="External"/><Relationship Id="rId6120" Type="http://schemas.openxmlformats.org/officeDocument/2006/relationships/hyperlink" Target="https://chem.echa.europa.eu/substance-search?searchText=63449-41-2" TargetMode="External"/><Relationship Id="rId428" Type="http://schemas.openxmlformats.org/officeDocument/2006/relationships/hyperlink" Target="https://chem.echa.europa.eu/substance-search?searchText=7726-95-6" TargetMode="External"/><Relationship Id="rId635" Type="http://schemas.openxmlformats.org/officeDocument/2006/relationships/hyperlink" Target="https://www.google.com/search?q=556-52-5+SDS+safety+data+sheet+filetype:pdf" TargetMode="External"/><Relationship Id="rId842" Type="http://schemas.openxmlformats.org/officeDocument/2006/relationships/hyperlink" Target="https://chemicalsafety.ilo.org/dyn/icsc/showcard.display?p_card_id=0212&amp;p_lang=tr" TargetMode="External"/><Relationship Id="rId1058" Type="http://schemas.openxmlformats.org/officeDocument/2006/relationships/hyperlink" Target="https://chemicalsafety.ilo.org/dyn/icsc/showcard.display?p_card_id=0266&amp;p_lang=tr" TargetMode="External"/><Relationship Id="rId1265" Type="http://schemas.openxmlformats.org/officeDocument/2006/relationships/hyperlink" Target="https://chemicalsafety.ilo.org/dyn/icsc/showcard.display?p_card_id=0318&amp;p_lang=en" TargetMode="External"/><Relationship Id="rId1472" Type="http://schemas.openxmlformats.org/officeDocument/2006/relationships/hyperlink" Target="https://chem.echa.europa.eu/substance-search?searchText=124-04-9" TargetMode="External"/><Relationship Id="rId2109" Type="http://schemas.openxmlformats.org/officeDocument/2006/relationships/hyperlink" Target="https://chemicalsafety.ilo.org/dyn/icsc/showcard.display?p_card_id=0538&amp;p_lang=en" TargetMode="External"/><Relationship Id="rId2316" Type="http://schemas.openxmlformats.org/officeDocument/2006/relationships/hyperlink" Target="https://chem.echa.europa.eu/substance-search?searchText=10025-78-2" TargetMode="External"/><Relationship Id="rId2523" Type="http://schemas.openxmlformats.org/officeDocument/2006/relationships/hyperlink" Target="https://www.google.com/search?q=123-42-2+SDS+safety+data+sheet+filetype:pdf" TargetMode="External"/><Relationship Id="rId2730" Type="http://schemas.openxmlformats.org/officeDocument/2006/relationships/hyperlink" Target="https://chemicalsafety.ilo.org/dyn/icsc/showcard.display?p_card_id=0703&amp;p_lang=tr" TargetMode="External"/><Relationship Id="rId5679" Type="http://schemas.openxmlformats.org/officeDocument/2006/relationships/hyperlink" Target="https://www.google.com/search?q=25655-41-8+SDS+safety+data+sheet+filetype:pdf" TargetMode="External"/><Relationship Id="rId5886" Type="http://schemas.openxmlformats.org/officeDocument/2006/relationships/hyperlink" Target="https://chemicalsafety.ilo.org/dyn/icsc/showcard.display?p_card_id=1525&amp;p_lang=tr" TargetMode="External"/><Relationship Id="rId702" Type="http://schemas.openxmlformats.org/officeDocument/2006/relationships/hyperlink" Target="https://chemicalsafety.ilo.org/dyn/icsc/showcard.display?p_card_id=0176&amp;p_lang=tr" TargetMode="External"/><Relationship Id="rId1125" Type="http://schemas.openxmlformats.org/officeDocument/2006/relationships/hyperlink" Target="https://chemicalsafety.ilo.org/dyn/icsc/showcard.display?p_card_id=0283&amp;p_lang=en" TargetMode="External"/><Relationship Id="rId1332" Type="http://schemas.openxmlformats.org/officeDocument/2006/relationships/hyperlink" Target="https://chem.echa.europa.eu/substance-search?searchText=7696-12-0" TargetMode="External"/><Relationship Id="rId4488" Type="http://schemas.openxmlformats.org/officeDocument/2006/relationships/hyperlink" Target="https://chem.echa.europa.eu/substance-search?searchText=112-27-6" TargetMode="External"/><Relationship Id="rId4695" Type="http://schemas.openxmlformats.org/officeDocument/2006/relationships/hyperlink" Target="https://www.google.com/search?q=382-21-8+SDS+safety+data+sheet+filetype:pdf" TargetMode="External"/><Relationship Id="rId5539" Type="http://schemas.openxmlformats.org/officeDocument/2006/relationships/hyperlink" Target="https://www.google.com/search?q=95-63-6+SDS+safety+data+sheet+filetype:pdf" TargetMode="External"/><Relationship Id="rId3297" Type="http://schemas.openxmlformats.org/officeDocument/2006/relationships/hyperlink" Target="https://chemicalsafety.ilo.org/dyn/icsc/showcard.display?p_card_id=0847&amp;p_lang=en" TargetMode="External"/><Relationship Id="rId4348" Type="http://schemas.openxmlformats.org/officeDocument/2006/relationships/hyperlink" Target="https://chem.echa.europa.eu/substance-search?searchText=101-02-0" TargetMode="External"/><Relationship Id="rId5746" Type="http://schemas.openxmlformats.org/officeDocument/2006/relationships/hyperlink" Target="https://chemicalsafety.ilo.org/dyn/icsc/showcard.display?p_card_id=1490&amp;p_lang=tr" TargetMode="External"/><Relationship Id="rId5953" Type="http://schemas.openxmlformats.org/officeDocument/2006/relationships/hyperlink" Target="https://chemicalsafety.ilo.org/dyn/icsc/showcard.display?p_card_id=1543&amp;p_lang=en" TargetMode="External"/><Relationship Id="rId3157" Type="http://schemas.openxmlformats.org/officeDocument/2006/relationships/hyperlink" Target="https://chemicalsafety.ilo.org/dyn/icsc/showcard.display?p_card_id=0810&amp;p_lang=en" TargetMode="External"/><Relationship Id="rId4555" Type="http://schemas.openxmlformats.org/officeDocument/2006/relationships/hyperlink" Target="https://www.google.com/search?q=100-40-3+SDS+safety+data+sheet+filetype:pdf" TargetMode="External"/><Relationship Id="rId4762" Type="http://schemas.openxmlformats.org/officeDocument/2006/relationships/hyperlink" Target="https://chemicalsafety.ilo.org/dyn/icsc/showcard.display?p_card_id=1233&amp;p_lang=tr" TargetMode="External"/><Relationship Id="rId5606" Type="http://schemas.openxmlformats.org/officeDocument/2006/relationships/hyperlink" Target="https://chemicalsafety.ilo.org/dyn/icsc/showcard.display?p_card_id=1450&amp;p_lang=tr" TargetMode="External"/><Relationship Id="rId5813" Type="http://schemas.openxmlformats.org/officeDocument/2006/relationships/hyperlink" Target="https://chemicalsafety.ilo.org/dyn/icsc/showcard.display?p_card_id=1507&amp;p_lang=en" TargetMode="External"/><Relationship Id="rId285" Type="http://schemas.openxmlformats.org/officeDocument/2006/relationships/hyperlink" Target="https://chemicalsafety.ilo.org/dyn/icsc/showcard.display?p_card_id=0072&amp;p_lang=en" TargetMode="External"/><Relationship Id="rId3364" Type="http://schemas.openxmlformats.org/officeDocument/2006/relationships/hyperlink" Target="https://chem.echa.europa.eu/substance-search?searchText=126-75-0" TargetMode="External"/><Relationship Id="rId3571" Type="http://schemas.openxmlformats.org/officeDocument/2006/relationships/hyperlink" Target="https://www.google.com/search?q=60-24-2+SDS+safety+data+sheet+filetype:pdf" TargetMode="External"/><Relationship Id="rId4208" Type="http://schemas.openxmlformats.org/officeDocument/2006/relationships/hyperlink" Target="https://chem.echa.europa.eu/substance-search?searchText=105-45-3" TargetMode="External"/><Relationship Id="rId4415" Type="http://schemas.openxmlformats.org/officeDocument/2006/relationships/hyperlink" Target="https://www.google.com/search?q=136-78-7+SDS+safety+data+sheet+filetype:pdf" TargetMode="External"/><Relationship Id="rId4622" Type="http://schemas.openxmlformats.org/officeDocument/2006/relationships/hyperlink" Target="https://chemicalsafety.ilo.org/dyn/icsc/showcard.display?p_card_id=1197&amp;p_lang=tr" TargetMode="External"/><Relationship Id="rId492" Type="http://schemas.openxmlformats.org/officeDocument/2006/relationships/hyperlink" Target="https://chem.echa.europa.eu/substance-search?searchText=142844-00-6" TargetMode="External"/><Relationship Id="rId2173" Type="http://schemas.openxmlformats.org/officeDocument/2006/relationships/hyperlink" Target="https://chemicalsafety.ilo.org/dyn/icsc/showcard.display?p_card_id=0555&amp;p_lang=en" TargetMode="External"/><Relationship Id="rId2380" Type="http://schemas.openxmlformats.org/officeDocument/2006/relationships/hyperlink" Target="https://chem.echa.europa.eu/substance-search?searchText=7440-63-3" TargetMode="External"/><Relationship Id="rId3017" Type="http://schemas.openxmlformats.org/officeDocument/2006/relationships/hyperlink" Target="https://chemicalsafety.ilo.org/dyn/icsc/showcard.display?p_card_id=0775&amp;p_lang=en" TargetMode="External"/><Relationship Id="rId3224" Type="http://schemas.openxmlformats.org/officeDocument/2006/relationships/hyperlink" Target="https://chem.echa.europa.eu/substance-search?searchText=86-50-0" TargetMode="External"/><Relationship Id="rId3431" Type="http://schemas.openxmlformats.org/officeDocument/2006/relationships/hyperlink" Target="https://www.google.com/search?q=39300-45-3+SDS+safety+data+sheet+filetype:pdf" TargetMode="External"/><Relationship Id="rId6587" Type="http://schemas.openxmlformats.org/officeDocument/2006/relationships/hyperlink" Target="https://www.google.com/search?q=7775-14-6+SDS+safety+data+sheet+filetype:pdf" TargetMode="External"/><Relationship Id="rId6794" Type="http://schemas.openxmlformats.org/officeDocument/2006/relationships/hyperlink" Target="https://chemicalsafety.ilo.org/dyn/icsc/showcard.display?p_card_id=1771&amp;p_lang=tr" TargetMode="External"/><Relationship Id="rId145" Type="http://schemas.openxmlformats.org/officeDocument/2006/relationships/hyperlink" Target="https://chemicalsafety.ilo.org/dyn/icsc/showcard.display?p_card_id=0037&amp;p_lang=en" TargetMode="External"/><Relationship Id="rId352" Type="http://schemas.openxmlformats.org/officeDocument/2006/relationships/hyperlink" Target="https://chem.echa.europa.eu/substance-search?searchText=75-05-8" TargetMode="External"/><Relationship Id="rId2033" Type="http://schemas.openxmlformats.org/officeDocument/2006/relationships/hyperlink" Target="https://chemicalsafety.ilo.org/dyn/icsc/showcard.display?p_card_id=0518&amp;p_lang=en" TargetMode="External"/><Relationship Id="rId2240" Type="http://schemas.openxmlformats.org/officeDocument/2006/relationships/hyperlink" Target="https://chem.echa.europa.eu/substance-search?searchText=2551-62-4" TargetMode="External"/><Relationship Id="rId5189" Type="http://schemas.openxmlformats.org/officeDocument/2006/relationships/hyperlink" Target="https://chemicalsafety.ilo.org/dyn/icsc/showcard.display?p_card_id=1344&amp;p_lang=en" TargetMode="External"/><Relationship Id="rId5396" Type="http://schemas.openxmlformats.org/officeDocument/2006/relationships/hyperlink" Target="https://chem.echa.europa.eu/substance-search?searchText=10026-24-1" TargetMode="External"/><Relationship Id="rId6447" Type="http://schemas.openxmlformats.org/officeDocument/2006/relationships/hyperlink" Target="https://www.google.com/search?q=115-96-8+SDS+safety+data+sheet+filetype:pdf" TargetMode="External"/><Relationship Id="rId6654" Type="http://schemas.openxmlformats.org/officeDocument/2006/relationships/hyperlink" Target="https://chemicalsafety.ilo.org/dyn/icsc/showcard.display?p_card_id=1735&amp;p_lang=tr" TargetMode="External"/><Relationship Id="rId212" Type="http://schemas.openxmlformats.org/officeDocument/2006/relationships/hyperlink" Target="https://chem.echa.europa.eu/substance-search?searchText=58-89-9" TargetMode="External"/><Relationship Id="rId1799" Type="http://schemas.openxmlformats.org/officeDocument/2006/relationships/hyperlink" Target="https://www.google.com/search?q=1314-34-7+SDS+safety+data+sheet+filetype:pdf" TargetMode="External"/><Relationship Id="rId2100" Type="http://schemas.openxmlformats.org/officeDocument/2006/relationships/hyperlink" Target="https://chem.echa.europa.eu/substance-search?searchText=71-41-0" TargetMode="External"/><Relationship Id="rId5049" Type="http://schemas.openxmlformats.org/officeDocument/2006/relationships/hyperlink" Target="https://chemicalsafety.ilo.org/dyn/icsc/showcard.display?p_card_id=1305&amp;p_lang=en" TargetMode="External"/><Relationship Id="rId5256" Type="http://schemas.openxmlformats.org/officeDocument/2006/relationships/hyperlink" Target="https://chem.echa.europa.eu/substance-search?searchText=51218-45-2" TargetMode="External"/><Relationship Id="rId5463" Type="http://schemas.openxmlformats.org/officeDocument/2006/relationships/hyperlink" Target="https://www.google.com/search?q=123-19-3+SDS+safety+data+sheet+filetype:pdf" TargetMode="External"/><Relationship Id="rId5670" Type="http://schemas.openxmlformats.org/officeDocument/2006/relationships/hyperlink" Target="https://chemicalsafety.ilo.org/dyn/icsc/showcard.display?p_card_id=1469&amp;p_lang=tr" TargetMode="External"/><Relationship Id="rId6307" Type="http://schemas.openxmlformats.org/officeDocument/2006/relationships/hyperlink" Target="https://www.google.com/search?q=121-73-3+SDS+safety+data+sheet+filetype:pdf" TargetMode="External"/><Relationship Id="rId6514" Type="http://schemas.openxmlformats.org/officeDocument/2006/relationships/hyperlink" Target="https://chemicalsafety.ilo.org/dyn/icsc/showcard.display?p_card_id=1699&amp;p_lang=tr" TargetMode="External"/><Relationship Id="rId4065" Type="http://schemas.openxmlformats.org/officeDocument/2006/relationships/hyperlink" Target="https://chemicalsafety.ilo.org/dyn/icsc/showcard.display?p_card_id=1047&amp;p_lang=en" TargetMode="External"/><Relationship Id="rId4272" Type="http://schemas.openxmlformats.org/officeDocument/2006/relationships/hyperlink" Target="https://chem.echa.europa.eu/substance-search?searchText=91-64-5" TargetMode="External"/><Relationship Id="rId5116" Type="http://schemas.openxmlformats.org/officeDocument/2006/relationships/hyperlink" Target="https://chem.echa.europa.eu/substance-search?searchText=7789-75-5" TargetMode="External"/><Relationship Id="rId5323" Type="http://schemas.openxmlformats.org/officeDocument/2006/relationships/hyperlink" Target="https://www.google.com/search?q=10025-82-8+SDS+safety+data+sheet+filetype:pdf" TargetMode="External"/><Relationship Id="rId6721" Type="http://schemas.openxmlformats.org/officeDocument/2006/relationships/hyperlink" Target="https://chemicalsafety.ilo.org/dyn/icsc/showcard.display?p_card_id=1752&amp;p_lang=en" TargetMode="External"/><Relationship Id="rId1659" Type="http://schemas.openxmlformats.org/officeDocument/2006/relationships/hyperlink" Target="https://www.google.com/search?q=74-87-3+SDS+safety+data+sheet+filetype:pdf" TargetMode="External"/><Relationship Id="rId1866" Type="http://schemas.openxmlformats.org/officeDocument/2006/relationships/hyperlink" Target="https://chemicalsafety.ilo.org/dyn/icsc/showcard.display?p_card_id=0473&amp;p_lang=tr" TargetMode="External"/><Relationship Id="rId2917" Type="http://schemas.openxmlformats.org/officeDocument/2006/relationships/hyperlink" Target="https://chemicalsafety.ilo.org/dyn/icsc/showcard.display?p_card_id=0750&amp;p_lang=en" TargetMode="External"/><Relationship Id="rId3081" Type="http://schemas.openxmlformats.org/officeDocument/2006/relationships/hyperlink" Target="https://chemicalsafety.ilo.org/dyn/icsc/showcard.display?p_card_id=0791&amp;p_lang=en" TargetMode="External"/><Relationship Id="rId4132" Type="http://schemas.openxmlformats.org/officeDocument/2006/relationships/hyperlink" Target="https://chem.echa.europa.eu/substance-search?searchText=7646-85-7" TargetMode="External"/><Relationship Id="rId5530" Type="http://schemas.openxmlformats.org/officeDocument/2006/relationships/hyperlink" Target="https://chemicalsafety.ilo.org/dyn/icsc/showcard.display?p_card_id=1431&amp;p_lang=tr" TargetMode="External"/><Relationship Id="rId1519" Type="http://schemas.openxmlformats.org/officeDocument/2006/relationships/hyperlink" Target="https://www.google.com/search?q=17804-35-2+SDS+safety+data+sheet+filetype:pdf" TargetMode="External"/><Relationship Id="rId1726" Type="http://schemas.openxmlformats.org/officeDocument/2006/relationships/hyperlink" Target="https://chemicalsafety.ilo.org/dyn/icsc/showcard.display?p_card_id=0436&amp;p_lang=tr" TargetMode="External"/><Relationship Id="rId1933" Type="http://schemas.openxmlformats.org/officeDocument/2006/relationships/hyperlink" Target="https://chemicalsafety.ilo.org/dyn/icsc/showcard.display?p_card_id=0490&amp;p_lang=en" TargetMode="External"/><Relationship Id="rId6097" Type="http://schemas.openxmlformats.org/officeDocument/2006/relationships/hyperlink" Target="https://chemicalsafety.ilo.org/dyn/icsc/showcard.display?p_card_id=1579&amp;p_lang=en" TargetMode="External"/><Relationship Id="rId18" Type="http://schemas.openxmlformats.org/officeDocument/2006/relationships/hyperlink" Target="https://chemicalsafety.ilo.org/dyn/icsc/showcard.display?p_card_id=0005&amp;p_lang=tr" TargetMode="External"/><Relationship Id="rId3898" Type="http://schemas.openxmlformats.org/officeDocument/2006/relationships/hyperlink" Target="https://chemicalsafety.ilo.org/dyn/icsc/showcard.display?p_card_id=1003&amp;p_lang=tr" TargetMode="External"/><Relationship Id="rId4949" Type="http://schemas.openxmlformats.org/officeDocument/2006/relationships/hyperlink" Target="https://chemicalsafety.ilo.org/dyn/icsc/showcard.display?p_card_id=1280&amp;p_lang=en" TargetMode="External"/><Relationship Id="rId3758" Type="http://schemas.openxmlformats.org/officeDocument/2006/relationships/hyperlink" Target="https://chemicalsafety.ilo.org/dyn/icsc/showcard.display?p_card_id=0963&amp;p_lang=tr" TargetMode="External"/><Relationship Id="rId3965" Type="http://schemas.openxmlformats.org/officeDocument/2006/relationships/hyperlink" Target="https://chemicalsafety.ilo.org/dyn/icsc/showcard.display?p_card_id=1022&amp;p_lang=en" TargetMode="External"/><Relationship Id="rId4809" Type="http://schemas.openxmlformats.org/officeDocument/2006/relationships/hyperlink" Target="https://chemicalsafety.ilo.org/dyn/icsc/showcard.display?p_card_id=1245&amp;p_lang=en" TargetMode="External"/><Relationship Id="rId6164" Type="http://schemas.openxmlformats.org/officeDocument/2006/relationships/hyperlink" Target="https://chem.echa.europa.eu/substance-search?searchText=109-61-5" TargetMode="External"/><Relationship Id="rId6371" Type="http://schemas.openxmlformats.org/officeDocument/2006/relationships/hyperlink" Target="https://www.google.com/search?q=538-07-8+SDS+safety+data+sheet+filetype:pdf" TargetMode="External"/><Relationship Id="rId679" Type="http://schemas.openxmlformats.org/officeDocument/2006/relationships/hyperlink" Target="https://www.google.com/search?q=98-82-8+SDS+safety+data+sheet+filetype:pdf" TargetMode="External"/><Relationship Id="rId886" Type="http://schemas.openxmlformats.org/officeDocument/2006/relationships/hyperlink" Target="https://chemicalsafety.ilo.org/dyn/icsc/showcard.display?p_card_id=0223&amp;p_lang=tr" TargetMode="External"/><Relationship Id="rId2567" Type="http://schemas.openxmlformats.org/officeDocument/2006/relationships/hyperlink" Target="https://www.google.com/search?q=591-76-4+SDS+safety+data+sheet+filetype:pdf" TargetMode="External"/><Relationship Id="rId2774" Type="http://schemas.openxmlformats.org/officeDocument/2006/relationships/hyperlink" Target="https://chemicalsafety.ilo.org/dyn/icsc/showcard.display?p_card_id=0714&amp;p_lang=tr" TargetMode="External"/><Relationship Id="rId3618" Type="http://schemas.openxmlformats.org/officeDocument/2006/relationships/hyperlink" Target="https://chemicalsafety.ilo.org/dyn/icsc/showcard.display?p_card_id=0928&amp;p_lang=tr" TargetMode="External"/><Relationship Id="rId5180" Type="http://schemas.openxmlformats.org/officeDocument/2006/relationships/hyperlink" Target="https://chem.echa.europa.eu/substance-search?searchText=563-47-3" TargetMode="External"/><Relationship Id="rId6024" Type="http://schemas.openxmlformats.org/officeDocument/2006/relationships/hyperlink" Target="https://chem.echa.europa.eu/substance-search?searchText=9004-70-0" TargetMode="External"/><Relationship Id="rId6231" Type="http://schemas.openxmlformats.org/officeDocument/2006/relationships/hyperlink" Target="https://www.google.com/search?q=32534-81-9+SDS+safety+data+sheet+filetype:pdf" TargetMode="External"/><Relationship Id="rId2" Type="http://schemas.openxmlformats.org/officeDocument/2006/relationships/hyperlink" Target="https://chemicalsafety.ilo.org/dyn/icsc/showcard.display?p_card_id=0001&amp;p_lang=tr" TargetMode="External"/><Relationship Id="rId539" Type="http://schemas.openxmlformats.org/officeDocument/2006/relationships/hyperlink" Target="https://www.google.com/search?q=2210-79-9+SDS+safety+data+sheet+filetype:pdf" TargetMode="External"/><Relationship Id="rId746" Type="http://schemas.openxmlformats.org/officeDocument/2006/relationships/hyperlink" Target="https://chemicalsafety.ilo.org/dyn/icsc/showcard.display?p_card_id=0187&amp;p_lang=tr" TargetMode="External"/><Relationship Id="rId1169" Type="http://schemas.openxmlformats.org/officeDocument/2006/relationships/hyperlink" Target="https://chemicalsafety.ilo.org/dyn/icsc/showcard.display?p_card_id=0294&amp;p_lang=en" TargetMode="External"/><Relationship Id="rId1376" Type="http://schemas.openxmlformats.org/officeDocument/2006/relationships/hyperlink" Target="https://chem.echa.europa.eu/substance-search?searchText=552-30-7" TargetMode="External"/><Relationship Id="rId1583" Type="http://schemas.openxmlformats.org/officeDocument/2006/relationships/hyperlink" Target="https://www.google.com/search?q=123-86-4+SDS+safety+data+sheet+filetype:pdf" TargetMode="External"/><Relationship Id="rId2427" Type="http://schemas.openxmlformats.org/officeDocument/2006/relationships/hyperlink" Target="https://www.google.com/search?q=123-05-7+SDS+safety+data+sheet+filetype:pdf" TargetMode="External"/><Relationship Id="rId2981" Type="http://schemas.openxmlformats.org/officeDocument/2006/relationships/hyperlink" Target="https://chemicalsafety.ilo.org/dyn/icsc/showcard.display?p_card_id=0766&amp;p_lang=en" TargetMode="External"/><Relationship Id="rId3825" Type="http://schemas.openxmlformats.org/officeDocument/2006/relationships/hyperlink" Target="https://chemicalsafety.ilo.org/dyn/icsc/showcard.display?p_card_id=0981&amp;p_lang=en" TargetMode="External"/><Relationship Id="rId5040" Type="http://schemas.openxmlformats.org/officeDocument/2006/relationships/hyperlink" Target="https://chem.echa.europa.eu/substance-search?searchText=108-45-2" TargetMode="External"/><Relationship Id="rId953" Type="http://schemas.openxmlformats.org/officeDocument/2006/relationships/hyperlink" Target="https://chemicalsafety.ilo.org/dyn/icsc/showcard.display?p_card_id=0240&amp;p_lang=en" TargetMode="External"/><Relationship Id="rId1029" Type="http://schemas.openxmlformats.org/officeDocument/2006/relationships/hyperlink" Target="https://chemicalsafety.ilo.org/dyn/icsc/showcard.display?p_card_id=0259&amp;p_lang=en" TargetMode="External"/><Relationship Id="rId1236" Type="http://schemas.openxmlformats.org/officeDocument/2006/relationships/hyperlink" Target="https://chem.echa.europa.eu/substance-search?searchText=556-67-2" TargetMode="External"/><Relationship Id="rId1790" Type="http://schemas.openxmlformats.org/officeDocument/2006/relationships/hyperlink" Target="https://chemicalsafety.ilo.org/dyn/icsc/showcard.display?p_card_id=0453&amp;p_lang=tr" TargetMode="External"/><Relationship Id="rId2634" Type="http://schemas.openxmlformats.org/officeDocument/2006/relationships/hyperlink" Target="https://chemicalsafety.ilo.org/dyn/icsc/showcard.display?p_card_id=0676&amp;p_lang=tr" TargetMode="External"/><Relationship Id="rId2841" Type="http://schemas.openxmlformats.org/officeDocument/2006/relationships/hyperlink" Target="https://chemicalsafety.ilo.org/dyn/icsc/showcard.display?p_card_id=0731&amp;p_lang=en" TargetMode="External"/><Relationship Id="rId5997" Type="http://schemas.openxmlformats.org/officeDocument/2006/relationships/hyperlink" Target="https://chemicalsafety.ilo.org/dyn/icsc/showcard.display?p_card_id=1554&amp;p_lang=en" TargetMode="External"/><Relationship Id="rId82" Type="http://schemas.openxmlformats.org/officeDocument/2006/relationships/hyperlink" Target="https://chemicalsafety.ilo.org/dyn/icsc/showcard.display?p_card_id=0021&amp;p_lang=tr" TargetMode="External"/><Relationship Id="rId606" Type="http://schemas.openxmlformats.org/officeDocument/2006/relationships/hyperlink" Target="https://chemicalsafety.ilo.org/dyn/icsc/showcard.display?p_card_id=0152&amp;p_lang=tr" TargetMode="External"/><Relationship Id="rId813" Type="http://schemas.openxmlformats.org/officeDocument/2006/relationships/hyperlink" Target="https://chemicalsafety.ilo.org/dyn/icsc/showcard.display?p_card_id=0204&amp;p_lang=en" TargetMode="External"/><Relationship Id="rId1443" Type="http://schemas.openxmlformats.org/officeDocument/2006/relationships/hyperlink" Target="https://www.google.com/search?q=7664-93-9+SDS+safety+data+sheet+filetype:pdf" TargetMode="External"/><Relationship Id="rId1650" Type="http://schemas.openxmlformats.org/officeDocument/2006/relationships/hyperlink" Target="https://chemicalsafety.ilo.org/dyn/icsc/showcard.display?p_card_id=0417&amp;p_lang=tr" TargetMode="External"/><Relationship Id="rId2701" Type="http://schemas.openxmlformats.org/officeDocument/2006/relationships/hyperlink" Target="https://chemicalsafety.ilo.org/dyn/icsc/showcard.display?p_card_id=0696&amp;p_lang=en" TargetMode="External"/><Relationship Id="rId4599" Type="http://schemas.openxmlformats.org/officeDocument/2006/relationships/hyperlink" Target="https://www.google.com/search?q=25155-30-0+SDS+safety+data+sheet+filetype:pdf" TargetMode="External"/><Relationship Id="rId5857" Type="http://schemas.openxmlformats.org/officeDocument/2006/relationships/hyperlink" Target="https://chemicalsafety.ilo.org/dyn/icsc/showcard.display?p_card_id=1518&amp;p_lang=en" TargetMode="External"/><Relationship Id="rId1303" Type="http://schemas.openxmlformats.org/officeDocument/2006/relationships/hyperlink" Target="https://www.google.com/search?q=60-41-3+SDS+safety+data+sheet+filetype:pdf" TargetMode="External"/><Relationship Id="rId1510" Type="http://schemas.openxmlformats.org/officeDocument/2006/relationships/hyperlink" Target="https://chemicalsafety.ilo.org/dyn/icsc/showcard.display?p_card_id=0380&amp;p_lang=tr" TargetMode="External"/><Relationship Id="rId4459" Type="http://schemas.openxmlformats.org/officeDocument/2006/relationships/hyperlink" Target="https://www.google.com/search?q=78-78-4+SDS+safety+data+sheet+filetype:pdf" TargetMode="External"/><Relationship Id="rId4666" Type="http://schemas.openxmlformats.org/officeDocument/2006/relationships/hyperlink" Target="https://chemicalsafety.ilo.org/dyn/icsc/showcard.display?p_card_id=1209&amp;p_lang=tr" TargetMode="External"/><Relationship Id="rId4873" Type="http://schemas.openxmlformats.org/officeDocument/2006/relationships/hyperlink" Target="https://chemicalsafety.ilo.org/dyn/icsc/showcard.display?p_card_id=1261&amp;p_lang=en" TargetMode="External"/><Relationship Id="rId5717" Type="http://schemas.openxmlformats.org/officeDocument/2006/relationships/hyperlink" Target="https://chemicalsafety.ilo.org/dyn/icsc/showcard.display?p_card_id=1483&amp;p_lang=en" TargetMode="External"/><Relationship Id="rId5924" Type="http://schemas.openxmlformats.org/officeDocument/2006/relationships/hyperlink" Target="https://chem.echa.europa.eu/substance-search?searchText=7440-24-6" TargetMode="External"/><Relationship Id="rId3268" Type="http://schemas.openxmlformats.org/officeDocument/2006/relationships/hyperlink" Target="https://chem.echa.europa.eu/substance-search?searchText=112-07-2" TargetMode="External"/><Relationship Id="rId3475" Type="http://schemas.openxmlformats.org/officeDocument/2006/relationships/hyperlink" Target="https://www.google.com/search?q=50-70-4+SDS+safety+data+sheet+filetype:pdf" TargetMode="External"/><Relationship Id="rId3682" Type="http://schemas.openxmlformats.org/officeDocument/2006/relationships/hyperlink" Target="https://chemicalsafety.ilo.org/dyn/icsc/showcard.display?p_card_id=0944&amp;p_lang=tr" TargetMode="External"/><Relationship Id="rId4319" Type="http://schemas.openxmlformats.org/officeDocument/2006/relationships/hyperlink" Target="https://www.google.com/search?q=7775-09-9+SDS+safety+data+sheet+filetype:pdf" TargetMode="External"/><Relationship Id="rId4526" Type="http://schemas.openxmlformats.org/officeDocument/2006/relationships/hyperlink" Target="https://chemicalsafety.ilo.org/dyn/icsc/showcard.display?p_card_id=1170&amp;p_lang=tr" TargetMode="External"/><Relationship Id="rId4733" Type="http://schemas.openxmlformats.org/officeDocument/2006/relationships/hyperlink" Target="https://chemicalsafety.ilo.org/dyn/icsc/showcard.display?p_card_id=1226&amp;p_lang=en" TargetMode="External"/><Relationship Id="rId4940" Type="http://schemas.openxmlformats.org/officeDocument/2006/relationships/hyperlink" Target="https://chem.echa.europa.eu/substance-search?searchText=10605-21-7" TargetMode="External"/><Relationship Id="rId189" Type="http://schemas.openxmlformats.org/officeDocument/2006/relationships/hyperlink" Target="https://chemicalsafety.ilo.org/dyn/icsc/showcard.display?p_card_id=0048&amp;p_lang=en" TargetMode="External"/><Relationship Id="rId396" Type="http://schemas.openxmlformats.org/officeDocument/2006/relationships/hyperlink" Target="https://chem.echa.europa.eu/substance-search?searchText=1912-24-9" TargetMode="External"/><Relationship Id="rId2077" Type="http://schemas.openxmlformats.org/officeDocument/2006/relationships/hyperlink" Target="https://chemicalsafety.ilo.org/dyn/icsc/showcard.display?p_card_id=0530&amp;p_lang=en" TargetMode="External"/><Relationship Id="rId2284" Type="http://schemas.openxmlformats.org/officeDocument/2006/relationships/hyperlink" Target="https://chem.echa.europa.eu/substance-search?searchText=95-80-7" TargetMode="External"/><Relationship Id="rId2491" Type="http://schemas.openxmlformats.org/officeDocument/2006/relationships/hyperlink" Target="https://www.google.com/search?q=98-54-4+SDS+safety+data+sheet+filetype:pdf" TargetMode="External"/><Relationship Id="rId3128" Type="http://schemas.openxmlformats.org/officeDocument/2006/relationships/hyperlink" Target="https://chem.echa.europa.eu/substance-search?searchText=108-99-6" TargetMode="External"/><Relationship Id="rId3335" Type="http://schemas.openxmlformats.org/officeDocument/2006/relationships/hyperlink" Target="https://www.google.com/search?q=3173-53-3+SDS+safety+data+sheet+filetype:pdf" TargetMode="External"/><Relationship Id="rId3542" Type="http://schemas.openxmlformats.org/officeDocument/2006/relationships/hyperlink" Target="https://chemicalsafety.ilo.org/dyn/icsc/showcard.display?p_card_id=0909&amp;p_lang=tr" TargetMode="External"/><Relationship Id="rId6698" Type="http://schemas.openxmlformats.org/officeDocument/2006/relationships/hyperlink" Target="https://chemicalsafety.ilo.org/dyn/icsc/showcard.display?p_card_id=1746&amp;p_lang=tr" TargetMode="External"/><Relationship Id="rId256" Type="http://schemas.openxmlformats.org/officeDocument/2006/relationships/hyperlink" Target="https://chem.echa.europa.eu/substance-search?searchText=13463-39-3" TargetMode="External"/><Relationship Id="rId463" Type="http://schemas.openxmlformats.org/officeDocument/2006/relationships/hyperlink" Target="https://www.google.com/search?q=10108-64-2+SDS+safety+data+sheet+filetype:pdf" TargetMode="External"/><Relationship Id="rId670" Type="http://schemas.openxmlformats.org/officeDocument/2006/relationships/hyperlink" Target="https://chemicalsafety.ilo.org/dyn/icsc/showcard.display?p_card_id=0168&amp;p_lang=tr" TargetMode="External"/><Relationship Id="rId1093" Type="http://schemas.openxmlformats.org/officeDocument/2006/relationships/hyperlink" Target="https://chemicalsafety.ilo.org/dyn/icsc/showcard.display?p_card_id=0275&amp;p_lang=en" TargetMode="External"/><Relationship Id="rId2144" Type="http://schemas.openxmlformats.org/officeDocument/2006/relationships/hyperlink" Target="https://chem.echa.europa.eu/substance-search?searchText=127-08-2" TargetMode="External"/><Relationship Id="rId2351" Type="http://schemas.openxmlformats.org/officeDocument/2006/relationships/hyperlink" Target="https://www.google.com/search?q=1300-71-6+SDS+safety+data+sheet+filetype:pdf" TargetMode="External"/><Relationship Id="rId3402" Type="http://schemas.openxmlformats.org/officeDocument/2006/relationships/hyperlink" Target="https://chemicalsafety.ilo.org/dyn/icsc/showcard.display?p_card_id=0874&amp;p_lang=tr" TargetMode="External"/><Relationship Id="rId4800" Type="http://schemas.openxmlformats.org/officeDocument/2006/relationships/hyperlink" Target="https://chem.echa.europa.eu/substance-search?searchText=16871-90-2" TargetMode="External"/><Relationship Id="rId6558" Type="http://schemas.openxmlformats.org/officeDocument/2006/relationships/hyperlink" Target="https://chemicalsafety.ilo.org/dyn/icsc/showcard.display?p_card_id=1710&amp;p_lang=tr" TargetMode="External"/><Relationship Id="rId116" Type="http://schemas.openxmlformats.org/officeDocument/2006/relationships/hyperlink" Target="https://chem.echa.europa.eu/substance-search?searchText=7440-47-3" TargetMode="External"/><Relationship Id="rId323" Type="http://schemas.openxmlformats.org/officeDocument/2006/relationships/hyperlink" Target="https://www.google.com/search?q=79-01-6+SDS+safety+data+sheet+filetype:pdf" TargetMode="External"/><Relationship Id="rId530" Type="http://schemas.openxmlformats.org/officeDocument/2006/relationships/hyperlink" Target="https://chemicalsafety.ilo.org/dyn/icsc/showcard.display?p_card_id=0133&amp;p_lang=tr" TargetMode="External"/><Relationship Id="rId1160" Type="http://schemas.openxmlformats.org/officeDocument/2006/relationships/hyperlink" Target="https://chem.echa.europa.eu/substance-search?searchText=74-82-8" TargetMode="External"/><Relationship Id="rId2004" Type="http://schemas.openxmlformats.org/officeDocument/2006/relationships/hyperlink" Target="https://chem.echa.europa.eu/substance-search?searchText=79-20-9" TargetMode="External"/><Relationship Id="rId2211" Type="http://schemas.openxmlformats.org/officeDocument/2006/relationships/hyperlink" Target="https://www.google.com/search?q=7803-62-5+SDS+safety+data+sheet+filetype:pdf" TargetMode="External"/><Relationship Id="rId5367" Type="http://schemas.openxmlformats.org/officeDocument/2006/relationships/hyperlink" Target="https://www.google.com/search?q=25551-13-7+SDS+safety+data+sheet+filetype:pdf" TargetMode="External"/><Relationship Id="rId6765" Type="http://schemas.openxmlformats.org/officeDocument/2006/relationships/hyperlink" Target="https://chemicalsafety.ilo.org/dyn/icsc/showcard.display?p_card_id=1764&amp;p_lang=en" TargetMode="External"/><Relationship Id="rId4176" Type="http://schemas.openxmlformats.org/officeDocument/2006/relationships/hyperlink" Target="https://chem.echa.europa.eu/substance-search?searchText=590-88-5" TargetMode="External"/><Relationship Id="rId5574" Type="http://schemas.openxmlformats.org/officeDocument/2006/relationships/hyperlink" Target="https://chemicalsafety.ilo.org/dyn/icsc/showcard.display?p_card_id=1442&amp;p_lang=tr" TargetMode="External"/><Relationship Id="rId5781" Type="http://schemas.openxmlformats.org/officeDocument/2006/relationships/hyperlink" Target="https://chemicalsafety.ilo.org/dyn/icsc/showcard.display?p_card_id=1499&amp;p_lang=en" TargetMode="External"/><Relationship Id="rId6418" Type="http://schemas.openxmlformats.org/officeDocument/2006/relationships/hyperlink" Target="https://chemicalsafety.ilo.org/dyn/icsc/showcard.display?p_card_id=1670&amp;p_lang=tr" TargetMode="External"/><Relationship Id="rId6625" Type="http://schemas.openxmlformats.org/officeDocument/2006/relationships/hyperlink" Target="https://chemicalsafety.ilo.org/dyn/icsc/showcard.display?p_card_id=1728&amp;p_lang=en" TargetMode="External"/><Relationship Id="rId6832" Type="http://schemas.openxmlformats.org/officeDocument/2006/relationships/hyperlink" Target="https://chem.echa.europa.eu/substance-search?searchText=ZINC+OXIDE+(NANOFORM)" TargetMode="External"/><Relationship Id="rId1020" Type="http://schemas.openxmlformats.org/officeDocument/2006/relationships/hyperlink" Target="https://chem.echa.europa.eu/substance-search?searchText=818-08-6" TargetMode="External"/><Relationship Id="rId1977" Type="http://schemas.openxmlformats.org/officeDocument/2006/relationships/hyperlink" Target="https://chemicalsafety.ilo.org/dyn/icsc/showcard.display?p_card_id=0501&amp;p_lang=en" TargetMode="External"/><Relationship Id="rId4383" Type="http://schemas.openxmlformats.org/officeDocument/2006/relationships/hyperlink" Target="https://www.google.com/search?q=7631-90-5+SDS+safety+data+sheet+filetype:pdf" TargetMode="External"/><Relationship Id="rId4590" Type="http://schemas.openxmlformats.org/officeDocument/2006/relationships/hyperlink" Target="https://chemicalsafety.ilo.org/dyn/icsc/showcard.display?p_card_id=1187&amp;p_lang=tr" TargetMode="External"/><Relationship Id="rId5227" Type="http://schemas.openxmlformats.org/officeDocument/2006/relationships/hyperlink" Target="https://www.google.com/search?q=66104-24-3+SDS+safety+data+sheet+filetype:pdf" TargetMode="External"/><Relationship Id="rId5434" Type="http://schemas.openxmlformats.org/officeDocument/2006/relationships/hyperlink" Target="https://chemicalsafety.ilo.org/dyn/icsc/showcard.display?p_card_id=1407&amp;p_lang=tr" TargetMode="External"/><Relationship Id="rId5641" Type="http://schemas.openxmlformats.org/officeDocument/2006/relationships/hyperlink" Target="https://chemicalsafety.ilo.org/dyn/icsc/showcard.display?p_card_id=1461&amp;p_lang=en" TargetMode="External"/><Relationship Id="rId1837" Type="http://schemas.openxmlformats.org/officeDocument/2006/relationships/hyperlink" Target="https://chemicalsafety.ilo.org/dyn/icsc/showcard.display?p_card_id=0466&amp;p_lang=en" TargetMode="External"/><Relationship Id="rId3192" Type="http://schemas.openxmlformats.org/officeDocument/2006/relationships/hyperlink" Target="https://chem.echa.europa.eu/substance-search?searchText=7783-41-7" TargetMode="External"/><Relationship Id="rId4036" Type="http://schemas.openxmlformats.org/officeDocument/2006/relationships/hyperlink" Target="https://chem.echa.europa.eu/substance-search?searchText=7790-94-5" TargetMode="External"/><Relationship Id="rId4243" Type="http://schemas.openxmlformats.org/officeDocument/2006/relationships/hyperlink" Target="https://www.google.com/search?q=77-47-4+SDS+safety+data+sheet+filetype:pdf" TargetMode="External"/><Relationship Id="rId4450" Type="http://schemas.openxmlformats.org/officeDocument/2006/relationships/hyperlink" Target="https://chemicalsafety.ilo.org/dyn/icsc/showcard.display?p_card_id=1151&amp;p_lang=tr" TargetMode="External"/><Relationship Id="rId5501" Type="http://schemas.openxmlformats.org/officeDocument/2006/relationships/hyperlink" Target="https://chemicalsafety.ilo.org/dyn/icsc/showcard.display?p_card_id=1424&amp;p_lang=en" TargetMode="External"/><Relationship Id="rId3052" Type="http://schemas.openxmlformats.org/officeDocument/2006/relationships/hyperlink" Target="https://chem.echa.europa.eu/substance-search?searchText=7646-79-9" TargetMode="External"/><Relationship Id="rId4103" Type="http://schemas.openxmlformats.org/officeDocument/2006/relationships/hyperlink" Target="https://www.google.com/search?q=628-96-6+SDS+safety+data+sheet+filetype:pdf" TargetMode="External"/><Relationship Id="rId4310" Type="http://schemas.openxmlformats.org/officeDocument/2006/relationships/hyperlink" Target="https://chemicalsafety.ilo.org/dyn/icsc/showcard.display?p_card_id=1115&amp;p_lang=tr" TargetMode="External"/><Relationship Id="rId180" Type="http://schemas.openxmlformats.org/officeDocument/2006/relationships/hyperlink" Target="https://chem.echa.europa.eu/substance-search?searchText=106-93-4" TargetMode="External"/><Relationship Id="rId1904" Type="http://schemas.openxmlformats.org/officeDocument/2006/relationships/hyperlink" Target="https://chem.echa.europa.eu/substance-search?searchText=7681-52-9" TargetMode="External"/><Relationship Id="rId6068" Type="http://schemas.openxmlformats.org/officeDocument/2006/relationships/hyperlink" Target="https://chem.echa.europa.eu/substance-search?searchText=112-25-4" TargetMode="External"/><Relationship Id="rId6275" Type="http://schemas.openxmlformats.org/officeDocument/2006/relationships/hyperlink" Target="https://www.google.com/search?q=119-80-2+SDS+safety+data+sheet+filetype:pdf" TargetMode="External"/><Relationship Id="rId6482" Type="http://schemas.openxmlformats.org/officeDocument/2006/relationships/hyperlink" Target="https://chemicalsafety.ilo.org/dyn/icsc/showcard.display?p_card_id=1686&amp;p_lang=tr" TargetMode="External"/><Relationship Id="rId3869" Type="http://schemas.openxmlformats.org/officeDocument/2006/relationships/hyperlink" Target="https://chemicalsafety.ilo.org/dyn/icsc/showcard.display?p_card_id=0995&amp;p_lang=en" TargetMode="External"/><Relationship Id="rId5084" Type="http://schemas.openxmlformats.org/officeDocument/2006/relationships/hyperlink" Target="https://chem.echa.europa.eu/substance-search?searchText=123-75-1" TargetMode="External"/><Relationship Id="rId5291" Type="http://schemas.openxmlformats.org/officeDocument/2006/relationships/hyperlink" Target="https://www.google.com/search?q=10588-01-9+SDS+safety+data+sheet+filetype:pdf" TargetMode="External"/><Relationship Id="rId6135" Type="http://schemas.openxmlformats.org/officeDocument/2006/relationships/hyperlink" Target="https://www.google.com/search?q=584-08-7+SDS+safety+data+sheet+filetype:pdf" TargetMode="External"/><Relationship Id="rId6342" Type="http://schemas.openxmlformats.org/officeDocument/2006/relationships/hyperlink" Target="https://chemicalsafety.ilo.org/dyn/icsc/showcard.display?p_card_id=1643&amp;p_lang=tr" TargetMode="External"/><Relationship Id="rId997" Type="http://schemas.openxmlformats.org/officeDocument/2006/relationships/hyperlink" Target="https://chemicalsafety.ilo.org/dyn/icsc/showcard.display?p_card_id=0251&amp;p_lang=en" TargetMode="External"/><Relationship Id="rId2678" Type="http://schemas.openxmlformats.org/officeDocument/2006/relationships/hyperlink" Target="https://chemicalsafety.ilo.org/dyn/icsc/showcard.display?p_card_id=0689&amp;p_lang=tr" TargetMode="External"/><Relationship Id="rId2885" Type="http://schemas.openxmlformats.org/officeDocument/2006/relationships/hyperlink" Target="https://chemicalsafety.ilo.org/dyn/icsc/showcard.display?p_card_id=0742&amp;p_lang=en" TargetMode="External"/><Relationship Id="rId3729" Type="http://schemas.openxmlformats.org/officeDocument/2006/relationships/hyperlink" Target="https://chemicalsafety.ilo.org/dyn/icsc/showcard.display?p_card_id=0956&amp;p_lang=en" TargetMode="External"/><Relationship Id="rId3936" Type="http://schemas.openxmlformats.org/officeDocument/2006/relationships/hyperlink" Target="https://chem.echa.europa.eu/substance-search?searchText=100-66-3" TargetMode="External"/><Relationship Id="rId5151" Type="http://schemas.openxmlformats.org/officeDocument/2006/relationships/hyperlink" Target="https://www.google.com/search?q=107-92-6+SDS+safety+data+sheet+filetype:pdf" TargetMode="External"/><Relationship Id="rId857" Type="http://schemas.openxmlformats.org/officeDocument/2006/relationships/hyperlink" Target="https://chemicalsafety.ilo.org/dyn/icsc/showcard.display?p_card_id=0216&amp;p_lang=en" TargetMode="External"/><Relationship Id="rId1487" Type="http://schemas.openxmlformats.org/officeDocument/2006/relationships/hyperlink" Target="https://www.google.com/search?q=109-73-9+SDS+safety+data+sheet+filetype:pdf" TargetMode="External"/><Relationship Id="rId1694" Type="http://schemas.openxmlformats.org/officeDocument/2006/relationships/hyperlink" Target="https://chemicalsafety.ilo.org/dyn/icsc/showcard.display?p_card_id=0428&amp;p_lang=tr" TargetMode="External"/><Relationship Id="rId2538" Type="http://schemas.openxmlformats.org/officeDocument/2006/relationships/hyperlink" Target="https://chemicalsafety.ilo.org/dyn/icsc/showcard.display?p_card_id=0651&amp;p_lang=tr" TargetMode="External"/><Relationship Id="rId2745" Type="http://schemas.openxmlformats.org/officeDocument/2006/relationships/hyperlink" Target="https://chemicalsafety.ilo.org/dyn/icsc/showcard.display?p_card_id=0707&amp;p_lang=en" TargetMode="External"/><Relationship Id="rId2952" Type="http://schemas.openxmlformats.org/officeDocument/2006/relationships/hyperlink" Target="https://chem.echa.europa.eu/substance-search?searchText=2275-23-2" TargetMode="External"/><Relationship Id="rId6202" Type="http://schemas.openxmlformats.org/officeDocument/2006/relationships/hyperlink" Target="https://chemicalsafety.ilo.org/dyn/icsc/showcard.display?p_card_id=1605&amp;p_lang=tr" TargetMode="External"/><Relationship Id="rId717" Type="http://schemas.openxmlformats.org/officeDocument/2006/relationships/hyperlink" Target="https://chemicalsafety.ilo.org/dyn/icsc/showcard.display?p_card_id=0180&amp;p_lang=en" TargetMode="External"/><Relationship Id="rId924" Type="http://schemas.openxmlformats.org/officeDocument/2006/relationships/hyperlink" Target="https://chem.echa.europa.eu/substance-search?searchText=106-97-8" TargetMode="External"/><Relationship Id="rId1347" Type="http://schemas.openxmlformats.org/officeDocument/2006/relationships/hyperlink" Target="https://www.google.com/search?q=13463-67-7+SDS+safety+data+sheet+filetype:pdf" TargetMode="External"/><Relationship Id="rId1554" Type="http://schemas.openxmlformats.org/officeDocument/2006/relationships/hyperlink" Target="https://chemicalsafety.ilo.org/dyn/icsc/showcard.display?p_card_id=0391&amp;p_lang=tr" TargetMode="External"/><Relationship Id="rId1761" Type="http://schemas.openxmlformats.org/officeDocument/2006/relationships/hyperlink" Target="https://chemicalsafety.ilo.org/dyn/icsc/showcard.display?p_card_id=0445&amp;p_lang=en" TargetMode="External"/><Relationship Id="rId2605" Type="http://schemas.openxmlformats.org/officeDocument/2006/relationships/hyperlink" Target="https://chemicalsafety.ilo.org/dyn/icsc/showcard.display?p_card_id=0669&amp;p_lang=en" TargetMode="External"/><Relationship Id="rId2812" Type="http://schemas.openxmlformats.org/officeDocument/2006/relationships/hyperlink" Target="https://chem.echa.europa.eu/substance-search?searchText=78-99-9" TargetMode="External"/><Relationship Id="rId5011" Type="http://schemas.openxmlformats.org/officeDocument/2006/relationships/hyperlink" Target="https://www.google.com/search?q=118-92-3+SDS+safety+data+sheet+filetype:pdf" TargetMode="External"/><Relationship Id="rId5968" Type="http://schemas.openxmlformats.org/officeDocument/2006/relationships/hyperlink" Target="https://chem.echa.europa.eu/substance-search?searchText=35691-65-7" TargetMode="External"/><Relationship Id="rId53" Type="http://schemas.openxmlformats.org/officeDocument/2006/relationships/hyperlink" Target="https://chemicalsafety.ilo.org/dyn/icsc/showcard.display?p_card_id=0014&amp;p_lang=en" TargetMode="External"/><Relationship Id="rId1207" Type="http://schemas.openxmlformats.org/officeDocument/2006/relationships/hyperlink" Target="https://www.google.com/search?q=1338-02-9+SDS+safety+data+sheet+filetype:pdf" TargetMode="External"/><Relationship Id="rId1414" Type="http://schemas.openxmlformats.org/officeDocument/2006/relationships/hyperlink" Target="https://chemicalsafety.ilo.org/dyn/icsc/showcard.display?p_card_id=0355&amp;p_lang=tr" TargetMode="External"/><Relationship Id="rId1621" Type="http://schemas.openxmlformats.org/officeDocument/2006/relationships/hyperlink" Target="https://chemicalsafety.ilo.org/dyn/icsc/showcard.display?p_card_id=0409&amp;p_lang=en" TargetMode="External"/><Relationship Id="rId4777" Type="http://schemas.openxmlformats.org/officeDocument/2006/relationships/hyperlink" Target="https://chemicalsafety.ilo.org/dyn/icsc/showcard.display?p_card_id=1237&amp;p_lang=en" TargetMode="External"/><Relationship Id="rId4984" Type="http://schemas.openxmlformats.org/officeDocument/2006/relationships/hyperlink" Target="https://chem.echa.europa.eu/substance-search?searchText=2499-95-8" TargetMode="External"/><Relationship Id="rId5828" Type="http://schemas.openxmlformats.org/officeDocument/2006/relationships/hyperlink" Target="https://chem.echa.europa.eu/substance-search?searchText=6804-07-5" TargetMode="External"/><Relationship Id="rId3379" Type="http://schemas.openxmlformats.org/officeDocument/2006/relationships/hyperlink" Target="https://www.google.com/search?q=79-43-6+SDS+safety+data+sheet+filetype:pdf" TargetMode="External"/><Relationship Id="rId3586" Type="http://schemas.openxmlformats.org/officeDocument/2006/relationships/hyperlink" Target="https://chemicalsafety.ilo.org/dyn/icsc/showcard.display?p_card_id=0920&amp;p_lang=tr" TargetMode="External"/><Relationship Id="rId3793" Type="http://schemas.openxmlformats.org/officeDocument/2006/relationships/hyperlink" Target="https://chemicalsafety.ilo.org/dyn/icsc/showcard.display?p_card_id=0973&amp;p_lang=en" TargetMode="External"/><Relationship Id="rId4637" Type="http://schemas.openxmlformats.org/officeDocument/2006/relationships/hyperlink" Target="https://chemicalsafety.ilo.org/dyn/icsc/showcard.display?p_card_id=1201&amp;p_lang=en" TargetMode="External"/><Relationship Id="rId2188" Type="http://schemas.openxmlformats.org/officeDocument/2006/relationships/hyperlink" Target="https://chem.echa.europa.eu/substance-search?searchText=123-62-6" TargetMode="External"/><Relationship Id="rId2395" Type="http://schemas.openxmlformats.org/officeDocument/2006/relationships/hyperlink" Target="https://www.google.com/search?q=13477-00-4+SDS+safety+data+sheet+filetype:pdf" TargetMode="External"/><Relationship Id="rId3239" Type="http://schemas.openxmlformats.org/officeDocument/2006/relationships/hyperlink" Target="https://www.google.com/search?q=28553-12-0+SDS+safety+data+sheet+filetype:pdf" TargetMode="External"/><Relationship Id="rId3446" Type="http://schemas.openxmlformats.org/officeDocument/2006/relationships/hyperlink" Target="https://chemicalsafety.ilo.org/dyn/icsc/showcard.display?p_card_id=0885&amp;p_lang=tr" TargetMode="External"/><Relationship Id="rId4844" Type="http://schemas.openxmlformats.org/officeDocument/2006/relationships/hyperlink" Target="https://chem.echa.europa.eu/substance-search?searchText=78-81-9" TargetMode="External"/><Relationship Id="rId367" Type="http://schemas.openxmlformats.org/officeDocument/2006/relationships/hyperlink" Target="https://www.google.com/search?q=107-13-1+SDS+safety+data+sheet+filetype:pdf" TargetMode="External"/><Relationship Id="rId574" Type="http://schemas.openxmlformats.org/officeDocument/2006/relationships/hyperlink" Target="https://chemicalsafety.ilo.org/dyn/icsc/showcard.display?p_card_id=0144&amp;p_lang=tr" TargetMode="External"/><Relationship Id="rId2048" Type="http://schemas.openxmlformats.org/officeDocument/2006/relationships/hyperlink" Target="https://chem.echa.europa.eu/substance-search?searchText=65-31-6" TargetMode="External"/><Relationship Id="rId2255" Type="http://schemas.openxmlformats.org/officeDocument/2006/relationships/hyperlink" Target="https://www.google.com/search?q=75-73-0+SDS+safety+data+sheet+filetype:pdf" TargetMode="External"/><Relationship Id="rId3653" Type="http://schemas.openxmlformats.org/officeDocument/2006/relationships/hyperlink" Target="https://chemicalsafety.ilo.org/dyn/icsc/showcard.display?p_card_id=0937&amp;p_lang=en" TargetMode="External"/><Relationship Id="rId3860" Type="http://schemas.openxmlformats.org/officeDocument/2006/relationships/hyperlink" Target="https://chem.echa.europa.eu/substance-search?searchText=501-53-1" TargetMode="External"/><Relationship Id="rId4704" Type="http://schemas.openxmlformats.org/officeDocument/2006/relationships/hyperlink" Target="https://chem.echa.europa.eu/substance-search?searchText=68-04-2" TargetMode="External"/><Relationship Id="rId4911" Type="http://schemas.openxmlformats.org/officeDocument/2006/relationships/hyperlink" Target="https://www.google.com/search?q=97-90-5+SDS+safety+data+sheet+filetype:pdf" TargetMode="External"/><Relationship Id="rId227" Type="http://schemas.openxmlformats.org/officeDocument/2006/relationships/hyperlink" Target="https://www.google.com/search?q=67-56-1+SDS+safety+data+sheet+filetype:pdf" TargetMode="External"/><Relationship Id="rId781" Type="http://schemas.openxmlformats.org/officeDocument/2006/relationships/hyperlink" Target="https://chemicalsafety.ilo.org/dyn/icsc/showcard.display?p_card_id=0196&amp;p_lang=en" TargetMode="External"/><Relationship Id="rId2462" Type="http://schemas.openxmlformats.org/officeDocument/2006/relationships/hyperlink" Target="https://chemicalsafety.ilo.org/dyn/icsc/showcard.display?p_card_id=0630&amp;p_lang=tr" TargetMode="External"/><Relationship Id="rId3306" Type="http://schemas.openxmlformats.org/officeDocument/2006/relationships/hyperlink" Target="https://chemicalsafety.ilo.org/dyn/icsc/showcard.display?p_card_id=0849&amp;p_lang=tr" TargetMode="External"/><Relationship Id="rId3513" Type="http://schemas.openxmlformats.org/officeDocument/2006/relationships/hyperlink" Target="https://chemicalsafety.ilo.org/dyn/icsc/showcard.display?p_card_id=0902&amp;p_lang=en" TargetMode="External"/><Relationship Id="rId3720" Type="http://schemas.openxmlformats.org/officeDocument/2006/relationships/hyperlink" Target="https://chem.echa.europa.eu/substance-search?searchText=7646-78-8" TargetMode="External"/><Relationship Id="rId6669" Type="http://schemas.openxmlformats.org/officeDocument/2006/relationships/hyperlink" Target="https://chemicalsafety.ilo.org/dyn/icsc/showcard.display?p_card_id=1739&amp;p_lang=en" TargetMode="External"/><Relationship Id="rId434" Type="http://schemas.openxmlformats.org/officeDocument/2006/relationships/hyperlink" Target="https://chemicalsafety.ilo.org/dyn/icsc/showcard.display?p_card_id=0109&amp;p_lang=tr" TargetMode="External"/><Relationship Id="rId641" Type="http://schemas.openxmlformats.org/officeDocument/2006/relationships/hyperlink" Target="https://chemicalsafety.ilo.org/dyn/icsc/showcard.display?p_card_id=0161&amp;p_lang=en" TargetMode="External"/><Relationship Id="rId1064" Type="http://schemas.openxmlformats.org/officeDocument/2006/relationships/hyperlink" Target="https://chem.echa.europa.eu/substance-search?searchText=140-88-5" TargetMode="External"/><Relationship Id="rId1271" Type="http://schemas.openxmlformats.org/officeDocument/2006/relationships/hyperlink" Target="https://www.google.com/search?q=74-98-6+SDS+safety+data+sheet+filetype:pdf" TargetMode="External"/><Relationship Id="rId2115" Type="http://schemas.openxmlformats.org/officeDocument/2006/relationships/hyperlink" Target="https://www.google.com/search?q=122-79-2+SDS+safety+data+sheet+filetype:pdf" TargetMode="External"/><Relationship Id="rId2322" Type="http://schemas.openxmlformats.org/officeDocument/2006/relationships/hyperlink" Target="https://chemicalsafety.ilo.org/dyn/icsc/showcard.display?p_card_id=0593&amp;p_lang=tr" TargetMode="External"/><Relationship Id="rId5478" Type="http://schemas.openxmlformats.org/officeDocument/2006/relationships/hyperlink" Target="https://chemicalsafety.ilo.org/dyn/icsc/showcard.display?p_card_id=1418&amp;p_lang=tr" TargetMode="External"/><Relationship Id="rId5685" Type="http://schemas.openxmlformats.org/officeDocument/2006/relationships/hyperlink" Target="https://chemicalsafety.ilo.org/dyn/icsc/showcard.display?p_card_id=1473&amp;p_lang=en" TargetMode="External"/><Relationship Id="rId5892" Type="http://schemas.openxmlformats.org/officeDocument/2006/relationships/hyperlink" Target="https://chem.echa.europa.eu/substance-search?searchText=712-48-1" TargetMode="External"/><Relationship Id="rId6529" Type="http://schemas.openxmlformats.org/officeDocument/2006/relationships/hyperlink" Target="https://chemicalsafety.ilo.org/dyn/icsc/showcard.display?p_card_id=1703&amp;p_lang=en" TargetMode="External"/><Relationship Id="rId6736" Type="http://schemas.openxmlformats.org/officeDocument/2006/relationships/hyperlink" Target="https://chem.echa.europa.eu/substance-search?searchText=3691-35-8" TargetMode="External"/><Relationship Id="rId501" Type="http://schemas.openxmlformats.org/officeDocument/2006/relationships/hyperlink" Target="https://chemicalsafety.ilo.org/dyn/icsc/showcard.display?p_card_id=0126&amp;p_lang=en" TargetMode="External"/><Relationship Id="rId1131" Type="http://schemas.openxmlformats.org/officeDocument/2006/relationships/hyperlink" Target="https://www.google.com/search?q=7783-07-5+SDS+safety+data+sheet+filetype:pdf" TargetMode="External"/><Relationship Id="rId4287" Type="http://schemas.openxmlformats.org/officeDocument/2006/relationships/hyperlink" Target="https://www.google.com/search?q=554-13-2+SDS+safety+data+sheet+filetype:pdf" TargetMode="External"/><Relationship Id="rId4494" Type="http://schemas.openxmlformats.org/officeDocument/2006/relationships/hyperlink" Target="https://chemicalsafety.ilo.org/dyn/icsc/showcard.display?p_card_id=1162&amp;p_lang=tr" TargetMode="External"/><Relationship Id="rId5338" Type="http://schemas.openxmlformats.org/officeDocument/2006/relationships/hyperlink" Target="https://chemicalsafety.ilo.org/dyn/icsc/showcard.display?p_card_id=1381&amp;p_lang=tr" TargetMode="External"/><Relationship Id="rId5545" Type="http://schemas.openxmlformats.org/officeDocument/2006/relationships/hyperlink" Target="https://chemicalsafety.ilo.org/dyn/icsc/showcard.display?p_card_id=1435&amp;p_lang=en" TargetMode="External"/><Relationship Id="rId5752" Type="http://schemas.openxmlformats.org/officeDocument/2006/relationships/hyperlink" Target="https://chem.echa.europa.eu/substance-search?searchText=109-59-1" TargetMode="External"/><Relationship Id="rId6803" Type="http://schemas.openxmlformats.org/officeDocument/2006/relationships/hyperlink" Target="https://www.google.com/search?q=463-82-1+SDS+safety+data+sheet+filetype:pdf" TargetMode="External"/><Relationship Id="rId3096" Type="http://schemas.openxmlformats.org/officeDocument/2006/relationships/hyperlink" Target="https://chem.echa.europa.eu/substance-search?searchText=98-00-0" TargetMode="External"/><Relationship Id="rId4147" Type="http://schemas.openxmlformats.org/officeDocument/2006/relationships/hyperlink" Target="https://www.google.com/search?q=7758-09-0+SDS+safety+data+sheet+filetype:pdf" TargetMode="External"/><Relationship Id="rId4354" Type="http://schemas.openxmlformats.org/officeDocument/2006/relationships/hyperlink" Target="https://chemicalsafety.ilo.org/dyn/icsc/showcard.display?p_card_id=1126&amp;p_lang=tr" TargetMode="External"/><Relationship Id="rId4561" Type="http://schemas.openxmlformats.org/officeDocument/2006/relationships/hyperlink" Target="https://chemicalsafety.ilo.org/dyn/icsc/showcard.display?p_card_id=1179&amp;p_lang=en" TargetMode="External"/><Relationship Id="rId5405" Type="http://schemas.openxmlformats.org/officeDocument/2006/relationships/hyperlink" Target="https://chemicalsafety.ilo.org/dyn/icsc/showcard.display?p_card_id=1400&amp;p_lang=en" TargetMode="External"/><Relationship Id="rId5612" Type="http://schemas.openxmlformats.org/officeDocument/2006/relationships/hyperlink" Target="https://chem.echa.europa.eu/substance-search?searchText=7778-80-5" TargetMode="External"/><Relationship Id="rId1948" Type="http://schemas.openxmlformats.org/officeDocument/2006/relationships/hyperlink" Target="https://chem.echa.europa.eu/substance-search?searchText=110-97-4" TargetMode="External"/><Relationship Id="rId3163" Type="http://schemas.openxmlformats.org/officeDocument/2006/relationships/hyperlink" Target="https://www.google.com/search?q=13530-65-9+SDS+safety+data+sheet+filetype:pdf" TargetMode="External"/><Relationship Id="rId3370" Type="http://schemas.openxmlformats.org/officeDocument/2006/relationships/hyperlink" Target="https://chemicalsafety.ilo.org/dyn/icsc/showcard.display?p_card_id=0866&amp;p_lang=tr" TargetMode="External"/><Relationship Id="rId4007" Type="http://schemas.openxmlformats.org/officeDocument/2006/relationships/hyperlink" Target="https://www.google.com/search?q=110-85-0+SDS+safety+data+sheet+filetype:pdf" TargetMode="External"/><Relationship Id="rId4214" Type="http://schemas.openxmlformats.org/officeDocument/2006/relationships/hyperlink" Target="https://chemicalsafety.ilo.org/dyn/icsc/showcard.display?p_card_id=1088&amp;p_lang=tr" TargetMode="External"/><Relationship Id="rId4421" Type="http://schemas.openxmlformats.org/officeDocument/2006/relationships/hyperlink" Target="https://chemicalsafety.ilo.org/dyn/icsc/showcard.display?p_card_id=1144&amp;p_lang=en" TargetMode="External"/><Relationship Id="rId291" Type="http://schemas.openxmlformats.org/officeDocument/2006/relationships/hyperlink" Target="https://www.google.com/search?q=100-42-5+SDS+safety+data+sheet+filetype:pdf" TargetMode="External"/><Relationship Id="rId1808" Type="http://schemas.openxmlformats.org/officeDocument/2006/relationships/hyperlink" Target="https://chem.echa.europa.eu/substance-search?searchText=68-12-2" TargetMode="External"/><Relationship Id="rId3023" Type="http://schemas.openxmlformats.org/officeDocument/2006/relationships/hyperlink" Target="https://www.google.com/search?q=7803-52-3+SDS+safety+data+sheet+filetype:pdf" TargetMode="External"/><Relationship Id="rId6179" Type="http://schemas.openxmlformats.org/officeDocument/2006/relationships/hyperlink" Target="https://www.google.com/search?q=868-85-9+SDS+safety+data+sheet+filetype:pdf" TargetMode="External"/><Relationship Id="rId6386" Type="http://schemas.openxmlformats.org/officeDocument/2006/relationships/hyperlink" Target="https://chemicalsafety.ilo.org/dyn/icsc/showcard.display?p_card_id=1661&amp;p_lang=tr" TargetMode="External"/><Relationship Id="rId151" Type="http://schemas.openxmlformats.org/officeDocument/2006/relationships/hyperlink" Target="https://www.google.com/search?q=120-36-5+SDS+safety+data+sheet+filetype:pdf" TargetMode="External"/><Relationship Id="rId3230" Type="http://schemas.openxmlformats.org/officeDocument/2006/relationships/hyperlink" Target="https://chemicalsafety.ilo.org/dyn/icsc/showcard.display?p_card_id=0828&amp;p_lang=tr" TargetMode="External"/><Relationship Id="rId5195" Type="http://schemas.openxmlformats.org/officeDocument/2006/relationships/hyperlink" Target="https://www.google.com/search?q=1806-26-4+SDS+safety+data+sheet+filetype:pdf" TargetMode="External"/><Relationship Id="rId6039" Type="http://schemas.openxmlformats.org/officeDocument/2006/relationships/hyperlink" Target="https://www.google.com/search?q=608-71-9+SDS+safety+data+sheet+filetype:pdf" TargetMode="External"/><Relationship Id="rId6593" Type="http://schemas.openxmlformats.org/officeDocument/2006/relationships/hyperlink" Target="https://chemicalsafety.ilo.org/dyn/icsc/showcard.display?p_card_id=1719&amp;p_lang=en" TargetMode="External"/><Relationship Id="rId2789" Type="http://schemas.openxmlformats.org/officeDocument/2006/relationships/hyperlink" Target="https://chemicalsafety.ilo.org/dyn/icsc/showcard.display?p_card_id=0718&amp;p_lang=en" TargetMode="External"/><Relationship Id="rId2996" Type="http://schemas.openxmlformats.org/officeDocument/2006/relationships/hyperlink" Target="https://chem.echa.europa.eu/substance-search?searchText=12136-45-7" TargetMode="External"/><Relationship Id="rId6246" Type="http://schemas.openxmlformats.org/officeDocument/2006/relationships/hyperlink" Target="https://chemicalsafety.ilo.org/dyn/icsc/showcard.display?p_card_id=1616&amp;p_lang=tr" TargetMode="External"/><Relationship Id="rId6453" Type="http://schemas.openxmlformats.org/officeDocument/2006/relationships/hyperlink" Target="https://chemicalsafety.ilo.org/dyn/icsc/showcard.display?p_card_id=1679&amp;p_lang=en" TargetMode="External"/><Relationship Id="rId6660" Type="http://schemas.openxmlformats.org/officeDocument/2006/relationships/hyperlink" Target="https://chem.echa.europa.eu/substance-search?searchText=299-28-5" TargetMode="External"/><Relationship Id="rId968" Type="http://schemas.openxmlformats.org/officeDocument/2006/relationships/hyperlink" Target="https://chem.echa.europa.eu/substance-search?searchText=108-93-0" TargetMode="External"/><Relationship Id="rId1598" Type="http://schemas.openxmlformats.org/officeDocument/2006/relationships/hyperlink" Target="https://chemicalsafety.ilo.org/dyn/icsc/showcard.display?p_card_id=0403&amp;p_lang=tr" TargetMode="External"/><Relationship Id="rId2649" Type="http://schemas.openxmlformats.org/officeDocument/2006/relationships/hyperlink" Target="https://chemicalsafety.ilo.org/dyn/icsc/showcard.display?p_card_id=0682&amp;p_lang=en" TargetMode="External"/><Relationship Id="rId2856" Type="http://schemas.openxmlformats.org/officeDocument/2006/relationships/hyperlink" Target="https://chem.echa.europa.eu/substance-search?searchText=100-80-1" TargetMode="External"/><Relationship Id="rId3907" Type="http://schemas.openxmlformats.org/officeDocument/2006/relationships/hyperlink" Target="https://www.google.com/search?q=7601-90-3+SDS+safety+data+sheet+filetype:pdf" TargetMode="External"/><Relationship Id="rId5055" Type="http://schemas.openxmlformats.org/officeDocument/2006/relationships/hyperlink" Target="https://www.google.com/search?q=72-43-5+SDS+safety+data+sheet+filetype:pdf" TargetMode="External"/><Relationship Id="rId5262" Type="http://schemas.openxmlformats.org/officeDocument/2006/relationships/hyperlink" Target="https://chemicalsafety.ilo.org/dyn/icsc/showcard.display?p_card_id=1362&amp;p_lang=tr" TargetMode="External"/><Relationship Id="rId6106" Type="http://schemas.openxmlformats.org/officeDocument/2006/relationships/hyperlink" Target="https://chemicalsafety.ilo.org/dyn/icsc/showcard.display?p_card_id=1581&amp;p_lang=tr" TargetMode="External"/><Relationship Id="rId6313" Type="http://schemas.openxmlformats.org/officeDocument/2006/relationships/hyperlink" Target="https://chemicalsafety.ilo.org/dyn/icsc/showcard.display?p_card_id=1635&amp;p_lang=en" TargetMode="External"/><Relationship Id="rId6520" Type="http://schemas.openxmlformats.org/officeDocument/2006/relationships/hyperlink" Target="https://chem.echa.europa.eu/substance-search?searchText=65277-42-1" TargetMode="External"/><Relationship Id="rId97" Type="http://schemas.openxmlformats.org/officeDocument/2006/relationships/hyperlink" Target="https://chemicalsafety.ilo.org/dyn/icsc/showcard.display?p_card_id=0025&amp;p_lang=en" TargetMode="External"/><Relationship Id="rId828" Type="http://schemas.openxmlformats.org/officeDocument/2006/relationships/hyperlink" Target="https://chem.echa.europa.eu/substance-search?searchText=1314-13-2" TargetMode="External"/><Relationship Id="rId1458" Type="http://schemas.openxmlformats.org/officeDocument/2006/relationships/hyperlink" Target="https://chemicalsafety.ilo.org/dyn/icsc/showcard.display?p_card_id=0366&amp;p_lang=tr" TargetMode="External"/><Relationship Id="rId1665" Type="http://schemas.openxmlformats.org/officeDocument/2006/relationships/hyperlink" Target="https://chemicalsafety.ilo.org/dyn/icsc/showcard.display?p_card_id=0421&amp;p_lang=en" TargetMode="External"/><Relationship Id="rId1872" Type="http://schemas.openxmlformats.org/officeDocument/2006/relationships/hyperlink" Target="https://chem.echa.europa.eu/substance-search?searchText=558-13-4" TargetMode="External"/><Relationship Id="rId2509" Type="http://schemas.openxmlformats.org/officeDocument/2006/relationships/hyperlink" Target="https://chemicalsafety.ilo.org/dyn/icsc/showcard.display?p_card_id=0643&amp;p_lang=en" TargetMode="External"/><Relationship Id="rId2716" Type="http://schemas.openxmlformats.org/officeDocument/2006/relationships/hyperlink" Target="https://chem.echa.europa.eu/substance-search?searchText=122-34-9" TargetMode="External"/><Relationship Id="rId4071" Type="http://schemas.openxmlformats.org/officeDocument/2006/relationships/hyperlink" Target="https://www.google.com/search?q=102-82-9+SDS+safety+data+sheet+filetype:pdf" TargetMode="External"/><Relationship Id="rId5122" Type="http://schemas.openxmlformats.org/officeDocument/2006/relationships/hyperlink" Target="https://chemicalsafety.ilo.org/dyn/icsc/showcard.display?p_card_id=1325&amp;p_lang=tr" TargetMode="External"/><Relationship Id="rId1318" Type="http://schemas.openxmlformats.org/officeDocument/2006/relationships/hyperlink" Target="https://chemicalsafety.ilo.org/dyn/icsc/showcard.display?p_card_id=0331&amp;p_lang=tr" TargetMode="External"/><Relationship Id="rId1525" Type="http://schemas.openxmlformats.org/officeDocument/2006/relationships/hyperlink" Target="https://chemicalsafety.ilo.org/dyn/icsc/showcard.display?p_card_id=0384&amp;p_lang=en" TargetMode="External"/><Relationship Id="rId2923" Type="http://schemas.openxmlformats.org/officeDocument/2006/relationships/hyperlink" Target="https://www.google.com/search?q=7758-98-7+SDS+safety+data+sheet+filetype:pdf" TargetMode="External"/><Relationship Id="rId1732" Type="http://schemas.openxmlformats.org/officeDocument/2006/relationships/hyperlink" Target="https://chem.echa.europa.eu/substance-search?searchText=2893-78-9" TargetMode="External"/><Relationship Id="rId4888" Type="http://schemas.openxmlformats.org/officeDocument/2006/relationships/hyperlink" Target="https://chem.echa.europa.eu/substance-search?searchText=116255-48-2" TargetMode="External"/><Relationship Id="rId5939" Type="http://schemas.openxmlformats.org/officeDocument/2006/relationships/hyperlink" Target="https://www.google.com/search?q=7784-30-7+SDS+safety+data+sheet+filetype:pdf" TargetMode="External"/><Relationship Id="rId24" Type="http://schemas.openxmlformats.org/officeDocument/2006/relationships/hyperlink" Target="https://chem.echa.europa.eu/substance-search?searchText=56-38-2" TargetMode="External"/><Relationship Id="rId2299" Type="http://schemas.openxmlformats.org/officeDocument/2006/relationships/hyperlink" Target="https://www.google.com/search?q=2431-50-7+SDS+safety+data+sheet+filetype:pdf" TargetMode="External"/><Relationship Id="rId3697" Type="http://schemas.openxmlformats.org/officeDocument/2006/relationships/hyperlink" Target="https://chemicalsafety.ilo.org/dyn/icsc/showcard.display?p_card_id=0948&amp;p_lang=en" TargetMode="External"/><Relationship Id="rId4748" Type="http://schemas.openxmlformats.org/officeDocument/2006/relationships/hyperlink" Target="https://chem.echa.europa.eu/substance-search?searchText=1330-43-4" TargetMode="External"/><Relationship Id="rId4955" Type="http://schemas.openxmlformats.org/officeDocument/2006/relationships/hyperlink" Target="https://www.google.com/search?q=811-97-2+SDS+safety+data+sheet+filetype:pdf" TargetMode="External"/><Relationship Id="rId3557" Type="http://schemas.openxmlformats.org/officeDocument/2006/relationships/hyperlink" Target="https://chemicalsafety.ilo.org/dyn/icsc/showcard.display?p_card_id=0913&amp;p_lang=en" TargetMode="External"/><Relationship Id="rId3764" Type="http://schemas.openxmlformats.org/officeDocument/2006/relationships/hyperlink" Target="https://chem.echa.europa.eu/substance-search?searchText=26523-78-4" TargetMode="External"/><Relationship Id="rId3971" Type="http://schemas.openxmlformats.org/officeDocument/2006/relationships/hyperlink" Target="https://www.google.com/search?q=72-20-8+SDS+safety+data+sheet+filetype:pdf" TargetMode="External"/><Relationship Id="rId4608" Type="http://schemas.openxmlformats.org/officeDocument/2006/relationships/hyperlink" Target="https://chem.echa.europa.eu/substance-search?searchText=10043-01-3" TargetMode="External"/><Relationship Id="rId4815" Type="http://schemas.openxmlformats.org/officeDocument/2006/relationships/hyperlink" Target="https://www.google.com/search?q=1918-02-1+SDS+safety+data+sheet+filetype:pdf" TargetMode="External"/><Relationship Id="rId6170" Type="http://schemas.openxmlformats.org/officeDocument/2006/relationships/hyperlink" Target="https://chemicalsafety.ilo.org/dyn/icsc/showcard.display?p_card_id=1597&amp;p_lang=tr" TargetMode="External"/><Relationship Id="rId478" Type="http://schemas.openxmlformats.org/officeDocument/2006/relationships/hyperlink" Target="https://chemicalsafety.ilo.org/dyn/icsc/showcard.display?p_card_id=0120&amp;p_lang=tr" TargetMode="External"/><Relationship Id="rId685" Type="http://schemas.openxmlformats.org/officeDocument/2006/relationships/hyperlink" Target="https://chemicalsafety.ilo.org/dyn/icsc/showcard.display?p_card_id=0172&amp;p_lang=en" TargetMode="External"/><Relationship Id="rId892" Type="http://schemas.openxmlformats.org/officeDocument/2006/relationships/hyperlink" Target="https://chem.echa.europa.eu/substance-search?searchText=92-87-5" TargetMode="External"/><Relationship Id="rId2159" Type="http://schemas.openxmlformats.org/officeDocument/2006/relationships/hyperlink" Target="https://www.google.com/search?q=107-98-2+SDS+safety+data+sheet+filetype:pdf" TargetMode="External"/><Relationship Id="rId2366" Type="http://schemas.openxmlformats.org/officeDocument/2006/relationships/hyperlink" Target="https://chemicalsafety.ilo.org/dyn/icsc/showcard.display?p_card_id=0606&amp;p_lang=tr" TargetMode="External"/><Relationship Id="rId2573" Type="http://schemas.openxmlformats.org/officeDocument/2006/relationships/hyperlink" Target="https://chemicalsafety.ilo.org/dyn/icsc/showcard.display?p_card_id=0660&amp;p_lang=en" TargetMode="External"/><Relationship Id="rId2780" Type="http://schemas.openxmlformats.org/officeDocument/2006/relationships/hyperlink" Target="https://chem.echa.europa.eu/substance-search?searchText=7601-89-0" TargetMode="External"/><Relationship Id="rId3417" Type="http://schemas.openxmlformats.org/officeDocument/2006/relationships/hyperlink" Target="https://chemicalsafety.ilo.org/dyn/icsc/showcard.display?p_card_id=0878&amp;p_lang=en" TargetMode="External"/><Relationship Id="rId3624" Type="http://schemas.openxmlformats.org/officeDocument/2006/relationships/hyperlink" Target="https://chem.echa.europa.eu/substance-search?searchText=1836-75-5" TargetMode="External"/><Relationship Id="rId3831" Type="http://schemas.openxmlformats.org/officeDocument/2006/relationships/hyperlink" Target="https://www.google.com/search?q=7783-35-9+SDS+safety+data+sheet+filetype:pdf" TargetMode="External"/><Relationship Id="rId6030" Type="http://schemas.openxmlformats.org/officeDocument/2006/relationships/hyperlink" Target="https://chemicalsafety.ilo.org/dyn/icsc/showcard.display?p_card_id=1562&amp;p_lang=tr" TargetMode="External"/><Relationship Id="rId338" Type="http://schemas.openxmlformats.org/officeDocument/2006/relationships/hyperlink" Target="https://chemicalsafety.ilo.org/dyn/icsc/showcard.display?p_card_id=0085&amp;p_lang=tr" TargetMode="External"/><Relationship Id="rId545" Type="http://schemas.openxmlformats.org/officeDocument/2006/relationships/hyperlink" Target="https://chemicalsafety.ilo.org/dyn/icsc/showcard.display?p_card_id=0137&amp;p_lang=en" TargetMode="External"/><Relationship Id="rId752" Type="http://schemas.openxmlformats.org/officeDocument/2006/relationships/hyperlink" Target="https://chem.echa.europa.eu/substance-search?searchText=122-60-1" TargetMode="External"/><Relationship Id="rId1175" Type="http://schemas.openxmlformats.org/officeDocument/2006/relationships/hyperlink" Target="https://www.google.com/search?q=591-23-1+SDS+safety+data+sheet+filetype:pdf" TargetMode="External"/><Relationship Id="rId1382" Type="http://schemas.openxmlformats.org/officeDocument/2006/relationships/hyperlink" Target="https://chemicalsafety.ilo.org/dyn/icsc/showcard.display?p_card_id=0347&amp;p_lang=tr" TargetMode="External"/><Relationship Id="rId2019" Type="http://schemas.openxmlformats.org/officeDocument/2006/relationships/hyperlink" Target="https://www.google.com/search?q=872-50-4+SDS+safety+data+sheet+filetype:pdf" TargetMode="External"/><Relationship Id="rId2226" Type="http://schemas.openxmlformats.org/officeDocument/2006/relationships/hyperlink" Target="https://chemicalsafety.ilo.org/dyn/icsc/showcard.display?p_card_id=0568&amp;p_lang=tr" TargetMode="External"/><Relationship Id="rId2433" Type="http://schemas.openxmlformats.org/officeDocument/2006/relationships/hyperlink" Target="https://chemicalsafety.ilo.org/dyn/icsc/showcard.display?p_card_id=0623&amp;p_lang=en" TargetMode="External"/><Relationship Id="rId2640" Type="http://schemas.openxmlformats.org/officeDocument/2006/relationships/hyperlink" Target="https://chem.echa.europa.eu/substance-search?searchText=110-01-0" TargetMode="External"/><Relationship Id="rId5589" Type="http://schemas.openxmlformats.org/officeDocument/2006/relationships/hyperlink" Target="https://chemicalsafety.ilo.org/dyn/icsc/showcard.display?p_card_id=1446&amp;p_lang=en" TargetMode="External"/><Relationship Id="rId5796" Type="http://schemas.openxmlformats.org/officeDocument/2006/relationships/hyperlink" Target="https://chem.echa.europa.eu/substance-search?searchText=168316-95-8" TargetMode="External"/><Relationship Id="rId6847" Type="http://schemas.openxmlformats.org/officeDocument/2006/relationships/hyperlink" Target="https://www.google.com/search?q=51580-86-0+SDS+safety+data+sheet+filetype:pdf" TargetMode="External"/><Relationship Id="rId405" Type="http://schemas.openxmlformats.org/officeDocument/2006/relationships/hyperlink" Target="https://chemicalsafety.ilo.org/dyn/icsc/showcard.display?p_card_id=0102&amp;p_lang=en" TargetMode="External"/><Relationship Id="rId612" Type="http://schemas.openxmlformats.org/officeDocument/2006/relationships/hyperlink" Target="https://chem.echa.europa.eu/substance-search?searchText=75-04-7" TargetMode="External"/><Relationship Id="rId1035" Type="http://schemas.openxmlformats.org/officeDocument/2006/relationships/hyperlink" Target="https://www.google.com/search?q=124-40-3+SDS+safety+data+sheet+filetype:pdf" TargetMode="External"/><Relationship Id="rId1242" Type="http://schemas.openxmlformats.org/officeDocument/2006/relationships/hyperlink" Target="https://chemicalsafety.ilo.org/dyn/icsc/showcard.display?p_card_id=0312&amp;p_lang=tr" TargetMode="External"/><Relationship Id="rId2500" Type="http://schemas.openxmlformats.org/officeDocument/2006/relationships/hyperlink" Target="https://chem.echa.europa.eu/substance-search?searchText=79-07-2" TargetMode="External"/><Relationship Id="rId4398" Type="http://schemas.openxmlformats.org/officeDocument/2006/relationships/hyperlink" Target="https://chemicalsafety.ilo.org/dyn/icsc/showcard.display?p_card_id=1138&amp;p_lang=tr" TargetMode="External"/><Relationship Id="rId5449" Type="http://schemas.openxmlformats.org/officeDocument/2006/relationships/hyperlink" Target="https://chemicalsafety.ilo.org/dyn/icsc/showcard.display?p_card_id=1411&amp;p_lang=en" TargetMode="External"/><Relationship Id="rId5656" Type="http://schemas.openxmlformats.org/officeDocument/2006/relationships/hyperlink" Target="https://chem.echa.europa.eu/substance-search?searchText=109-74-0" TargetMode="External"/><Relationship Id="rId1102" Type="http://schemas.openxmlformats.org/officeDocument/2006/relationships/hyperlink" Target="https://chemicalsafety.ilo.org/dyn/icsc/showcard.display?p_card_id=0277&amp;p_lang=tr" TargetMode="External"/><Relationship Id="rId4258" Type="http://schemas.openxmlformats.org/officeDocument/2006/relationships/hyperlink" Target="https://chemicalsafety.ilo.org/dyn/icsc/showcard.display?p_card_id=1100&amp;p_lang=tr" TargetMode="External"/><Relationship Id="rId4465" Type="http://schemas.openxmlformats.org/officeDocument/2006/relationships/hyperlink" Target="https://chemicalsafety.ilo.org/dyn/icsc/showcard.display?p_card_id=1155&amp;p_lang=en" TargetMode="External"/><Relationship Id="rId5309" Type="http://schemas.openxmlformats.org/officeDocument/2006/relationships/hyperlink" Target="https://chemicalsafety.ilo.org/dyn/icsc/showcard.display?p_card_id=1374&amp;p_lang=en" TargetMode="External"/><Relationship Id="rId5863" Type="http://schemas.openxmlformats.org/officeDocument/2006/relationships/hyperlink" Target="https://www.google.com/search?q=87-62-7+SDS+safety+data+sheet+filetype:pdf" TargetMode="External"/><Relationship Id="rId6707" Type="http://schemas.openxmlformats.org/officeDocument/2006/relationships/hyperlink" Target="https://www.google.com/search?q=590-86-3+SDS+safety+data+sheet+filetype:pdf" TargetMode="External"/><Relationship Id="rId3067" Type="http://schemas.openxmlformats.org/officeDocument/2006/relationships/hyperlink" Target="https://www.google.com/search?q=60-57-1+SDS+safety+data+sheet+filetype:pdf" TargetMode="External"/><Relationship Id="rId3274" Type="http://schemas.openxmlformats.org/officeDocument/2006/relationships/hyperlink" Target="https://chemicalsafety.ilo.org/dyn/icsc/showcard.display?p_card_id=0841&amp;p_lang=tr" TargetMode="External"/><Relationship Id="rId4118" Type="http://schemas.openxmlformats.org/officeDocument/2006/relationships/hyperlink" Target="https://chemicalsafety.ilo.org/dyn/icsc/showcard.display?p_card_id=1061&amp;p_lang=tr" TargetMode="External"/><Relationship Id="rId4672" Type="http://schemas.openxmlformats.org/officeDocument/2006/relationships/hyperlink" Target="https://chem.echa.europa.eu/substance-search?searchText=7784-41-0" TargetMode="External"/><Relationship Id="rId5516" Type="http://schemas.openxmlformats.org/officeDocument/2006/relationships/hyperlink" Target="https://chem.echa.europa.eu/substance-search?searchText=107-16-4" TargetMode="External"/><Relationship Id="rId5723" Type="http://schemas.openxmlformats.org/officeDocument/2006/relationships/hyperlink" Target="https://www.google.com/search?q=75-50-3+SDS+safety+data+sheet+filetype:pdf" TargetMode="External"/><Relationship Id="rId5930" Type="http://schemas.openxmlformats.org/officeDocument/2006/relationships/hyperlink" Target="https://chemicalsafety.ilo.org/dyn/icsc/showcard.display?p_card_id=1536&amp;p_lang=tr" TargetMode="External"/><Relationship Id="rId195" Type="http://schemas.openxmlformats.org/officeDocument/2006/relationships/hyperlink" Target="https://www.google.com/search?q=75-45-6+SDS+safety+data+sheet+filetype:pdf" TargetMode="External"/><Relationship Id="rId1919" Type="http://schemas.openxmlformats.org/officeDocument/2006/relationships/hyperlink" Target="https://www.google.com/search?q=75-98-9+SDS+safety+data+sheet+filetype:pdf" TargetMode="External"/><Relationship Id="rId3481" Type="http://schemas.openxmlformats.org/officeDocument/2006/relationships/hyperlink" Target="https://chemicalsafety.ilo.org/dyn/icsc/showcard.display?p_card_id=0894&amp;p_lang=en" TargetMode="External"/><Relationship Id="rId4325" Type="http://schemas.openxmlformats.org/officeDocument/2006/relationships/hyperlink" Target="https://chemicalsafety.ilo.org/dyn/icsc/showcard.display?p_card_id=1119&amp;p_lang=en" TargetMode="External"/><Relationship Id="rId4532" Type="http://schemas.openxmlformats.org/officeDocument/2006/relationships/hyperlink" Target="https://chem.echa.europa.eu/substance-search?searchText=77-58-7" TargetMode="External"/><Relationship Id="rId2083" Type="http://schemas.openxmlformats.org/officeDocument/2006/relationships/hyperlink" Target="https://www.google.com/search?q=608-93-5+SDS+safety+data+sheet+filetype:pdf" TargetMode="External"/><Relationship Id="rId2290" Type="http://schemas.openxmlformats.org/officeDocument/2006/relationships/hyperlink" Target="https://chemicalsafety.ilo.org/dyn/icsc/showcard.display?p_card_id=0585&amp;p_lang=tr" TargetMode="External"/><Relationship Id="rId3134" Type="http://schemas.openxmlformats.org/officeDocument/2006/relationships/hyperlink" Target="https://chemicalsafety.ilo.org/dyn/icsc/showcard.display?p_card_id=0804&amp;p_lang=tr" TargetMode="External"/><Relationship Id="rId3341" Type="http://schemas.openxmlformats.org/officeDocument/2006/relationships/hyperlink" Target="https://chemicalsafety.ilo.org/dyn/icsc/showcard.display?p_card_id=0858&amp;p_lang=en" TargetMode="External"/><Relationship Id="rId6497" Type="http://schemas.openxmlformats.org/officeDocument/2006/relationships/hyperlink" Target="https://chemicalsafety.ilo.org/dyn/icsc/showcard.display?p_card_id=1695&amp;p_lang=en" TargetMode="External"/><Relationship Id="rId262" Type="http://schemas.openxmlformats.org/officeDocument/2006/relationships/hyperlink" Target="https://chemicalsafety.ilo.org/dyn/icsc/showcard.display?p_card_id=0066&amp;p_lang=tr" TargetMode="External"/><Relationship Id="rId2150" Type="http://schemas.openxmlformats.org/officeDocument/2006/relationships/hyperlink" Target="https://chemicalsafety.ilo.org/dyn/icsc/showcard.display?p_card_id=0549&amp;p_lang=tr" TargetMode="External"/><Relationship Id="rId3201" Type="http://schemas.openxmlformats.org/officeDocument/2006/relationships/hyperlink" Target="https://chemicalsafety.ilo.org/dyn/icsc/showcard.display?p_card_id=0821&amp;p_lang=en" TargetMode="External"/><Relationship Id="rId5099" Type="http://schemas.openxmlformats.org/officeDocument/2006/relationships/hyperlink" Target="https://www.google.com/search?q=12070-08-5+SDS+safety+data+sheet+filetype:pdf" TargetMode="External"/><Relationship Id="rId6357" Type="http://schemas.openxmlformats.org/officeDocument/2006/relationships/hyperlink" Target="https://chemicalsafety.ilo.org/dyn/icsc/showcard.display?p_card_id=1652&amp;p_lang=en" TargetMode="External"/><Relationship Id="rId6564" Type="http://schemas.openxmlformats.org/officeDocument/2006/relationships/hyperlink" Target="https://chem.echa.europa.eu/substance-search?searchText=96-23-1" TargetMode="External"/><Relationship Id="rId6771" Type="http://schemas.openxmlformats.org/officeDocument/2006/relationships/hyperlink" Target="https://www.google.com/search?q=112-53-8+SDS+safety+data+sheet+filetype:pdf" TargetMode="External"/><Relationship Id="rId122" Type="http://schemas.openxmlformats.org/officeDocument/2006/relationships/hyperlink" Target="https://chemicalsafety.ilo.org/dyn/icsc/showcard.display?p_card_id=0031&amp;p_lang=tr" TargetMode="External"/><Relationship Id="rId2010" Type="http://schemas.openxmlformats.org/officeDocument/2006/relationships/hyperlink" Target="https://chemicalsafety.ilo.org/dyn/icsc/showcard.display?p_card_id=0509&amp;p_lang=tr" TargetMode="External"/><Relationship Id="rId5166" Type="http://schemas.openxmlformats.org/officeDocument/2006/relationships/hyperlink" Target="https://chemicalsafety.ilo.org/dyn/icsc/showcard.display?p_card_id=1338&amp;p_lang=tr" TargetMode="External"/><Relationship Id="rId5373" Type="http://schemas.openxmlformats.org/officeDocument/2006/relationships/hyperlink" Target="https://chemicalsafety.ilo.org/dyn/icsc/showcard.display?p_card_id=1391&amp;p_lang=en" TargetMode="External"/><Relationship Id="rId5580" Type="http://schemas.openxmlformats.org/officeDocument/2006/relationships/hyperlink" Target="https://chem.echa.europa.eu/substance-search?searchText=111-26-2" TargetMode="External"/><Relationship Id="rId6217" Type="http://schemas.openxmlformats.org/officeDocument/2006/relationships/hyperlink" Target="https://chemicalsafety.ilo.org/dyn/icsc/showcard.display?p_card_id=1609&amp;p_lang=en" TargetMode="External"/><Relationship Id="rId6424" Type="http://schemas.openxmlformats.org/officeDocument/2006/relationships/hyperlink" Target="https://chem.echa.europa.eu/substance-search?searchText=463-56-9" TargetMode="External"/><Relationship Id="rId6631" Type="http://schemas.openxmlformats.org/officeDocument/2006/relationships/hyperlink" Target="https://www.google.com/search?q=75-37-6+SDS+safety+data+sheet+filetype:pdf" TargetMode="External"/><Relationship Id="rId1569" Type="http://schemas.openxmlformats.org/officeDocument/2006/relationships/hyperlink" Target="https://chemicalsafety.ilo.org/dyn/icsc/showcard.display?p_card_id=0396&amp;p_lang=en" TargetMode="External"/><Relationship Id="rId2967" Type="http://schemas.openxmlformats.org/officeDocument/2006/relationships/hyperlink" Target="https://www.google.com/search?q=592-57-4+SDS+safety+data+sheet+filetype:pdf" TargetMode="External"/><Relationship Id="rId4182" Type="http://schemas.openxmlformats.org/officeDocument/2006/relationships/hyperlink" Target="https://chemicalsafety.ilo.org/dyn/icsc/showcard.display?p_card_id=1080&amp;p_lang=tr" TargetMode="External"/><Relationship Id="rId5026" Type="http://schemas.openxmlformats.org/officeDocument/2006/relationships/hyperlink" Target="https://chemicalsafety.ilo.org/dyn/icsc/showcard.display?p_card_id=1299&amp;p_lang=tr" TargetMode="External"/><Relationship Id="rId5233" Type="http://schemas.openxmlformats.org/officeDocument/2006/relationships/hyperlink" Target="https://chemicalsafety.ilo.org/dyn/icsc/showcard.display?p_card_id=1355&amp;p_lang=en" TargetMode="External"/><Relationship Id="rId5440" Type="http://schemas.openxmlformats.org/officeDocument/2006/relationships/hyperlink" Target="https://chem.echa.europa.eu/substance-search?searchText=298-04-4" TargetMode="External"/><Relationship Id="rId939" Type="http://schemas.openxmlformats.org/officeDocument/2006/relationships/hyperlink" Target="https://www.google.com/search?q=107-07-3+SDS+safety+data+sheet+filetype:pdf" TargetMode="External"/><Relationship Id="rId1776" Type="http://schemas.openxmlformats.org/officeDocument/2006/relationships/hyperlink" Target="https://chem.echa.europa.eu/substance-search?searchText=2524-04-1" TargetMode="External"/><Relationship Id="rId1983" Type="http://schemas.openxmlformats.org/officeDocument/2006/relationships/hyperlink" Target="https://www.google.com/search?q=151-21-3+SDS+safety+data+sheet+filetype:pdf" TargetMode="External"/><Relationship Id="rId2827" Type="http://schemas.openxmlformats.org/officeDocument/2006/relationships/hyperlink" Target="https://www.google.com/search?q=121-14-2+SDS+safety+data+sheet+filetype:pdf" TargetMode="External"/><Relationship Id="rId4042" Type="http://schemas.openxmlformats.org/officeDocument/2006/relationships/hyperlink" Target="https://chemicalsafety.ilo.org/dyn/icsc/showcard.display?p_card_id=1041&amp;p_lang=tr" TargetMode="External"/><Relationship Id="rId68" Type="http://schemas.openxmlformats.org/officeDocument/2006/relationships/hyperlink" Target="https://chem.echa.europa.eu/substance-search?searchText=106-99-0" TargetMode="External"/><Relationship Id="rId1429" Type="http://schemas.openxmlformats.org/officeDocument/2006/relationships/hyperlink" Target="https://chemicalsafety.ilo.org/dyn/icsc/showcard.display?p_card_id=0359&amp;p_lang=en" TargetMode="External"/><Relationship Id="rId1636" Type="http://schemas.openxmlformats.org/officeDocument/2006/relationships/hyperlink" Target="https://chem.echa.europa.eu/substance-search?searchText=127-65-1" TargetMode="External"/><Relationship Id="rId1843" Type="http://schemas.openxmlformats.org/officeDocument/2006/relationships/hyperlink" Target="https://www.google.com/search?q=102-06-7+SDS+safety+data+sheet+filetype:pdf" TargetMode="External"/><Relationship Id="rId4999" Type="http://schemas.openxmlformats.org/officeDocument/2006/relationships/hyperlink" Target="https://www.google.com/search?q=103-23-1+SDS+safety+data+sheet+filetype:pdf" TargetMode="External"/><Relationship Id="rId5300" Type="http://schemas.openxmlformats.org/officeDocument/2006/relationships/hyperlink" Target="https://chem.echa.europa.eu/substance-search?searchText=7778-50-9" TargetMode="External"/><Relationship Id="rId1703" Type="http://schemas.openxmlformats.org/officeDocument/2006/relationships/hyperlink" Target="https://www.google.com/search?q=131-17-9+SDS+safety+data+sheet+filetype:pdf" TargetMode="External"/><Relationship Id="rId1910" Type="http://schemas.openxmlformats.org/officeDocument/2006/relationships/hyperlink" Target="https://chemicalsafety.ilo.org/dyn/icsc/showcard.display?p_card_id=0484&amp;p_lang=tr" TargetMode="External"/><Relationship Id="rId4859" Type="http://schemas.openxmlformats.org/officeDocument/2006/relationships/hyperlink" Target="https://www.google.com/search?q=110-00-9+SDS+safety+data+sheet+filetype:pdf" TargetMode="External"/><Relationship Id="rId3668" Type="http://schemas.openxmlformats.org/officeDocument/2006/relationships/hyperlink" Target="https://chem.echa.europa.eu/substance-search?searchText=109-60-4" TargetMode="External"/><Relationship Id="rId3875" Type="http://schemas.openxmlformats.org/officeDocument/2006/relationships/hyperlink" Target="https://www.google.com/search?q=7789-21-1+SDS+safety+data+sheet+filetype:pdf" TargetMode="External"/><Relationship Id="rId4719" Type="http://schemas.openxmlformats.org/officeDocument/2006/relationships/hyperlink" Target="https://www.google.com/search?q=87-61-6+SDS+safety+data+sheet+filetype:pdf" TargetMode="External"/><Relationship Id="rId4926" Type="http://schemas.openxmlformats.org/officeDocument/2006/relationships/hyperlink" Target="https://chemicalsafety.ilo.org/dyn/icsc/showcard.display?p_card_id=1274&amp;p_lang=tr" TargetMode="External"/><Relationship Id="rId6074" Type="http://schemas.openxmlformats.org/officeDocument/2006/relationships/hyperlink" Target="https://chemicalsafety.ilo.org/dyn/icsc/showcard.display?p_card_id=1573&amp;p_lang=tr" TargetMode="External"/><Relationship Id="rId6281" Type="http://schemas.openxmlformats.org/officeDocument/2006/relationships/hyperlink" Target="https://chemicalsafety.ilo.org/dyn/icsc/showcard.display?p_card_id=1626&amp;p_lang=en" TargetMode="External"/><Relationship Id="rId589" Type="http://schemas.openxmlformats.org/officeDocument/2006/relationships/hyperlink" Target="https://chemicalsafety.ilo.org/dyn/icsc/showcard.display?p_card_id=0148&amp;p_lang=en" TargetMode="External"/><Relationship Id="rId796" Type="http://schemas.openxmlformats.org/officeDocument/2006/relationships/hyperlink" Target="https://chem.echa.europa.eu/substance-search?searchText=3383-96-8" TargetMode="External"/><Relationship Id="rId2477" Type="http://schemas.openxmlformats.org/officeDocument/2006/relationships/hyperlink" Target="https://chemicalsafety.ilo.org/dyn/icsc/showcard.display?p_card_id=0634&amp;p_lang=en" TargetMode="External"/><Relationship Id="rId2684" Type="http://schemas.openxmlformats.org/officeDocument/2006/relationships/hyperlink" Target="https://chem.echa.europa.eu/substance-search?searchText=62-73-7" TargetMode="External"/><Relationship Id="rId3528" Type="http://schemas.openxmlformats.org/officeDocument/2006/relationships/hyperlink" Target="https://chem.echa.europa.eu/substance-search?searchText=78-96-6" TargetMode="External"/><Relationship Id="rId3735" Type="http://schemas.openxmlformats.org/officeDocument/2006/relationships/hyperlink" Target="https://www.google.com/search?q=7789-06-2+SDS+safety+data+sheet+filetype:pdf" TargetMode="External"/><Relationship Id="rId5090" Type="http://schemas.openxmlformats.org/officeDocument/2006/relationships/hyperlink" Target="https://chemicalsafety.ilo.org/dyn/icsc/showcard.display?p_card_id=1317&amp;p_lang=tr" TargetMode="External"/><Relationship Id="rId6141" Type="http://schemas.openxmlformats.org/officeDocument/2006/relationships/hyperlink" Target="https://chemicalsafety.ilo.org/dyn/icsc/showcard.display?p_card_id=1590&amp;p_lang=en" TargetMode="External"/><Relationship Id="rId449" Type="http://schemas.openxmlformats.org/officeDocument/2006/relationships/hyperlink" Target="https://chemicalsafety.ilo.org/dyn/icsc/showcard.display?p_card_id=0113&amp;p_lang=en" TargetMode="External"/><Relationship Id="rId656" Type="http://schemas.openxmlformats.org/officeDocument/2006/relationships/hyperlink" Target="https://chem.echa.europa.eu/substance-search?searchText=7722-84-1" TargetMode="External"/><Relationship Id="rId863" Type="http://schemas.openxmlformats.org/officeDocument/2006/relationships/hyperlink" Target="https://www.google.com/search?q=7783-28-0+SDS+safety+data+sheet+filetype:pdf" TargetMode="External"/><Relationship Id="rId1079" Type="http://schemas.openxmlformats.org/officeDocument/2006/relationships/hyperlink" Target="https://www.google.com/search?q=117-81-7+SDS+safety+data+sheet+filetype:pdf" TargetMode="External"/><Relationship Id="rId1286" Type="http://schemas.openxmlformats.org/officeDocument/2006/relationships/hyperlink" Target="https://chemicalsafety.ilo.org/dyn/icsc/showcard.display?p_card_id=0323&amp;p_lang=tr" TargetMode="External"/><Relationship Id="rId1493" Type="http://schemas.openxmlformats.org/officeDocument/2006/relationships/hyperlink" Target="https://chemicalsafety.ilo.org/dyn/icsc/showcard.display?p_card_id=0376&amp;p_lang=en" TargetMode="External"/><Relationship Id="rId2337" Type="http://schemas.openxmlformats.org/officeDocument/2006/relationships/hyperlink" Target="https://chemicalsafety.ilo.org/dyn/icsc/showcard.display?p_card_id=0597&amp;p_lang=en" TargetMode="External"/><Relationship Id="rId2544" Type="http://schemas.openxmlformats.org/officeDocument/2006/relationships/hyperlink" Target="https://chem.echa.europa.eu/substance-search?searchText=126-98-7" TargetMode="External"/><Relationship Id="rId2891" Type="http://schemas.openxmlformats.org/officeDocument/2006/relationships/hyperlink" Target="https://www.google.com/search?q=76-44-8+SDS+safety+data+sheet+filetype:pdf" TargetMode="External"/><Relationship Id="rId3942" Type="http://schemas.openxmlformats.org/officeDocument/2006/relationships/hyperlink" Target="https://chemicalsafety.ilo.org/dyn/icsc/showcard.display?p_card_id=1016&amp;p_lang=tr" TargetMode="External"/><Relationship Id="rId6001" Type="http://schemas.openxmlformats.org/officeDocument/2006/relationships/hyperlink" Target="https://chemicalsafety.ilo.org/dyn/icsc/showcard.display?p_card_id=1555&amp;p_lang=en" TargetMode="External"/><Relationship Id="rId309" Type="http://schemas.openxmlformats.org/officeDocument/2006/relationships/hyperlink" Target="https://chemicalsafety.ilo.org/dyn/icsc/showcard.display?p_card_id=0078&amp;p_lang=en" TargetMode="External"/><Relationship Id="rId516" Type="http://schemas.openxmlformats.org/officeDocument/2006/relationships/hyperlink" Target="https://chem.echa.europa.eu/substance-search?searchText=95-51-2" TargetMode="External"/><Relationship Id="rId1146" Type="http://schemas.openxmlformats.org/officeDocument/2006/relationships/hyperlink" Target="https://chemicalsafety.ilo.org/dyn/icsc/showcard.display?p_card_id=0288&amp;p_lang=tr" TargetMode="External"/><Relationship Id="rId2751" Type="http://schemas.openxmlformats.org/officeDocument/2006/relationships/hyperlink" Target="https://www.google.com/search?q=944-22-9+SDS+safety+data+sheet+filetype:pdf" TargetMode="External"/><Relationship Id="rId3802" Type="http://schemas.openxmlformats.org/officeDocument/2006/relationships/hyperlink" Target="https://chemicalsafety.ilo.org/dyn/icsc/showcard.display?p_card_id=0975&amp;p_lang=tr" TargetMode="External"/><Relationship Id="rId723" Type="http://schemas.openxmlformats.org/officeDocument/2006/relationships/hyperlink" Target="https://www.google.com/search?q=6923-22-4+SDS+safety+data+sheet+filetype:pdf" TargetMode="External"/><Relationship Id="rId930" Type="http://schemas.openxmlformats.org/officeDocument/2006/relationships/hyperlink" Target="https://chemicalsafety.ilo.org/dyn/icsc/showcard.display?p_card_id=0234&amp;p_lang=tr" TargetMode="External"/><Relationship Id="rId1006" Type="http://schemas.openxmlformats.org/officeDocument/2006/relationships/hyperlink" Target="https://chemicalsafety.ilo.org/dyn/icsc/showcard.display?p_card_id=0253&amp;p_lang=tr" TargetMode="External"/><Relationship Id="rId1353" Type="http://schemas.openxmlformats.org/officeDocument/2006/relationships/hyperlink" Target="https://chemicalsafety.ilo.org/dyn/icsc/showcard.display?p_card_id=0340&amp;p_lang=en" TargetMode="External"/><Relationship Id="rId1560" Type="http://schemas.openxmlformats.org/officeDocument/2006/relationships/hyperlink" Target="https://chem.echa.europa.eu/substance-search?searchText=74-97-5" TargetMode="External"/><Relationship Id="rId2404" Type="http://schemas.openxmlformats.org/officeDocument/2006/relationships/hyperlink" Target="https://chem.echa.europa.eu/substance-search?searchText=10326-27-9" TargetMode="External"/><Relationship Id="rId2611" Type="http://schemas.openxmlformats.org/officeDocument/2006/relationships/hyperlink" Target="https://www.google.com/search?q=91-15-6+SDS+safety+data+sheet+filetype:pdf" TargetMode="External"/><Relationship Id="rId5767" Type="http://schemas.openxmlformats.org/officeDocument/2006/relationships/hyperlink" Target="https://www.google.com/search?q=78-94-4+SDS+safety+data+sheet+filetype:pdf" TargetMode="External"/><Relationship Id="rId5974" Type="http://schemas.openxmlformats.org/officeDocument/2006/relationships/hyperlink" Target="https://chemicalsafety.ilo.org/dyn/icsc/showcard.display?p_card_id=1548&amp;p_lang=tr" TargetMode="External"/><Relationship Id="rId6818" Type="http://schemas.openxmlformats.org/officeDocument/2006/relationships/hyperlink" Target="https://chemicalsafety.ilo.org/dyn/icsc/showcard.display?p_card_id=1777&amp;p_lang=tr" TargetMode="External"/><Relationship Id="rId1213" Type="http://schemas.openxmlformats.org/officeDocument/2006/relationships/hyperlink" Target="https://chemicalsafety.ilo.org/dyn/icsc/showcard.display?p_card_id=0305&amp;p_lang=en" TargetMode="External"/><Relationship Id="rId1420" Type="http://schemas.openxmlformats.org/officeDocument/2006/relationships/hyperlink" Target="https://chem.echa.europa.eu/substance-search?searchText=123-92-2" TargetMode="External"/><Relationship Id="rId4369" Type="http://schemas.openxmlformats.org/officeDocument/2006/relationships/hyperlink" Target="https://chemicalsafety.ilo.org/dyn/icsc/showcard.display?p_card_id=1131&amp;p_lang=en" TargetMode="External"/><Relationship Id="rId4576" Type="http://schemas.openxmlformats.org/officeDocument/2006/relationships/hyperlink" Target="https://chem.echa.europa.eu/substance-search?searchText=107-88-0" TargetMode="External"/><Relationship Id="rId4783" Type="http://schemas.openxmlformats.org/officeDocument/2006/relationships/hyperlink" Target="https://www.google.com/search?q=139-13-9+SDS+safety+data+sheet+filetype:pdf" TargetMode="External"/><Relationship Id="rId4990" Type="http://schemas.openxmlformats.org/officeDocument/2006/relationships/hyperlink" Target="https://chemicalsafety.ilo.org/dyn/icsc/showcard.display?p_card_id=1290&amp;p_lang=tr" TargetMode="External"/><Relationship Id="rId5627" Type="http://schemas.openxmlformats.org/officeDocument/2006/relationships/hyperlink" Target="https://www.google.com/search?q=1308-14-1+SDS+safety+data+sheet+filetype:pdf" TargetMode="External"/><Relationship Id="rId5834" Type="http://schemas.openxmlformats.org/officeDocument/2006/relationships/hyperlink" Target="https://chemicalsafety.ilo.org/dyn/icsc/showcard.display?p_card_id=1512&amp;p_lang=tr" TargetMode="External"/><Relationship Id="rId3178" Type="http://schemas.openxmlformats.org/officeDocument/2006/relationships/hyperlink" Target="https://chemicalsafety.ilo.org/dyn/icsc/showcard.display?p_card_id=0815&amp;p_lang=tr" TargetMode="External"/><Relationship Id="rId3385" Type="http://schemas.openxmlformats.org/officeDocument/2006/relationships/hyperlink" Target="https://chemicalsafety.ilo.org/dyn/icsc/showcard.display?p_card_id=0870&amp;p_lang=en" TargetMode="External"/><Relationship Id="rId3592" Type="http://schemas.openxmlformats.org/officeDocument/2006/relationships/hyperlink" Target="https://chem.echa.europa.eu/substance-search?searchText=100-61-8" TargetMode="External"/><Relationship Id="rId4229" Type="http://schemas.openxmlformats.org/officeDocument/2006/relationships/hyperlink" Target="https://chemicalsafety.ilo.org/dyn/icsc/showcard.display?p_card_id=1092&amp;p_lang=en" TargetMode="External"/><Relationship Id="rId4436" Type="http://schemas.openxmlformats.org/officeDocument/2006/relationships/hyperlink" Target="https://chem.echa.europa.eu/substance-search?searchText=998-30-1" TargetMode="External"/><Relationship Id="rId4643" Type="http://schemas.openxmlformats.org/officeDocument/2006/relationships/hyperlink" Target="https://www.google.com/search?q=7446-11-9+SDS+safety+data+sheet+filetype:pdf" TargetMode="External"/><Relationship Id="rId4850" Type="http://schemas.openxmlformats.org/officeDocument/2006/relationships/hyperlink" Target="https://chemicalsafety.ilo.org/dyn/icsc/showcard.display?p_card_id=1255&amp;p_lang=tr" TargetMode="External"/><Relationship Id="rId5901" Type="http://schemas.openxmlformats.org/officeDocument/2006/relationships/hyperlink" Target="https://chemicalsafety.ilo.org/dyn/icsc/showcard.display?p_card_id=1529&amp;p_lang=en" TargetMode="External"/><Relationship Id="rId2194" Type="http://schemas.openxmlformats.org/officeDocument/2006/relationships/hyperlink" Target="https://chemicalsafety.ilo.org/dyn/icsc/showcard.display?p_card_id=0560&amp;p_lang=tr" TargetMode="External"/><Relationship Id="rId3038" Type="http://schemas.openxmlformats.org/officeDocument/2006/relationships/hyperlink" Target="https://chemicalsafety.ilo.org/dyn/icsc/showcard.display?p_card_id=0780&amp;p_lang=tr" TargetMode="External"/><Relationship Id="rId3245" Type="http://schemas.openxmlformats.org/officeDocument/2006/relationships/hyperlink" Target="https://chemicalsafety.ilo.org/dyn/icsc/showcard.display?p_card_id=0833&amp;p_lang=en" TargetMode="External"/><Relationship Id="rId3452" Type="http://schemas.openxmlformats.org/officeDocument/2006/relationships/hyperlink" Target="https://chem.echa.europa.eu/substance-search?searchText=60-00-4" TargetMode="External"/><Relationship Id="rId4503" Type="http://schemas.openxmlformats.org/officeDocument/2006/relationships/hyperlink" Target="https://www.google.com/search?q=1634-04-4+SDS+safety+data+sheet+filetype:pdf" TargetMode="External"/><Relationship Id="rId4710" Type="http://schemas.openxmlformats.org/officeDocument/2006/relationships/hyperlink" Target="https://chemicalsafety.ilo.org/dyn/icsc/showcard.display?p_card_id=1220&amp;p_lang=tr" TargetMode="External"/><Relationship Id="rId166" Type="http://schemas.openxmlformats.org/officeDocument/2006/relationships/hyperlink" Target="https://chemicalsafety.ilo.org/dyn/icsc/showcard.display?p_card_id=0042&amp;p_lang=tr" TargetMode="External"/><Relationship Id="rId373" Type="http://schemas.openxmlformats.org/officeDocument/2006/relationships/hyperlink" Target="https://chemicalsafety.ilo.org/dyn/icsc/showcard.display?p_card_id=0094&amp;p_lang=en" TargetMode="External"/><Relationship Id="rId580" Type="http://schemas.openxmlformats.org/officeDocument/2006/relationships/hyperlink" Target="https://chem.echa.europa.eu/substance-search?searchText=2238-07-5" TargetMode="External"/><Relationship Id="rId2054" Type="http://schemas.openxmlformats.org/officeDocument/2006/relationships/hyperlink" Target="https://chemicalsafety.ilo.org/dyn/icsc/showcard.display?p_card_id=0523&amp;p_lang=tr" TargetMode="External"/><Relationship Id="rId2261" Type="http://schemas.openxmlformats.org/officeDocument/2006/relationships/hyperlink" Target="https://chemicalsafety.ilo.org/dyn/icsc/showcard.display?p_card_id=0577&amp;p_lang=en" TargetMode="External"/><Relationship Id="rId3105" Type="http://schemas.openxmlformats.org/officeDocument/2006/relationships/hyperlink" Target="https://chemicalsafety.ilo.org/dyn/icsc/showcard.display?p_card_id=0797&amp;p_lang=en" TargetMode="External"/><Relationship Id="rId3312" Type="http://schemas.openxmlformats.org/officeDocument/2006/relationships/hyperlink" Target="https://chem.echa.europa.eu/substance-search?searchText=106-48-9" TargetMode="External"/><Relationship Id="rId6468" Type="http://schemas.openxmlformats.org/officeDocument/2006/relationships/hyperlink" Target="https://chem.echa.europa.eu/substance-search?searchText=24934-91-6" TargetMode="External"/><Relationship Id="rId6675" Type="http://schemas.openxmlformats.org/officeDocument/2006/relationships/hyperlink" Target="https://www.google.com/search?q=121-33-5+SDS+safety+data+sheet+filetype:pdf" TargetMode="External"/><Relationship Id="rId233" Type="http://schemas.openxmlformats.org/officeDocument/2006/relationships/hyperlink" Target="https://chemicalsafety.ilo.org/dyn/icsc/showcard.display?p_card_id=0059&amp;p_lang=en" TargetMode="External"/><Relationship Id="rId440" Type="http://schemas.openxmlformats.org/officeDocument/2006/relationships/hyperlink" Target="https://chem.echa.europa.eu/substance-search?searchText=2425-79-8" TargetMode="External"/><Relationship Id="rId1070" Type="http://schemas.openxmlformats.org/officeDocument/2006/relationships/hyperlink" Target="https://chemicalsafety.ilo.org/dyn/icsc/showcard.display?p_card_id=0269&amp;p_lang=tr" TargetMode="External"/><Relationship Id="rId2121" Type="http://schemas.openxmlformats.org/officeDocument/2006/relationships/hyperlink" Target="https://chemicalsafety.ilo.org/dyn/icsc/showcard.display?p_card_id=0541&amp;p_lang=en" TargetMode="External"/><Relationship Id="rId5277" Type="http://schemas.openxmlformats.org/officeDocument/2006/relationships/hyperlink" Target="https://chemicalsafety.ilo.org/dyn/icsc/showcard.display?p_card_id=1366&amp;p_lang=en" TargetMode="External"/><Relationship Id="rId5484" Type="http://schemas.openxmlformats.org/officeDocument/2006/relationships/hyperlink" Target="https://chem.echa.europa.eu/substance-search?searchText=75-61-6" TargetMode="External"/><Relationship Id="rId6328" Type="http://schemas.openxmlformats.org/officeDocument/2006/relationships/hyperlink" Target="https://chem.echa.europa.eu/substance-search?searchText=147-14-8" TargetMode="External"/><Relationship Id="rId300" Type="http://schemas.openxmlformats.org/officeDocument/2006/relationships/hyperlink" Target="https://chem.echa.europa.eu/substance-search?searchText=93-76-5" TargetMode="External"/><Relationship Id="rId4086" Type="http://schemas.openxmlformats.org/officeDocument/2006/relationships/hyperlink" Target="https://chemicalsafety.ilo.org/dyn/icsc/showcard.display?p_card_id=1052&amp;p_lang=tr" TargetMode="External"/><Relationship Id="rId5137" Type="http://schemas.openxmlformats.org/officeDocument/2006/relationships/hyperlink" Target="https://chemicalsafety.ilo.org/dyn/icsc/showcard.display?p_card_id=1331&amp;p_lang=en" TargetMode="External"/><Relationship Id="rId5691" Type="http://schemas.openxmlformats.org/officeDocument/2006/relationships/hyperlink" Target="https://www.google.com/search?q=129-00-0+SDS+safety+data+sheet+filetype:pdf" TargetMode="External"/><Relationship Id="rId6535" Type="http://schemas.openxmlformats.org/officeDocument/2006/relationships/hyperlink" Target="https://www.google.com/search?q=79-92-5+SDS+safety+data+sheet+filetype:pdf" TargetMode="External"/><Relationship Id="rId6742" Type="http://schemas.openxmlformats.org/officeDocument/2006/relationships/hyperlink" Target="https://chemicalsafety.ilo.org/dyn/icsc/showcard.display?p_card_id=1758&amp;p_lang=tr" TargetMode="External"/><Relationship Id="rId1887" Type="http://schemas.openxmlformats.org/officeDocument/2006/relationships/hyperlink" Target="https://www.google.com/search?q=103-11-7+SDS+safety+data+sheet+filetype:pdf" TargetMode="External"/><Relationship Id="rId2938" Type="http://schemas.openxmlformats.org/officeDocument/2006/relationships/hyperlink" Target="https://chemicalsafety.ilo.org/dyn/icsc/showcard.display?p_card_id=0755&amp;p_lang=tr" TargetMode="External"/><Relationship Id="rId4293" Type="http://schemas.openxmlformats.org/officeDocument/2006/relationships/hyperlink" Target="https://chemicalsafety.ilo.org/dyn/icsc/showcard.display?p_card_id=1111&amp;p_lang=en" TargetMode="External"/><Relationship Id="rId5344" Type="http://schemas.openxmlformats.org/officeDocument/2006/relationships/hyperlink" Target="https://chem.echa.europa.eu/substance-search?searchText=64741-65-7" TargetMode="External"/><Relationship Id="rId5551" Type="http://schemas.openxmlformats.org/officeDocument/2006/relationships/hyperlink" Target="https://www.google.com/search?q=28523-86-6+SDS+safety+data+sheet+filetype:pdf" TargetMode="External"/><Relationship Id="rId6602" Type="http://schemas.openxmlformats.org/officeDocument/2006/relationships/hyperlink" Target="https://chemicalsafety.ilo.org/dyn/icsc/showcard.display?p_card_id=1721&amp;p_lang=tr" TargetMode="External"/><Relationship Id="rId1747" Type="http://schemas.openxmlformats.org/officeDocument/2006/relationships/hyperlink" Target="https://www.google.com/search?q=78-87-5+SDS+safety+data+sheet+filetype:pdf" TargetMode="External"/><Relationship Id="rId1954" Type="http://schemas.openxmlformats.org/officeDocument/2006/relationships/hyperlink" Target="https://chemicalsafety.ilo.org/dyn/icsc/showcard.display?p_card_id=0495&amp;p_lang=tr" TargetMode="External"/><Relationship Id="rId4153" Type="http://schemas.openxmlformats.org/officeDocument/2006/relationships/hyperlink" Target="https://chemicalsafety.ilo.org/dyn/icsc/showcard.display?p_card_id=1071&amp;p_lang=en" TargetMode="External"/><Relationship Id="rId4360" Type="http://schemas.openxmlformats.org/officeDocument/2006/relationships/hyperlink" Target="https://chem.echa.europa.eu/substance-search?searchText=10124-43-3" TargetMode="External"/><Relationship Id="rId5204" Type="http://schemas.openxmlformats.org/officeDocument/2006/relationships/hyperlink" Target="https://chem.echa.europa.eu/substance-search?searchText=51-03-6" TargetMode="External"/><Relationship Id="rId5411" Type="http://schemas.openxmlformats.org/officeDocument/2006/relationships/hyperlink" Target="https://www.google.com/search?q=1344-95-2+SDS+safety+data+sheet+filetype:pdf" TargetMode="External"/><Relationship Id="rId39" Type="http://schemas.openxmlformats.org/officeDocument/2006/relationships/hyperlink" Target="https://www.google.com/search?q=107-05-1+SDS+safety+data+sheet+filetype:pdf" TargetMode="External"/><Relationship Id="rId1607" Type="http://schemas.openxmlformats.org/officeDocument/2006/relationships/hyperlink" Target="https://www.google.com/search?q=58-08-2+SDS+safety+data+sheet+filetype:pdf" TargetMode="External"/><Relationship Id="rId1814" Type="http://schemas.openxmlformats.org/officeDocument/2006/relationships/hyperlink" Target="https://chemicalsafety.ilo.org/dyn/icsc/showcard.display?p_card_id=0459&amp;p_lang=tr" TargetMode="External"/><Relationship Id="rId4013" Type="http://schemas.openxmlformats.org/officeDocument/2006/relationships/hyperlink" Target="https://chemicalsafety.ilo.org/dyn/icsc/showcard.display?p_card_id=1034&amp;p_lang=en" TargetMode="External"/><Relationship Id="rId4220" Type="http://schemas.openxmlformats.org/officeDocument/2006/relationships/hyperlink" Target="https://chem.echa.europa.eu/substance-search?searchText=58-90-2" TargetMode="External"/><Relationship Id="rId3779" Type="http://schemas.openxmlformats.org/officeDocument/2006/relationships/hyperlink" Target="https://www.google.com/search?q=78-42-2+SDS+safety+data+sheet+filetype:pdf" TargetMode="External"/><Relationship Id="rId6185" Type="http://schemas.openxmlformats.org/officeDocument/2006/relationships/hyperlink" Target="https://chemicalsafety.ilo.org/dyn/icsc/showcard.display?p_card_id=1601&amp;p_lang=en" TargetMode="External"/><Relationship Id="rId6392" Type="http://schemas.openxmlformats.org/officeDocument/2006/relationships/hyperlink" Target="https://chem.echa.europa.eu/substance-search?searchText=540-73-8" TargetMode="External"/><Relationship Id="rId2588" Type="http://schemas.openxmlformats.org/officeDocument/2006/relationships/hyperlink" Target="https://chem.echa.europa.eu/substance-search?searchText=8008-20-6" TargetMode="External"/><Relationship Id="rId3986" Type="http://schemas.openxmlformats.org/officeDocument/2006/relationships/hyperlink" Target="https://chemicalsafety.ilo.org/dyn/icsc/showcard.display?p_card_id=1027&amp;p_lang=tr" TargetMode="External"/><Relationship Id="rId6045" Type="http://schemas.openxmlformats.org/officeDocument/2006/relationships/hyperlink" Target="https://chemicalsafety.ilo.org/dyn/icsc/showcard.display?p_card_id=1566&amp;p_lang=en" TargetMode="External"/><Relationship Id="rId6252" Type="http://schemas.openxmlformats.org/officeDocument/2006/relationships/hyperlink" Target="https://chem.echa.europa.eu/substance-search?searchText=29911-28-2" TargetMode="External"/><Relationship Id="rId1397" Type="http://schemas.openxmlformats.org/officeDocument/2006/relationships/hyperlink" Target="https://chemicalsafety.ilo.org/dyn/icsc/showcard.display?p_card_id=0351&amp;p_lang=en" TargetMode="External"/><Relationship Id="rId2795" Type="http://schemas.openxmlformats.org/officeDocument/2006/relationships/hyperlink" Target="https://www.google.com/search?q=135-19-3+SDS+safety+data+sheet+filetype:pdf" TargetMode="External"/><Relationship Id="rId3639" Type="http://schemas.openxmlformats.org/officeDocument/2006/relationships/hyperlink" Target="https://www.google.com/search?q=111-65-9+SDS+safety+data+sheet+filetype:pdf" TargetMode="External"/><Relationship Id="rId3846" Type="http://schemas.openxmlformats.org/officeDocument/2006/relationships/hyperlink" Target="https://chemicalsafety.ilo.org/dyn/icsc/showcard.display?p_card_id=0986&amp;p_lang=tr" TargetMode="External"/><Relationship Id="rId5061" Type="http://schemas.openxmlformats.org/officeDocument/2006/relationships/hyperlink" Target="https://chemicalsafety.ilo.org/dyn/icsc/showcard.display?p_card_id=1310&amp;p_lang=en" TargetMode="External"/><Relationship Id="rId6112" Type="http://schemas.openxmlformats.org/officeDocument/2006/relationships/hyperlink" Target="https://chem.echa.europa.eu/substance-search?searchText=119-90-4" TargetMode="External"/><Relationship Id="rId767" Type="http://schemas.openxmlformats.org/officeDocument/2006/relationships/hyperlink" Target="https://www.google.com/search?q=75-56-9+SDS+safety+data+sheet+filetype:pdf" TargetMode="External"/><Relationship Id="rId974" Type="http://schemas.openxmlformats.org/officeDocument/2006/relationships/hyperlink" Target="https://chemicalsafety.ilo.org/dyn/icsc/showcard.display?p_card_id=0245&amp;p_lang=tr" TargetMode="External"/><Relationship Id="rId2448" Type="http://schemas.openxmlformats.org/officeDocument/2006/relationships/hyperlink" Target="https://chem.echa.europa.eu/substance-search?searchText=298-00-0" TargetMode="External"/><Relationship Id="rId2655" Type="http://schemas.openxmlformats.org/officeDocument/2006/relationships/hyperlink" Target="https://www.google.com/search?q=96-18-4+SDS+safety+data+sheet+filetype:pdf" TargetMode="External"/><Relationship Id="rId2862" Type="http://schemas.openxmlformats.org/officeDocument/2006/relationships/hyperlink" Target="https://chemicalsafety.ilo.org/dyn/icsc/showcard.display?p_card_id=0736&amp;p_lang=tr" TargetMode="External"/><Relationship Id="rId3706" Type="http://schemas.openxmlformats.org/officeDocument/2006/relationships/hyperlink" Target="https://chemicalsafety.ilo.org/dyn/icsc/showcard.display?p_card_id=0950&amp;p_lang=tr" TargetMode="External"/><Relationship Id="rId3913" Type="http://schemas.openxmlformats.org/officeDocument/2006/relationships/hyperlink" Target="https://chemicalsafety.ilo.org/dyn/icsc/showcard.display?p_card_id=1008&amp;p_lang=en" TargetMode="External"/><Relationship Id="rId627" Type="http://schemas.openxmlformats.org/officeDocument/2006/relationships/hyperlink" Target="https://www.google.com/search?q=GLASS+WOOL+SDS+safety+data+sheet+filetype:pdf" TargetMode="External"/><Relationship Id="rId834" Type="http://schemas.openxmlformats.org/officeDocument/2006/relationships/hyperlink" Target="https://chemicalsafety.ilo.org/dyn/icsc/showcard.display?p_card_id=0210&amp;p_lang=tr" TargetMode="External"/><Relationship Id="rId1257" Type="http://schemas.openxmlformats.org/officeDocument/2006/relationships/hyperlink" Target="https://chemicalsafety.ilo.org/dyn/icsc/showcard.display?p_card_id=0316&amp;p_lang=en" TargetMode="External"/><Relationship Id="rId1464" Type="http://schemas.openxmlformats.org/officeDocument/2006/relationships/hyperlink" Target="https://chem.echa.europa.eu/substance-search?searchText=141-78-6" TargetMode="External"/><Relationship Id="rId1671" Type="http://schemas.openxmlformats.org/officeDocument/2006/relationships/hyperlink" Target="https://www.google.com/search?q=56-72-4+SDS+safety+data+sheet+filetype:pdf" TargetMode="External"/><Relationship Id="rId2308" Type="http://schemas.openxmlformats.org/officeDocument/2006/relationships/hyperlink" Target="https://chem.echa.europa.eu/substance-search?searchText=933-78-8" TargetMode="External"/><Relationship Id="rId2515" Type="http://schemas.openxmlformats.org/officeDocument/2006/relationships/hyperlink" Target="https://www.google.com/search?q=598-78-7+SDS+safety+data+sheet+filetype:pdf" TargetMode="External"/><Relationship Id="rId2722" Type="http://schemas.openxmlformats.org/officeDocument/2006/relationships/hyperlink" Target="https://chemicalsafety.ilo.org/dyn/icsc/showcard.display?p_card_id=0701&amp;p_lang=tr" TargetMode="External"/><Relationship Id="rId5878" Type="http://schemas.openxmlformats.org/officeDocument/2006/relationships/hyperlink" Target="https://chemicalsafety.ilo.org/dyn/icsc/showcard.display?p_card_id=1523&amp;p_lang=tr" TargetMode="External"/><Relationship Id="rId901" Type="http://schemas.openxmlformats.org/officeDocument/2006/relationships/hyperlink" Target="https://chemicalsafety.ilo.org/dyn/icsc/showcard.display?p_card_id=0227&amp;p_lang=en" TargetMode="External"/><Relationship Id="rId1117" Type="http://schemas.openxmlformats.org/officeDocument/2006/relationships/hyperlink" Target="https://chemicalsafety.ilo.org/dyn/icsc/showcard.display?p_card_id=0281&amp;p_lang=en" TargetMode="External"/><Relationship Id="rId1324" Type="http://schemas.openxmlformats.org/officeDocument/2006/relationships/hyperlink" Target="https://chem.echa.europa.eu/substance-search?searchText=79-34-5" TargetMode="External"/><Relationship Id="rId1531" Type="http://schemas.openxmlformats.org/officeDocument/2006/relationships/hyperlink" Target="https://www.google.com/search?q=56-55-3+SDS+safety+data+sheet+filetype:pdf" TargetMode="External"/><Relationship Id="rId4687" Type="http://schemas.openxmlformats.org/officeDocument/2006/relationships/hyperlink" Target="https://www.google.com/search?q=119-53-9+SDS+safety+data+sheet+filetype:pdf" TargetMode="External"/><Relationship Id="rId4894" Type="http://schemas.openxmlformats.org/officeDocument/2006/relationships/hyperlink" Target="https://chemicalsafety.ilo.org/dyn/icsc/showcard.display?p_card_id=1266&amp;p_lang=tr" TargetMode="External"/><Relationship Id="rId5738" Type="http://schemas.openxmlformats.org/officeDocument/2006/relationships/hyperlink" Target="https://chemicalsafety.ilo.org/dyn/icsc/showcard.display?p_card_id=1488&amp;p_lang=tr" TargetMode="External"/><Relationship Id="rId5945" Type="http://schemas.openxmlformats.org/officeDocument/2006/relationships/hyperlink" Target="https://chemicalsafety.ilo.org/dyn/icsc/showcard.display?p_card_id=1540&amp;p_lang=en" TargetMode="External"/><Relationship Id="rId30" Type="http://schemas.openxmlformats.org/officeDocument/2006/relationships/hyperlink" Target="https://chemicalsafety.ilo.org/dyn/icsc/showcard.display?p_card_id=0008&amp;p_lang=tr" TargetMode="External"/><Relationship Id="rId3289" Type="http://schemas.openxmlformats.org/officeDocument/2006/relationships/hyperlink" Target="https://chemicalsafety.ilo.org/dyn/icsc/showcard.display?p_card_id=0845&amp;p_lang=en" TargetMode="External"/><Relationship Id="rId3496" Type="http://schemas.openxmlformats.org/officeDocument/2006/relationships/hyperlink" Target="https://chem.echa.europa.eu/substance-search?searchText=10046-00-1" TargetMode="External"/><Relationship Id="rId4547" Type="http://schemas.openxmlformats.org/officeDocument/2006/relationships/hyperlink" Target="https://www.google.com/search?q=16731-55-8+SDS+safety+data+sheet+filetype:pdf" TargetMode="External"/><Relationship Id="rId4754" Type="http://schemas.openxmlformats.org/officeDocument/2006/relationships/hyperlink" Target="https://chemicalsafety.ilo.org/dyn/icsc/showcard.display?p_card_id=1231&amp;p_lang=tr" TargetMode="External"/><Relationship Id="rId2098" Type="http://schemas.openxmlformats.org/officeDocument/2006/relationships/hyperlink" Target="https://chemicalsafety.ilo.org/dyn/icsc/showcard.display?p_card_id=0535&amp;p_lang=tr" TargetMode="External"/><Relationship Id="rId3149" Type="http://schemas.openxmlformats.org/officeDocument/2006/relationships/hyperlink" Target="https://chemicalsafety.ilo.org/dyn/icsc/showcard.display?p_card_id=0808&amp;p_lang=en" TargetMode="External"/><Relationship Id="rId3356" Type="http://schemas.openxmlformats.org/officeDocument/2006/relationships/hyperlink" Target="https://chem.echa.europa.eu/substance-search?searchText=8065-48-3" TargetMode="External"/><Relationship Id="rId3563" Type="http://schemas.openxmlformats.org/officeDocument/2006/relationships/hyperlink" Target="https://www.google.com/search?q=1310-66-3+SDS+safety+data+sheet+filetype:pdf" TargetMode="External"/><Relationship Id="rId4407" Type="http://schemas.openxmlformats.org/officeDocument/2006/relationships/hyperlink" Target="https://www.google.com/search?q=7722-88-5+SDS+safety+data+sheet+filetype:pdf" TargetMode="External"/><Relationship Id="rId4961" Type="http://schemas.openxmlformats.org/officeDocument/2006/relationships/hyperlink" Target="https://chemicalsafety.ilo.org/dyn/icsc/showcard.display?p_card_id=1283&amp;p_lang=en" TargetMode="External"/><Relationship Id="rId5805" Type="http://schemas.openxmlformats.org/officeDocument/2006/relationships/hyperlink" Target="https://chemicalsafety.ilo.org/dyn/icsc/showcard.display?p_card_id=1505&amp;p_lang=en" TargetMode="External"/><Relationship Id="rId277" Type="http://schemas.openxmlformats.org/officeDocument/2006/relationships/hyperlink" Target="https://chemicalsafety.ilo.org/dyn/icsc/showcard.display?p_card_id=0070&amp;p_lang=en" TargetMode="External"/><Relationship Id="rId484" Type="http://schemas.openxmlformats.org/officeDocument/2006/relationships/hyperlink" Target="https://chem.echa.europa.eu/substance-search?searchText=63-25-2" TargetMode="External"/><Relationship Id="rId2165" Type="http://schemas.openxmlformats.org/officeDocument/2006/relationships/hyperlink" Target="https://chemicalsafety.ilo.org/dyn/icsc/showcard.display?p_card_id=0553&amp;p_lang=en" TargetMode="External"/><Relationship Id="rId3009" Type="http://schemas.openxmlformats.org/officeDocument/2006/relationships/hyperlink" Target="https://chemicalsafety.ilo.org/dyn/icsc/showcard.display?p_card_id=0773&amp;p_lang=en" TargetMode="External"/><Relationship Id="rId3216" Type="http://schemas.openxmlformats.org/officeDocument/2006/relationships/hyperlink" Target="https://chem.echa.europa.eu/substance-search?searchText=95-55-6" TargetMode="External"/><Relationship Id="rId3770" Type="http://schemas.openxmlformats.org/officeDocument/2006/relationships/hyperlink" Target="https://chemicalsafety.ilo.org/dyn/icsc/showcard.display?p_card_id=0966&amp;p_lang=tr" TargetMode="External"/><Relationship Id="rId4614" Type="http://schemas.openxmlformats.org/officeDocument/2006/relationships/hyperlink" Target="https://chemicalsafety.ilo.org/dyn/icsc/showcard.display?p_card_id=1193&amp;p_lang=tr" TargetMode="External"/><Relationship Id="rId4821" Type="http://schemas.openxmlformats.org/officeDocument/2006/relationships/hyperlink" Target="https://chemicalsafety.ilo.org/dyn/icsc/showcard.display?p_card_id=1248&amp;p_lang=en" TargetMode="External"/><Relationship Id="rId137" Type="http://schemas.openxmlformats.org/officeDocument/2006/relationships/hyperlink" Target="https://chemicalsafety.ilo.org/dyn/icsc/showcard.display?p_card_id=0035&amp;p_lang=en" TargetMode="External"/><Relationship Id="rId344" Type="http://schemas.openxmlformats.org/officeDocument/2006/relationships/hyperlink" Target="https://chem.echa.europa.eu/substance-search?searchText=106-42-3" TargetMode="External"/><Relationship Id="rId691" Type="http://schemas.openxmlformats.org/officeDocument/2006/relationships/hyperlink" Target="https://www.google.com/search?q=12427-38-2+SDS+safety+data+sheet+filetype:pdf" TargetMode="External"/><Relationship Id="rId2025" Type="http://schemas.openxmlformats.org/officeDocument/2006/relationships/hyperlink" Target="https://chemicalsafety.ilo.org/dyn/icsc/showcard.display?p_card_id=0515&amp;p_lang=en" TargetMode="External"/><Relationship Id="rId2372" Type="http://schemas.openxmlformats.org/officeDocument/2006/relationships/hyperlink" Target="https://chem.echa.europa.eu/substance-search?searchText=2807-30-9" TargetMode="External"/><Relationship Id="rId3423" Type="http://schemas.openxmlformats.org/officeDocument/2006/relationships/hyperlink" Target="https://www.google.com/search?q=95-95-4+SDS+safety+data+sheet+filetype:pdf" TargetMode="External"/><Relationship Id="rId3630" Type="http://schemas.openxmlformats.org/officeDocument/2006/relationships/hyperlink" Target="https://chemicalsafety.ilo.org/dyn/icsc/showcard.display?p_card_id=0931&amp;p_lang=tr" TargetMode="External"/><Relationship Id="rId6579" Type="http://schemas.openxmlformats.org/officeDocument/2006/relationships/hyperlink" Target="https://www.google.com/search?q=7758-94-3+SDS+safety+data+sheet+filetype:pdf" TargetMode="External"/><Relationship Id="rId6786" Type="http://schemas.openxmlformats.org/officeDocument/2006/relationships/hyperlink" Target="https://chemicalsafety.ilo.org/dyn/icsc/showcard.display?p_card_id=1769&amp;p_lang=tr" TargetMode="External"/><Relationship Id="rId551" Type="http://schemas.openxmlformats.org/officeDocument/2006/relationships/hyperlink" Target="https://www.google.com/search?q=7782-44-7+SDS+safety+data+sheet+filetype:pdf" TargetMode="External"/><Relationship Id="rId1181" Type="http://schemas.openxmlformats.org/officeDocument/2006/relationships/hyperlink" Target="https://chemicalsafety.ilo.org/dyn/icsc/showcard.display?p_card_id=0297&amp;p_lang=en" TargetMode="External"/><Relationship Id="rId2232" Type="http://schemas.openxmlformats.org/officeDocument/2006/relationships/hyperlink" Target="https://chem.echa.europa.eu/substance-search?searchText=121-57-3" TargetMode="External"/><Relationship Id="rId5388" Type="http://schemas.openxmlformats.org/officeDocument/2006/relationships/hyperlink" Target="https://chem.echa.europa.eu/substance-search?searchText=76-01-7" TargetMode="External"/><Relationship Id="rId5595" Type="http://schemas.openxmlformats.org/officeDocument/2006/relationships/hyperlink" Target="https://www.google.com/search?q=8014-95-7+SDS+safety+data+sheet+filetype:pdf" TargetMode="External"/><Relationship Id="rId6439" Type="http://schemas.openxmlformats.org/officeDocument/2006/relationships/hyperlink" Target="https://www.google.com/search?q=87-90-1+SDS+safety+data+sheet+filetype:pdf" TargetMode="External"/><Relationship Id="rId6646" Type="http://schemas.openxmlformats.org/officeDocument/2006/relationships/hyperlink" Target="https://chemicalsafety.ilo.org/dyn/icsc/showcard.display?p_card_id=1733&amp;p_lang=tr" TargetMode="External"/><Relationship Id="rId204" Type="http://schemas.openxmlformats.org/officeDocument/2006/relationships/hyperlink" Target="https://chem.echa.europa.eu/substance-search?searchText=67-72-1" TargetMode="External"/><Relationship Id="rId411" Type="http://schemas.openxmlformats.org/officeDocument/2006/relationships/hyperlink" Target="https://www.google.com/search?q=65-85-0+SDS+safety+data+sheet+filetype:pdf" TargetMode="External"/><Relationship Id="rId1041" Type="http://schemas.openxmlformats.org/officeDocument/2006/relationships/hyperlink" Target="https://chemicalsafety.ilo.org/dyn/icsc/showcard.display?p_card_id=0262&amp;p_lang=en" TargetMode="External"/><Relationship Id="rId1998" Type="http://schemas.openxmlformats.org/officeDocument/2006/relationships/hyperlink" Target="https://chemicalsafety.ilo.org/dyn/icsc/showcard.display?p_card_id=0506&amp;p_lang=tr" TargetMode="External"/><Relationship Id="rId4197" Type="http://schemas.openxmlformats.org/officeDocument/2006/relationships/hyperlink" Target="https://chemicalsafety.ilo.org/dyn/icsc/showcard.display?p_card_id=1084&amp;p_lang=en" TargetMode="External"/><Relationship Id="rId5248" Type="http://schemas.openxmlformats.org/officeDocument/2006/relationships/hyperlink" Target="https://chem.echa.europa.eu/substance-search?searchText=7085-85-0" TargetMode="External"/><Relationship Id="rId5455" Type="http://schemas.openxmlformats.org/officeDocument/2006/relationships/hyperlink" Target="https://www.google.com/search?q=298-07-7+SDS+safety+data+sheet+filetype:pdf" TargetMode="External"/><Relationship Id="rId5662" Type="http://schemas.openxmlformats.org/officeDocument/2006/relationships/hyperlink" Target="https://chemicalsafety.ilo.org/dyn/icsc/showcard.display?p_card_id=1467&amp;p_lang=tr" TargetMode="External"/><Relationship Id="rId6506" Type="http://schemas.openxmlformats.org/officeDocument/2006/relationships/hyperlink" Target="https://chemicalsafety.ilo.org/dyn/icsc/showcard.display?p_card_id=1697&amp;p_lang=tr" TargetMode="External"/><Relationship Id="rId6713" Type="http://schemas.openxmlformats.org/officeDocument/2006/relationships/hyperlink" Target="https://chemicalsafety.ilo.org/dyn/icsc/showcard.display?p_card_id=1750&amp;p_lang=en" TargetMode="External"/><Relationship Id="rId1858" Type="http://schemas.openxmlformats.org/officeDocument/2006/relationships/hyperlink" Target="https://chemicalsafety.ilo.org/dyn/icsc/showcard.display?p_card_id=0471&amp;p_lang=tr" TargetMode="External"/><Relationship Id="rId4057" Type="http://schemas.openxmlformats.org/officeDocument/2006/relationships/hyperlink" Target="https://chemicalsafety.ilo.org/dyn/icsc/showcard.display?p_card_id=1045&amp;p_lang=en" TargetMode="External"/><Relationship Id="rId4264" Type="http://schemas.openxmlformats.org/officeDocument/2006/relationships/hyperlink" Target="https://chem.echa.europa.eu/substance-search?searchText=100-47-0" TargetMode="External"/><Relationship Id="rId4471" Type="http://schemas.openxmlformats.org/officeDocument/2006/relationships/hyperlink" Target="https://www.google.com/search?q=98-86-2+SDS+safety+data+sheet+filetype:pdf" TargetMode="External"/><Relationship Id="rId5108" Type="http://schemas.openxmlformats.org/officeDocument/2006/relationships/hyperlink" Target="https://chem.echa.europa.eu/substance-search?searchText=12174-11-7" TargetMode="External"/><Relationship Id="rId5315" Type="http://schemas.openxmlformats.org/officeDocument/2006/relationships/hyperlink" Target="https://www.google.com/search?q=89-32-7+SDS+safety+data+sheet+filetype:pdf" TargetMode="External"/><Relationship Id="rId5522" Type="http://schemas.openxmlformats.org/officeDocument/2006/relationships/hyperlink" Target="https://chemicalsafety.ilo.org/dyn/icsc/showcard.display?p_card_id=1429&amp;p_lang=tr" TargetMode="External"/><Relationship Id="rId2909" Type="http://schemas.openxmlformats.org/officeDocument/2006/relationships/hyperlink" Target="https://chemicalsafety.ilo.org/dyn/icsc/showcard.display?p_card_id=0748&amp;p_lang=en" TargetMode="External"/><Relationship Id="rId3073" Type="http://schemas.openxmlformats.org/officeDocument/2006/relationships/hyperlink" Target="https://chemicalsafety.ilo.org/dyn/icsc/showcard.display?p_card_id=0789&amp;p_lang=en" TargetMode="External"/><Relationship Id="rId3280" Type="http://schemas.openxmlformats.org/officeDocument/2006/relationships/hyperlink" Target="https://chem.echa.europa.eu/substance-search?searchText=75-91-2" TargetMode="External"/><Relationship Id="rId4124" Type="http://schemas.openxmlformats.org/officeDocument/2006/relationships/hyperlink" Target="https://chem.echa.europa.eu/substance-search?searchText=115-86-6" TargetMode="External"/><Relationship Id="rId4331" Type="http://schemas.openxmlformats.org/officeDocument/2006/relationships/hyperlink" Target="https://www.google.com/search?q=7632-00-0+SDS+safety+data+sheet+filetype:pdf" TargetMode="External"/><Relationship Id="rId1718" Type="http://schemas.openxmlformats.org/officeDocument/2006/relationships/hyperlink" Target="https://chemicalsafety.ilo.org/dyn/icsc/showcard.display?p_card_id=0434&amp;p_lang=tr" TargetMode="External"/><Relationship Id="rId1925" Type="http://schemas.openxmlformats.org/officeDocument/2006/relationships/hyperlink" Target="https://chemicalsafety.ilo.org/dyn/icsc/showcard.display?p_card_id=0488&amp;p_lang=en" TargetMode="External"/><Relationship Id="rId3140" Type="http://schemas.openxmlformats.org/officeDocument/2006/relationships/hyperlink" Target="https://chem.echa.europa.eu/substance-search?searchText=106-50-3" TargetMode="External"/><Relationship Id="rId6089" Type="http://schemas.openxmlformats.org/officeDocument/2006/relationships/hyperlink" Target="https://chemicalsafety.ilo.org/dyn/icsc/showcard.display?p_card_id=1577&amp;p_lang=en" TargetMode="External"/><Relationship Id="rId6296" Type="http://schemas.openxmlformats.org/officeDocument/2006/relationships/hyperlink" Target="https://chem.echa.europa.eu/substance-search?searchText=503-38-8" TargetMode="External"/><Relationship Id="rId6156" Type="http://schemas.openxmlformats.org/officeDocument/2006/relationships/hyperlink" Target="https://chem.echa.europa.eu/substance-search?searchText=592-34-7" TargetMode="External"/><Relationship Id="rId2699" Type="http://schemas.openxmlformats.org/officeDocument/2006/relationships/hyperlink" Target="https://www.google.com/search?q=50-00-0+SDS+safety+data+sheet+filetype:pdf" TargetMode="External"/><Relationship Id="rId3000" Type="http://schemas.openxmlformats.org/officeDocument/2006/relationships/hyperlink" Target="https://chem.echa.europa.eu/substance-search?searchText=87-66-1" TargetMode="External"/><Relationship Id="rId3957" Type="http://schemas.openxmlformats.org/officeDocument/2006/relationships/hyperlink" Target="https://chemicalsafety.ilo.org/dyn/icsc/showcard.display?p_card_id=1020&amp;p_lang=en" TargetMode="External"/><Relationship Id="rId6363" Type="http://schemas.openxmlformats.org/officeDocument/2006/relationships/hyperlink" Target="https://www.google.com/search?q=1313-59-3+SDS+safety+data+sheet+filetype:pdf" TargetMode="External"/><Relationship Id="rId6570" Type="http://schemas.openxmlformats.org/officeDocument/2006/relationships/hyperlink" Target="https://chemicalsafety.ilo.org/dyn/icsc/showcard.display?p_card_id=1713&amp;p_lang=tr" TargetMode="External"/><Relationship Id="rId878" Type="http://schemas.openxmlformats.org/officeDocument/2006/relationships/hyperlink" Target="https://chemicalsafety.ilo.org/dyn/icsc/showcard.display?p_card_id=0221&amp;p_lang=tr" TargetMode="External"/><Relationship Id="rId2559" Type="http://schemas.openxmlformats.org/officeDocument/2006/relationships/hyperlink" Target="https://www.google.com/search?q=7790-91-2+SDS+safety+data+sheet+filetype:pdf" TargetMode="External"/><Relationship Id="rId2766" Type="http://schemas.openxmlformats.org/officeDocument/2006/relationships/hyperlink" Target="https://chemicalsafety.ilo.org/dyn/icsc/showcard.display?p_card_id=0712&amp;p_lang=tr" TargetMode="External"/><Relationship Id="rId2973" Type="http://schemas.openxmlformats.org/officeDocument/2006/relationships/hyperlink" Target="https://chemicalsafety.ilo.org/dyn/icsc/showcard.display?p_card_id=0764&amp;p_lang=en" TargetMode="External"/><Relationship Id="rId3817" Type="http://schemas.openxmlformats.org/officeDocument/2006/relationships/hyperlink" Target="https://chemicalsafety.ilo.org/dyn/icsc/showcard.display?p_card_id=0979&amp;p_lang=en" TargetMode="External"/><Relationship Id="rId5172" Type="http://schemas.openxmlformats.org/officeDocument/2006/relationships/hyperlink" Target="https://chem.echa.europa.eu/substance-search?searchText=101-83-7" TargetMode="External"/><Relationship Id="rId6016" Type="http://schemas.openxmlformats.org/officeDocument/2006/relationships/hyperlink" Target="https://chem.echa.europa.eu/substance-search?searchText=26571-11-9" TargetMode="External"/><Relationship Id="rId6223" Type="http://schemas.openxmlformats.org/officeDocument/2006/relationships/hyperlink" Target="https://www.google.com/search?q=112-92-5+SDS+safety+data+sheet+filetype:pdf" TargetMode="External"/><Relationship Id="rId6430" Type="http://schemas.openxmlformats.org/officeDocument/2006/relationships/hyperlink" Target="https://chemicalsafety.ilo.org/dyn/icsc/showcard.display?p_card_id=1673&amp;p_lang=tr" TargetMode="External"/><Relationship Id="rId738" Type="http://schemas.openxmlformats.org/officeDocument/2006/relationships/hyperlink" Target="https://chemicalsafety.ilo.org/dyn/icsc/showcard.display?p_card_id=0185&amp;p_lang=tr" TargetMode="External"/><Relationship Id="rId945" Type="http://schemas.openxmlformats.org/officeDocument/2006/relationships/hyperlink" Target="https://chemicalsafety.ilo.org/dyn/icsc/showcard.display?p_card_id=0238&amp;p_lang=en" TargetMode="External"/><Relationship Id="rId1368" Type="http://schemas.openxmlformats.org/officeDocument/2006/relationships/hyperlink" Target="https://chem.echa.europa.eu/substance-search?searchText=106-49-0" TargetMode="External"/><Relationship Id="rId1575" Type="http://schemas.openxmlformats.org/officeDocument/2006/relationships/hyperlink" Target="https://www.google.com/search?q=590-18-1+SDS+safety+data+sheet+filetype:pdf" TargetMode="External"/><Relationship Id="rId1782" Type="http://schemas.openxmlformats.org/officeDocument/2006/relationships/hyperlink" Target="https://chemicalsafety.ilo.org/dyn/icsc/showcard.display?p_card_id=0450&amp;p_lang=tr" TargetMode="External"/><Relationship Id="rId2419" Type="http://schemas.openxmlformats.org/officeDocument/2006/relationships/hyperlink" Target="https://www.google.com/search?q=111-46-6+SDS+safety+data+sheet+filetype:pdf" TargetMode="External"/><Relationship Id="rId2626" Type="http://schemas.openxmlformats.org/officeDocument/2006/relationships/hyperlink" Target="https://chemicalsafety.ilo.org/dyn/icsc/showcard.display?p_card_id=0674&amp;p_lang=tr" TargetMode="External"/><Relationship Id="rId2833" Type="http://schemas.openxmlformats.org/officeDocument/2006/relationships/hyperlink" Target="https://chemicalsafety.ilo.org/dyn/icsc/showcard.display?p_card_id=0729&amp;p_lang=en" TargetMode="External"/><Relationship Id="rId5032" Type="http://schemas.openxmlformats.org/officeDocument/2006/relationships/hyperlink" Target="https://chem.echa.europa.eu/substance-search?searchText=330-55-2" TargetMode="External"/><Relationship Id="rId5989" Type="http://schemas.openxmlformats.org/officeDocument/2006/relationships/hyperlink" Target="https://chemicalsafety.ilo.org/dyn/icsc/showcard.display?p_card_id=1552&amp;p_lang=en" TargetMode="External"/><Relationship Id="rId74" Type="http://schemas.openxmlformats.org/officeDocument/2006/relationships/hyperlink" Target="https://chemicalsafety.ilo.org/dyn/icsc/showcard.display?p_card_id=0019&amp;p_lang=tr" TargetMode="External"/><Relationship Id="rId805" Type="http://schemas.openxmlformats.org/officeDocument/2006/relationships/hyperlink" Target="https://chemicalsafety.ilo.org/dyn/icsc/showcard.display?p_card_id=0202&amp;p_lang=en" TargetMode="External"/><Relationship Id="rId1228" Type="http://schemas.openxmlformats.org/officeDocument/2006/relationships/hyperlink" Target="https://chem.echa.europa.eu/substance-search?searchText=100-01-6" TargetMode="External"/><Relationship Id="rId1435" Type="http://schemas.openxmlformats.org/officeDocument/2006/relationships/hyperlink" Target="https://www.google.com/search?q=1310-73-2+SDS+safety+data+sheet+filetype:pdf" TargetMode="External"/><Relationship Id="rId4798" Type="http://schemas.openxmlformats.org/officeDocument/2006/relationships/hyperlink" Target="https://chemicalsafety.ilo.org/dyn/icsc/showcard.display?p_card_id=1242&amp;p_lang=tr" TargetMode="External"/><Relationship Id="rId1642" Type="http://schemas.openxmlformats.org/officeDocument/2006/relationships/hyperlink" Target="https://chemicalsafety.ilo.org/dyn/icsc/showcard.display?p_card_id=0415&amp;p_lang=tr" TargetMode="External"/><Relationship Id="rId2900" Type="http://schemas.openxmlformats.org/officeDocument/2006/relationships/hyperlink" Target="https://chem.echa.europa.eu/substance-search?searchText=82-68-8" TargetMode="External"/><Relationship Id="rId5849" Type="http://schemas.openxmlformats.org/officeDocument/2006/relationships/hyperlink" Target="https://chemicalsafety.ilo.org/dyn/icsc/showcard.display?p_card_id=1516&amp;p_lang=en" TargetMode="External"/><Relationship Id="rId1502" Type="http://schemas.openxmlformats.org/officeDocument/2006/relationships/hyperlink" Target="https://chemicalsafety.ilo.org/dyn/icsc/showcard.display?p_card_id=0378&amp;p_lang=tr" TargetMode="External"/><Relationship Id="rId4658" Type="http://schemas.openxmlformats.org/officeDocument/2006/relationships/hyperlink" Target="https://chemicalsafety.ilo.org/dyn/icsc/showcard.display?p_card_id=1207&amp;p_lang=tr" TargetMode="External"/><Relationship Id="rId4865" Type="http://schemas.openxmlformats.org/officeDocument/2006/relationships/hyperlink" Target="https://chemicalsafety.ilo.org/dyn/icsc/showcard.display?p_card_id=1259&amp;p_lang=en" TargetMode="External"/><Relationship Id="rId5709" Type="http://schemas.openxmlformats.org/officeDocument/2006/relationships/hyperlink" Target="https://chemicalsafety.ilo.org/dyn/icsc/showcard.display?p_card_id=1480&amp;p_lang=en" TargetMode="External"/><Relationship Id="rId5916" Type="http://schemas.openxmlformats.org/officeDocument/2006/relationships/hyperlink" Target="https://chem.echa.europa.eu/substance-search?searchText=10060-12-5" TargetMode="External"/><Relationship Id="rId6080" Type="http://schemas.openxmlformats.org/officeDocument/2006/relationships/hyperlink" Target="https://chem.echa.europa.eu/substance-search?searchText=54839-24-6" TargetMode="External"/><Relationship Id="rId388" Type="http://schemas.openxmlformats.org/officeDocument/2006/relationships/hyperlink" Target="https://chem.echa.europa.eu/substance-search?searchText=2032-59-9" TargetMode="External"/><Relationship Id="rId2069" Type="http://schemas.openxmlformats.org/officeDocument/2006/relationships/hyperlink" Target="https://chemicalsafety.ilo.org/dyn/icsc/showcard.display?p_card_id=0528&amp;p_lang=en" TargetMode="External"/><Relationship Id="rId3467" Type="http://schemas.openxmlformats.org/officeDocument/2006/relationships/hyperlink" Target="https://www.google.com/search?q=104-76-7+SDS+safety+data+sheet+filetype:pdf" TargetMode="External"/><Relationship Id="rId3674" Type="http://schemas.openxmlformats.org/officeDocument/2006/relationships/hyperlink" Target="https://chemicalsafety.ilo.org/dyn/icsc/showcard.display?p_card_id=0942&amp;p_lang=tr" TargetMode="External"/><Relationship Id="rId3881" Type="http://schemas.openxmlformats.org/officeDocument/2006/relationships/hyperlink" Target="https://chemicalsafety.ilo.org/dyn/icsc/showcard.display?p_card_id=0999&amp;p_lang=en" TargetMode="External"/><Relationship Id="rId4518" Type="http://schemas.openxmlformats.org/officeDocument/2006/relationships/hyperlink" Target="https://chemicalsafety.ilo.org/dyn/icsc/showcard.display?p_card_id=1168&amp;p_lang=tr" TargetMode="External"/><Relationship Id="rId4725" Type="http://schemas.openxmlformats.org/officeDocument/2006/relationships/hyperlink" Target="https://chemicalsafety.ilo.org/dyn/icsc/showcard.display?p_card_id=1224&amp;p_lang=en" TargetMode="External"/><Relationship Id="rId4932" Type="http://schemas.openxmlformats.org/officeDocument/2006/relationships/hyperlink" Target="https://chem.echa.europa.eu/substance-search?searchText=90-12-0" TargetMode="External"/><Relationship Id="rId595" Type="http://schemas.openxmlformats.org/officeDocument/2006/relationships/hyperlink" Target="https://www.google.com/search?q=88-85-7+SDS+safety+data+sheet+filetype:pdf" TargetMode="External"/><Relationship Id="rId2276" Type="http://schemas.openxmlformats.org/officeDocument/2006/relationships/hyperlink" Target="https://chem.echa.europa.eu/substance-search?searchText=640-15-3" TargetMode="External"/><Relationship Id="rId2483" Type="http://schemas.openxmlformats.org/officeDocument/2006/relationships/hyperlink" Target="https://www.google.com/search?q=353-59-3+SDS+safety+data+sheet+filetype:pdf" TargetMode="External"/><Relationship Id="rId2690" Type="http://schemas.openxmlformats.org/officeDocument/2006/relationships/hyperlink" Target="https://chemicalsafety.ilo.org/dyn/icsc/showcard.display?p_card_id=0692&amp;p_lang=tr" TargetMode="External"/><Relationship Id="rId3327" Type="http://schemas.openxmlformats.org/officeDocument/2006/relationships/hyperlink" Target="https://www.google.com/search?q=14977-61-8+SDS+safety+data+sheet+filetype:pdf" TargetMode="External"/><Relationship Id="rId3534" Type="http://schemas.openxmlformats.org/officeDocument/2006/relationships/hyperlink" Target="https://chemicalsafety.ilo.org/dyn/icsc/showcard.display?p_card_id=0907&amp;p_lang=tr" TargetMode="External"/><Relationship Id="rId3741" Type="http://schemas.openxmlformats.org/officeDocument/2006/relationships/hyperlink" Target="https://chemicalsafety.ilo.org/dyn/icsc/showcard.display?p_card_id=0959&amp;p_lang=en" TargetMode="External"/><Relationship Id="rId248" Type="http://schemas.openxmlformats.org/officeDocument/2006/relationships/hyperlink" Target="https://chem.echa.europa.eu/substance-search?searchText=7440-02-0" TargetMode="External"/><Relationship Id="rId455" Type="http://schemas.openxmlformats.org/officeDocument/2006/relationships/hyperlink" Target="https://www.google.com/search?q=75-65-0+SDS+safety+data+sheet+filetype:pdf" TargetMode="External"/><Relationship Id="rId662" Type="http://schemas.openxmlformats.org/officeDocument/2006/relationships/hyperlink" Target="https://chemicalsafety.ilo.org/dyn/icsc/showcard.display?p_card_id=0166&amp;p_lang=tr" TargetMode="External"/><Relationship Id="rId1085" Type="http://schemas.openxmlformats.org/officeDocument/2006/relationships/hyperlink" Target="https://chemicalsafety.ilo.org/dyn/icsc/showcard.display?p_card_id=0273&amp;p_lang=en" TargetMode="External"/><Relationship Id="rId1292" Type="http://schemas.openxmlformats.org/officeDocument/2006/relationships/hyperlink" Target="https://chem.echa.europa.eu/substance-search?searchText=10453-86-8" TargetMode="External"/><Relationship Id="rId2136" Type="http://schemas.openxmlformats.org/officeDocument/2006/relationships/hyperlink" Target="https://chem.echa.europa.eu/substance-search?searchText=10026-13-8" TargetMode="External"/><Relationship Id="rId2343" Type="http://schemas.openxmlformats.org/officeDocument/2006/relationships/hyperlink" Target="https://www.google.com/search?q=75-02-5+SDS+safety+data+sheet+filetype:pdf" TargetMode="External"/><Relationship Id="rId2550" Type="http://schemas.openxmlformats.org/officeDocument/2006/relationships/hyperlink" Target="https://chemicalsafety.ilo.org/dyn/icsc/showcard.display?p_card_id=0654&amp;p_lang=tr" TargetMode="External"/><Relationship Id="rId3601" Type="http://schemas.openxmlformats.org/officeDocument/2006/relationships/hyperlink" Target="https://chemicalsafety.ilo.org/dyn/icsc/showcard.display?p_card_id=0924&amp;p_lang=en" TargetMode="External"/><Relationship Id="rId5499" Type="http://schemas.openxmlformats.org/officeDocument/2006/relationships/hyperlink" Target="https://www.google.com/search?q=600-25-9+SDS+safety+data+sheet+filetype:pdf" TargetMode="External"/><Relationship Id="rId6757" Type="http://schemas.openxmlformats.org/officeDocument/2006/relationships/hyperlink" Target="https://chemicalsafety.ilo.org/dyn/icsc/showcard.display?p_card_id=1762&amp;p_lang=en" TargetMode="External"/><Relationship Id="rId108" Type="http://schemas.openxmlformats.org/officeDocument/2006/relationships/hyperlink" Target="https://chem.echa.europa.eu/substance-search?searchText=67-66-3" TargetMode="External"/><Relationship Id="rId315" Type="http://schemas.openxmlformats.org/officeDocument/2006/relationships/hyperlink" Target="https://www.google.com/search?q=71-55-6+SDS+safety+data+sheet+filetype:pdf" TargetMode="External"/><Relationship Id="rId522" Type="http://schemas.openxmlformats.org/officeDocument/2006/relationships/hyperlink" Target="https://chemicalsafety.ilo.org/dyn/icsc/showcard.display?p_card_id=0131&amp;p_lang=tr" TargetMode="External"/><Relationship Id="rId1152" Type="http://schemas.openxmlformats.org/officeDocument/2006/relationships/hyperlink" Target="https://chem.echa.europa.eu/substance-search?searchText=7439-95-4" TargetMode="External"/><Relationship Id="rId2203" Type="http://schemas.openxmlformats.org/officeDocument/2006/relationships/hyperlink" Target="https://www.google.com/search?q=616-45-5+SDS+safety+data+sheet+filetype:pdf" TargetMode="External"/><Relationship Id="rId2410" Type="http://schemas.openxmlformats.org/officeDocument/2006/relationships/hyperlink" Target="https://chemicalsafety.ilo.org/dyn/icsc/showcard.display?p_card_id=0617&amp;p_lang=tr" TargetMode="External"/><Relationship Id="rId5359" Type="http://schemas.openxmlformats.org/officeDocument/2006/relationships/hyperlink" Target="https://www.google.com/search?q=1335-88-2+SDS+safety+data+sheet+filetype:pdf" TargetMode="External"/><Relationship Id="rId5566" Type="http://schemas.openxmlformats.org/officeDocument/2006/relationships/hyperlink" Target="https://chemicalsafety.ilo.org/dyn/icsc/showcard.display?p_card_id=1440&amp;p_lang=tr" TargetMode="External"/><Relationship Id="rId5773" Type="http://schemas.openxmlformats.org/officeDocument/2006/relationships/hyperlink" Target="https://chemicalsafety.ilo.org/dyn/icsc/showcard.display?p_card_id=1497&amp;p_lang=en" TargetMode="External"/><Relationship Id="rId6617" Type="http://schemas.openxmlformats.org/officeDocument/2006/relationships/hyperlink" Target="https://chemicalsafety.ilo.org/dyn/icsc/showcard.display?p_card_id=1725&amp;p_lang=en" TargetMode="External"/><Relationship Id="rId1012" Type="http://schemas.openxmlformats.org/officeDocument/2006/relationships/hyperlink" Target="https://chem.echa.europa.eu/substance-search?searchText=99-54-7" TargetMode="External"/><Relationship Id="rId4168" Type="http://schemas.openxmlformats.org/officeDocument/2006/relationships/hyperlink" Target="https://chem.echa.europa.eu/substance-search?searchText=543-90-8" TargetMode="External"/><Relationship Id="rId4375" Type="http://schemas.openxmlformats.org/officeDocument/2006/relationships/hyperlink" Target="https://www.google.com/search?q=13746-66-2+SDS+safety+data+sheet+filetype:pdf" TargetMode="External"/><Relationship Id="rId5219" Type="http://schemas.openxmlformats.org/officeDocument/2006/relationships/hyperlink" Target="https://www.google.com/search?q=13510-49-1+SDS+safety+data+sheet+filetype:pdf" TargetMode="External"/><Relationship Id="rId5426" Type="http://schemas.openxmlformats.org/officeDocument/2006/relationships/hyperlink" Target="https://chemicalsafety.ilo.org/dyn/icsc/showcard.display?p_card_id=1405&amp;p_lang=tr" TargetMode="External"/><Relationship Id="rId5980" Type="http://schemas.openxmlformats.org/officeDocument/2006/relationships/hyperlink" Target="https://chem.echa.europa.eu/substance-search?searchText=88-18-6" TargetMode="External"/><Relationship Id="rId6824" Type="http://schemas.openxmlformats.org/officeDocument/2006/relationships/hyperlink" Target="https://chem.echa.europa.eu/substance-search?searchText=7664-38-2" TargetMode="External"/><Relationship Id="rId1969" Type="http://schemas.openxmlformats.org/officeDocument/2006/relationships/hyperlink" Target="https://chemicalsafety.ilo.org/dyn/icsc/showcard.display?p_card_id=0499&amp;p_lang=en" TargetMode="External"/><Relationship Id="rId3184" Type="http://schemas.openxmlformats.org/officeDocument/2006/relationships/hyperlink" Target="https://chem.echa.europa.eu/substance-search?searchText=107-87-9" TargetMode="External"/><Relationship Id="rId4028" Type="http://schemas.openxmlformats.org/officeDocument/2006/relationships/hyperlink" Target="https://chem.echa.europa.eu/substance-search?searchText=10124-37-5" TargetMode="External"/><Relationship Id="rId4235" Type="http://schemas.openxmlformats.org/officeDocument/2006/relationships/hyperlink" Target="https://www.google.com/search?q=61789-51-3+SDS+safety+data+sheet+filetype:pdf" TargetMode="External"/><Relationship Id="rId4582" Type="http://schemas.openxmlformats.org/officeDocument/2006/relationships/hyperlink" Target="https://chemicalsafety.ilo.org/dyn/icsc/showcard.display?p_card_id=1184&amp;p_lang=tr" TargetMode="External"/><Relationship Id="rId5633" Type="http://schemas.openxmlformats.org/officeDocument/2006/relationships/hyperlink" Target="https://chemicalsafety.ilo.org/dyn/icsc/showcard.display?p_card_id=1457&amp;p_lang=en" TargetMode="External"/><Relationship Id="rId5840" Type="http://schemas.openxmlformats.org/officeDocument/2006/relationships/hyperlink" Target="https://chem.echa.europa.eu/substance-search?searchText=627-13-4" TargetMode="External"/><Relationship Id="rId1829" Type="http://schemas.openxmlformats.org/officeDocument/2006/relationships/hyperlink" Target="https://chemicalsafety.ilo.org/dyn/icsc/showcard.display?p_card_id=0464&amp;p_lang=en" TargetMode="External"/><Relationship Id="rId3391" Type="http://schemas.openxmlformats.org/officeDocument/2006/relationships/hyperlink" Target="https://www.google.com/search?q=99-30-9+SDS+safety+data+sheet+filetype:pdf" TargetMode="External"/><Relationship Id="rId4442" Type="http://schemas.openxmlformats.org/officeDocument/2006/relationships/hyperlink" Target="https://chemicalsafety.ilo.org/dyn/icsc/showcard.display?p_card_id=1149&amp;p_lang=tr" TargetMode="External"/><Relationship Id="rId5700" Type="http://schemas.openxmlformats.org/officeDocument/2006/relationships/hyperlink" Target="https://chem.echa.europa.eu/substance-search?searchText=1570-64-5" TargetMode="External"/><Relationship Id="rId3044" Type="http://schemas.openxmlformats.org/officeDocument/2006/relationships/hyperlink" Target="https://chem.echa.europa.eu/substance-search?searchText=999-81-5" TargetMode="External"/><Relationship Id="rId3251" Type="http://schemas.openxmlformats.org/officeDocument/2006/relationships/hyperlink" Target="https://www.google.com/search?q=85-68-7+SDS+safety+data+sheet+filetype:pdf" TargetMode="External"/><Relationship Id="rId4302" Type="http://schemas.openxmlformats.org/officeDocument/2006/relationships/hyperlink" Target="https://chemicalsafety.ilo.org/dyn/icsc/showcard.display?p_card_id=1113&amp;p_lang=tr" TargetMode="External"/><Relationship Id="rId172" Type="http://schemas.openxmlformats.org/officeDocument/2006/relationships/hyperlink" Target="https://chem.echa.europa.eu/substance-search?searchText=106-89-8" TargetMode="External"/><Relationship Id="rId2060" Type="http://schemas.openxmlformats.org/officeDocument/2006/relationships/hyperlink" Target="https://chem.echa.europa.eu/substance-search?searchText=62-75-9" TargetMode="External"/><Relationship Id="rId3111" Type="http://schemas.openxmlformats.org/officeDocument/2006/relationships/hyperlink" Target="https://www.google.com/search?q=123-51-3+SDS+safety+data+sheet+filetype:pdf" TargetMode="External"/><Relationship Id="rId6267" Type="http://schemas.openxmlformats.org/officeDocument/2006/relationships/hyperlink" Target="https://www.google.com/search?q=5332-52-5+SDS+safety+data+sheet+filetype:pdf" TargetMode="External"/><Relationship Id="rId6474" Type="http://schemas.openxmlformats.org/officeDocument/2006/relationships/hyperlink" Target="https://chemicalsafety.ilo.org/dyn/icsc/showcard.display?p_card_id=1684&amp;p_lang=tr" TargetMode="External"/><Relationship Id="rId6681" Type="http://schemas.openxmlformats.org/officeDocument/2006/relationships/hyperlink" Target="https://chemicalsafety.ilo.org/dyn/icsc/showcard.display?p_card_id=1742&amp;p_lang=en" TargetMode="External"/><Relationship Id="rId989" Type="http://schemas.openxmlformats.org/officeDocument/2006/relationships/hyperlink" Target="https://chemicalsafety.ilo.org/dyn/icsc/showcard.display?p_card_id=0249&amp;p_lang=en" TargetMode="External"/><Relationship Id="rId2877" Type="http://schemas.openxmlformats.org/officeDocument/2006/relationships/hyperlink" Target="https://chemicalsafety.ilo.org/dyn/icsc/showcard.display?p_card_id=0740&amp;p_lang=en" TargetMode="External"/><Relationship Id="rId5076" Type="http://schemas.openxmlformats.org/officeDocument/2006/relationships/hyperlink" Target="https://chem.echa.europa.eu/substance-search?searchText=108-80-5" TargetMode="External"/><Relationship Id="rId5283" Type="http://schemas.openxmlformats.org/officeDocument/2006/relationships/hyperlink" Target="https://www.google.com/search?q=110-94-1+SDS+safety+data+sheet+filetype:pdf" TargetMode="External"/><Relationship Id="rId5490" Type="http://schemas.openxmlformats.org/officeDocument/2006/relationships/hyperlink" Target="https://chemicalsafety.ilo.org/dyn/icsc/showcard.display?p_card_id=1421&amp;p_lang=tr" TargetMode="External"/><Relationship Id="rId6127" Type="http://schemas.openxmlformats.org/officeDocument/2006/relationships/hyperlink" Target="https://www.google.com/search?q=624-92-0+SDS+safety+data+sheet+filetype:pdf" TargetMode="External"/><Relationship Id="rId6334" Type="http://schemas.openxmlformats.org/officeDocument/2006/relationships/hyperlink" Target="https://chemicalsafety.ilo.org/dyn/icsc/showcard.display?p_card_id=1641&amp;p_lang=tr" TargetMode="External"/><Relationship Id="rId6541" Type="http://schemas.openxmlformats.org/officeDocument/2006/relationships/hyperlink" Target="https://chemicalsafety.ilo.org/dyn/icsc/showcard.display?p_card_id=1706&amp;p_lang=en" TargetMode="External"/><Relationship Id="rId849" Type="http://schemas.openxmlformats.org/officeDocument/2006/relationships/hyperlink" Target="https://chemicalsafety.ilo.org/dyn/icsc/showcard.display?p_card_id=0214&amp;p_lang=en" TargetMode="External"/><Relationship Id="rId1479" Type="http://schemas.openxmlformats.org/officeDocument/2006/relationships/hyperlink" Target="https://www.google.com/search?q=57-06-7+SDS+safety+data+sheet+filetype:pdf" TargetMode="External"/><Relationship Id="rId1686" Type="http://schemas.openxmlformats.org/officeDocument/2006/relationships/hyperlink" Target="https://chemicalsafety.ilo.org/dyn/icsc/showcard.display?p_card_id=0426&amp;p_lang=tr" TargetMode="External"/><Relationship Id="rId3928" Type="http://schemas.openxmlformats.org/officeDocument/2006/relationships/hyperlink" Target="https://chem.echa.europa.eu/substance-search?searchText=110-46-3" TargetMode="External"/><Relationship Id="rId4092" Type="http://schemas.openxmlformats.org/officeDocument/2006/relationships/hyperlink" Target="https://chem.echa.europa.eu/substance-search?searchText=506-77-4" TargetMode="External"/><Relationship Id="rId5143" Type="http://schemas.openxmlformats.org/officeDocument/2006/relationships/hyperlink" Target="https://www.google.com/search?q=106-94-5+SDS+safety+data+sheet+filetype:pdf" TargetMode="External"/><Relationship Id="rId5350" Type="http://schemas.openxmlformats.org/officeDocument/2006/relationships/hyperlink" Target="https://chemicalsafety.ilo.org/dyn/icsc/showcard.display?p_card_id=1385&amp;p_lang=tr" TargetMode="External"/><Relationship Id="rId6401" Type="http://schemas.openxmlformats.org/officeDocument/2006/relationships/hyperlink" Target="https://chemicalsafety.ilo.org/dyn/icsc/showcard.display?p_card_id=1666&amp;p_lang=en" TargetMode="External"/><Relationship Id="rId1339" Type="http://schemas.openxmlformats.org/officeDocument/2006/relationships/hyperlink" Target="https://www.google.com/search?q=7446-18-6+SDS+safety+data+sheet+filetype:pdf" TargetMode="External"/><Relationship Id="rId1893" Type="http://schemas.openxmlformats.org/officeDocument/2006/relationships/hyperlink" Target="https://chemicalsafety.ilo.org/dyn/icsc/showcard.display?p_card_id=0480&amp;p_lang=en" TargetMode="External"/><Relationship Id="rId2737" Type="http://schemas.openxmlformats.org/officeDocument/2006/relationships/hyperlink" Target="https://chemicalsafety.ilo.org/dyn/icsc/showcard.display?p_card_id=0705&amp;p_lang=en" TargetMode="External"/><Relationship Id="rId2944" Type="http://schemas.openxmlformats.org/officeDocument/2006/relationships/hyperlink" Target="https://chem.echa.europa.eu/substance-search?searchText=10380-28-6" TargetMode="External"/><Relationship Id="rId5003" Type="http://schemas.openxmlformats.org/officeDocument/2006/relationships/hyperlink" Target="https://www.google.com/search?q=7440-74-6+SDS+safety+data+sheet+filetype:pdf" TargetMode="External"/><Relationship Id="rId5210" Type="http://schemas.openxmlformats.org/officeDocument/2006/relationships/hyperlink" Target="https://chemicalsafety.ilo.org/dyn/icsc/showcard.display?p_card_id=1349&amp;p_lang=tr" TargetMode="External"/><Relationship Id="rId709" Type="http://schemas.openxmlformats.org/officeDocument/2006/relationships/hyperlink" Target="https://chemicalsafety.ilo.org/dyn/icsc/showcard.display?p_card_id=0178&amp;p_lang=en" TargetMode="External"/><Relationship Id="rId916" Type="http://schemas.openxmlformats.org/officeDocument/2006/relationships/hyperlink" Target="https://chem.echa.europa.eu/substance-search?searchText=10294-33-4" TargetMode="External"/><Relationship Id="rId1546" Type="http://schemas.openxmlformats.org/officeDocument/2006/relationships/hyperlink" Target="https://chemicalsafety.ilo.org/dyn/icsc/showcard.display?p_card_id=0389&amp;p_lang=tr" TargetMode="External"/><Relationship Id="rId1753" Type="http://schemas.openxmlformats.org/officeDocument/2006/relationships/hyperlink" Target="https://chemicalsafety.ilo.org/dyn/icsc/showcard.display?p_card_id=0443&amp;p_lang=en" TargetMode="External"/><Relationship Id="rId1960" Type="http://schemas.openxmlformats.org/officeDocument/2006/relationships/hyperlink" Target="https://chem.echa.europa.eu/substance-search?searchText=540-84-1" TargetMode="External"/><Relationship Id="rId2804" Type="http://schemas.openxmlformats.org/officeDocument/2006/relationships/hyperlink" Target="https://chem.echa.europa.eu/substance-search?searchText=207-08-9" TargetMode="External"/><Relationship Id="rId45" Type="http://schemas.openxmlformats.org/officeDocument/2006/relationships/hyperlink" Target="https://chemicalsafety.ilo.org/dyn/icsc/showcard.display?p_card_id=0012&amp;p_lang=en" TargetMode="External"/><Relationship Id="rId1406" Type="http://schemas.openxmlformats.org/officeDocument/2006/relationships/hyperlink" Target="https://chemicalsafety.ilo.org/dyn/icsc/showcard.display?p_card_id=0353&amp;p_lang=tr" TargetMode="External"/><Relationship Id="rId1613" Type="http://schemas.openxmlformats.org/officeDocument/2006/relationships/hyperlink" Target="https://chemicalsafety.ilo.org/dyn/icsc/showcard.display?p_card_id=0407&amp;p_lang=en" TargetMode="External"/><Relationship Id="rId1820" Type="http://schemas.openxmlformats.org/officeDocument/2006/relationships/hyperlink" Target="https://chem.echa.europa.eu/substance-search?searchText=528-29-0" TargetMode="External"/><Relationship Id="rId4769" Type="http://schemas.openxmlformats.org/officeDocument/2006/relationships/hyperlink" Target="https://chemicalsafety.ilo.org/dyn/icsc/showcard.display?p_card_id=1235&amp;p_lang=en" TargetMode="External"/><Relationship Id="rId4976" Type="http://schemas.openxmlformats.org/officeDocument/2006/relationships/hyperlink" Target="https://chem.echa.europa.eu/substance-search?searchText=2223-82-7" TargetMode="External"/><Relationship Id="rId3578" Type="http://schemas.openxmlformats.org/officeDocument/2006/relationships/hyperlink" Target="https://chemicalsafety.ilo.org/dyn/icsc/showcard.display?p_card_id=0918&amp;p_lang=tr" TargetMode="External"/><Relationship Id="rId3785" Type="http://schemas.openxmlformats.org/officeDocument/2006/relationships/hyperlink" Target="https://chemicalsafety.ilo.org/dyn/icsc/showcard.display?p_card_id=0970&amp;p_lang=en" TargetMode="External"/><Relationship Id="rId3992" Type="http://schemas.openxmlformats.org/officeDocument/2006/relationships/hyperlink" Target="https://chem.echa.europa.eu/substance-search?searchText=1338-23-4" TargetMode="External"/><Relationship Id="rId4629" Type="http://schemas.openxmlformats.org/officeDocument/2006/relationships/hyperlink" Target="https://chemicalsafety.ilo.org/dyn/icsc/showcard.display?p_card_id=1199&amp;p_lang=en" TargetMode="External"/><Relationship Id="rId4836" Type="http://schemas.openxmlformats.org/officeDocument/2006/relationships/hyperlink" Target="https://chem.echa.europa.eu/substance-search?searchText=1344-57-6" TargetMode="External"/><Relationship Id="rId6191" Type="http://schemas.openxmlformats.org/officeDocument/2006/relationships/hyperlink" Target="https://www.google.com/search?q=68411-30-3+SDS+safety+data+sheet+filetype:pdf" TargetMode="External"/><Relationship Id="rId499" Type="http://schemas.openxmlformats.org/officeDocument/2006/relationships/hyperlink" Target="https://www.google.com/search?q=19750-95-9+SDS+safety+data+sheet+filetype:pdf" TargetMode="External"/><Relationship Id="rId2387" Type="http://schemas.openxmlformats.org/officeDocument/2006/relationships/hyperlink" Target="https://www.google.com/search?q=75-86-5+SDS+safety+data+sheet+filetype:pdf" TargetMode="External"/><Relationship Id="rId2594" Type="http://schemas.openxmlformats.org/officeDocument/2006/relationships/hyperlink" Target="https://chemicalsafety.ilo.org/dyn/icsc/showcard.display?p_card_id=0665&amp;p_lang=tr" TargetMode="External"/><Relationship Id="rId3438" Type="http://schemas.openxmlformats.org/officeDocument/2006/relationships/hyperlink" Target="https://chemicalsafety.ilo.org/dyn/icsc/showcard.display?p_card_id=0883&amp;p_lang=tr" TargetMode="External"/><Relationship Id="rId3645" Type="http://schemas.openxmlformats.org/officeDocument/2006/relationships/hyperlink" Target="https://chemicalsafety.ilo.org/dyn/icsc/showcard.display?p_card_id=0935&amp;p_lang=en" TargetMode="External"/><Relationship Id="rId3852" Type="http://schemas.openxmlformats.org/officeDocument/2006/relationships/hyperlink" Target="https://chem.echa.europa.eu/substance-search?searchText=557-05-1" TargetMode="External"/><Relationship Id="rId6051" Type="http://schemas.openxmlformats.org/officeDocument/2006/relationships/hyperlink" Target="https://www.google.com/search?q=112-41-4+SDS+safety+data+sheet+filetype:pdf" TargetMode="External"/><Relationship Id="rId359" Type="http://schemas.openxmlformats.org/officeDocument/2006/relationships/hyperlink" Target="https://www.google.com/search?q=107-02-8+SDS+safety+data+sheet+filetype:pdf" TargetMode="External"/><Relationship Id="rId566" Type="http://schemas.openxmlformats.org/officeDocument/2006/relationships/hyperlink" Target="https://chemicalsafety.ilo.org/dyn/icsc/showcard.display?p_card_id=0142&amp;p_lang=tr" TargetMode="External"/><Relationship Id="rId773" Type="http://schemas.openxmlformats.org/officeDocument/2006/relationships/hyperlink" Target="https://chemicalsafety.ilo.org/dyn/icsc/showcard.display?p_card_id=0194&amp;p_lang=en" TargetMode="External"/><Relationship Id="rId1196" Type="http://schemas.openxmlformats.org/officeDocument/2006/relationships/hyperlink" Target="https://chem.echa.europa.eu/substance-search?searchText=80-62-6" TargetMode="External"/><Relationship Id="rId2247" Type="http://schemas.openxmlformats.org/officeDocument/2006/relationships/hyperlink" Target="https://www.google.com/search?q=935-95-5+SDS+safety+data+sheet+filetype:pdf" TargetMode="External"/><Relationship Id="rId2454" Type="http://schemas.openxmlformats.org/officeDocument/2006/relationships/hyperlink" Target="https://chemicalsafety.ilo.org/dyn/icsc/showcard.display?p_card_id=0628&amp;p_lang=tr" TargetMode="External"/><Relationship Id="rId3505" Type="http://schemas.openxmlformats.org/officeDocument/2006/relationships/hyperlink" Target="https://chemicalsafety.ilo.org/dyn/icsc/showcard.display?p_card_id=0900&amp;p_lang=en" TargetMode="External"/><Relationship Id="rId4903" Type="http://schemas.openxmlformats.org/officeDocument/2006/relationships/hyperlink" Target="https://www.google.com/search?q=95266-40-3+SDS+safety+data+sheet+filetype:pdf" TargetMode="External"/><Relationship Id="rId219" Type="http://schemas.openxmlformats.org/officeDocument/2006/relationships/hyperlink" Target="https://www.google.com/search?q=93-65-2+SDS+safety+data+sheet+filetype:pdf" TargetMode="External"/><Relationship Id="rId426" Type="http://schemas.openxmlformats.org/officeDocument/2006/relationships/hyperlink" Target="https://chemicalsafety.ilo.org/dyn/icsc/showcard.display?p_card_id=0107&amp;p_lang=tr" TargetMode="External"/><Relationship Id="rId633" Type="http://schemas.openxmlformats.org/officeDocument/2006/relationships/hyperlink" Target="https://chemicalsafety.ilo.org/dyn/icsc/showcard.display?p_card_id=0159&amp;p_lang=en" TargetMode="External"/><Relationship Id="rId980" Type="http://schemas.openxmlformats.org/officeDocument/2006/relationships/hyperlink" Target="https://chem.echa.europa.eu/substance-search?searchText=52315-07-8" TargetMode="External"/><Relationship Id="rId1056" Type="http://schemas.openxmlformats.org/officeDocument/2006/relationships/hyperlink" Target="https://chem.echa.europa.eu/substance-search?searchText=123-01-3" TargetMode="External"/><Relationship Id="rId1263" Type="http://schemas.openxmlformats.org/officeDocument/2006/relationships/hyperlink" Target="https://www.google.com/search?q=110-89-4+SDS+safety+data+sheet+filetype:pdf" TargetMode="External"/><Relationship Id="rId2107" Type="http://schemas.openxmlformats.org/officeDocument/2006/relationships/hyperlink" Target="https://www.google.com/search?q=2050-92-2+SDS+safety+data+sheet+filetype:pdf" TargetMode="External"/><Relationship Id="rId2314" Type="http://schemas.openxmlformats.org/officeDocument/2006/relationships/hyperlink" Target="https://chemicalsafety.ilo.org/dyn/icsc/showcard.display?p_card_id=0591&amp;p_lang=tr" TargetMode="External"/><Relationship Id="rId2661" Type="http://schemas.openxmlformats.org/officeDocument/2006/relationships/hyperlink" Target="https://chemicalsafety.ilo.org/dyn/icsc/showcard.display?p_card_id=0685&amp;p_lang=en" TargetMode="External"/><Relationship Id="rId3712" Type="http://schemas.openxmlformats.org/officeDocument/2006/relationships/hyperlink" Target="https://chem.echa.europa.eu/substance-search?searchText=7681-49-4" TargetMode="External"/><Relationship Id="rId840" Type="http://schemas.openxmlformats.org/officeDocument/2006/relationships/hyperlink" Target="https://chem.echa.europa.eu/substance-search?searchText=111-69-3" TargetMode="External"/><Relationship Id="rId1470" Type="http://schemas.openxmlformats.org/officeDocument/2006/relationships/hyperlink" Target="https://chemicalsafety.ilo.org/dyn/icsc/showcard.display?p_card_id=0369&amp;p_lang=tr" TargetMode="External"/><Relationship Id="rId2521" Type="http://schemas.openxmlformats.org/officeDocument/2006/relationships/hyperlink" Target="https://chemicalsafety.ilo.org/dyn/icsc/showcard.display?p_card_id=0647&amp;p_lang=en" TargetMode="External"/><Relationship Id="rId4279" Type="http://schemas.openxmlformats.org/officeDocument/2006/relationships/hyperlink" Target="https://www.google.com/search?q=97-02-9+SDS+safety+data+sheet+filetype:pdf" TargetMode="External"/><Relationship Id="rId5677" Type="http://schemas.openxmlformats.org/officeDocument/2006/relationships/hyperlink" Target="https://chemicalsafety.ilo.org/dyn/icsc/showcard.display?p_card_id=1471&amp;p_lang=en" TargetMode="External"/><Relationship Id="rId5884" Type="http://schemas.openxmlformats.org/officeDocument/2006/relationships/hyperlink" Target="https://chem.echa.europa.eu/substance-search?searchText=1120-71-4" TargetMode="External"/><Relationship Id="rId6728" Type="http://schemas.openxmlformats.org/officeDocument/2006/relationships/hyperlink" Target="https://chem.echa.europa.eu/substance-search?searchText=29973-13-5" TargetMode="External"/><Relationship Id="rId700" Type="http://schemas.openxmlformats.org/officeDocument/2006/relationships/hyperlink" Target="https://chem.echa.europa.eu/substance-search?searchText=1313-13-9" TargetMode="External"/><Relationship Id="rId1123" Type="http://schemas.openxmlformats.org/officeDocument/2006/relationships/hyperlink" Target="https://www.google.com/search?q=10035-10-6+SDS+safety+data+sheet+filetype:pdf" TargetMode="External"/><Relationship Id="rId1330" Type="http://schemas.openxmlformats.org/officeDocument/2006/relationships/hyperlink" Target="https://chemicalsafety.ilo.org/dyn/icsc/showcard.display?p_card_id=0334&amp;p_lang=tr" TargetMode="External"/><Relationship Id="rId3088" Type="http://schemas.openxmlformats.org/officeDocument/2006/relationships/hyperlink" Target="https://chem.echa.europa.eu/substance-search?searchText=14484-64-1" TargetMode="External"/><Relationship Id="rId4486" Type="http://schemas.openxmlformats.org/officeDocument/2006/relationships/hyperlink" Target="https://chemicalsafety.ilo.org/dyn/icsc/showcard.display?p_card_id=1160&amp;p_lang=tr" TargetMode="External"/><Relationship Id="rId4693" Type="http://schemas.openxmlformats.org/officeDocument/2006/relationships/hyperlink" Target="https://chemicalsafety.ilo.org/dyn/icsc/showcard.display?p_card_id=1216&amp;p_lang=en" TargetMode="External"/><Relationship Id="rId5537" Type="http://schemas.openxmlformats.org/officeDocument/2006/relationships/hyperlink" Target="https://chemicalsafety.ilo.org/dyn/icsc/showcard.display?p_card_id=1433&amp;p_lang=en" TargetMode="External"/><Relationship Id="rId5744" Type="http://schemas.openxmlformats.org/officeDocument/2006/relationships/hyperlink" Target="https://chem.echa.europa.eu/substance-search?searchText=9002-89-5" TargetMode="External"/><Relationship Id="rId5951" Type="http://schemas.openxmlformats.org/officeDocument/2006/relationships/hyperlink" Target="https://www.google.com/search?q=5307-14-2+SDS+safety+data+sheet+filetype:pdf" TargetMode="External"/><Relationship Id="rId3295" Type="http://schemas.openxmlformats.org/officeDocument/2006/relationships/hyperlink" Target="https://www.google.com/search?q=100-00-5+SDS+safety+data+sheet+filetype:pdf" TargetMode="External"/><Relationship Id="rId4139" Type="http://schemas.openxmlformats.org/officeDocument/2006/relationships/hyperlink" Target="https://www.google.com/search?q=95-50-1+SDS+safety+data+sheet+filetype:pdf" TargetMode="External"/><Relationship Id="rId4346" Type="http://schemas.openxmlformats.org/officeDocument/2006/relationships/hyperlink" Target="https://chemicalsafety.ilo.org/dyn/icsc/showcard.display?p_card_id=1124&amp;p_lang=tr" TargetMode="External"/><Relationship Id="rId4553" Type="http://schemas.openxmlformats.org/officeDocument/2006/relationships/hyperlink" Target="https://chemicalsafety.ilo.org/dyn/icsc/showcard.display?p_card_id=1177&amp;p_lang=en" TargetMode="External"/><Relationship Id="rId4760" Type="http://schemas.openxmlformats.org/officeDocument/2006/relationships/hyperlink" Target="https://chem.echa.europa.eu/substance-search?searchText=100-69-6" TargetMode="External"/><Relationship Id="rId5604" Type="http://schemas.openxmlformats.org/officeDocument/2006/relationships/hyperlink" Target="https://chem.echa.europa.eu/substance-search?searchText=3926-62-3" TargetMode="External"/><Relationship Id="rId5811" Type="http://schemas.openxmlformats.org/officeDocument/2006/relationships/hyperlink" Target="https://www.google.com/search?q=1592-23-0+SDS+safety+data+sheet+filetype:pdf" TargetMode="External"/><Relationship Id="rId3155" Type="http://schemas.openxmlformats.org/officeDocument/2006/relationships/hyperlink" Target="https://www.google.com/search?q=14464-46-1+SDS+safety+data+sheet+filetype:pdf" TargetMode="External"/><Relationship Id="rId3362" Type="http://schemas.openxmlformats.org/officeDocument/2006/relationships/hyperlink" Target="https://chemicalsafety.ilo.org/dyn/icsc/showcard.display?p_card_id=0864&amp;p_lang=tr" TargetMode="External"/><Relationship Id="rId4206" Type="http://schemas.openxmlformats.org/officeDocument/2006/relationships/hyperlink" Target="https://chemicalsafety.ilo.org/dyn/icsc/showcard.display?p_card_id=1086&amp;p_lang=tr" TargetMode="External"/><Relationship Id="rId4413" Type="http://schemas.openxmlformats.org/officeDocument/2006/relationships/hyperlink" Target="https://chemicalsafety.ilo.org/dyn/icsc/showcard.display?p_card_id=1142&amp;p_lang=en" TargetMode="External"/><Relationship Id="rId4620" Type="http://schemas.openxmlformats.org/officeDocument/2006/relationships/hyperlink" Target="https://chem.echa.europa.eu/substance-search?searchText=1333-82-0" TargetMode="External"/><Relationship Id="rId283" Type="http://schemas.openxmlformats.org/officeDocument/2006/relationships/hyperlink" Target="https://www.google.com/search?q=91-22-5+SDS+safety+data+sheet+filetype:pdf" TargetMode="External"/><Relationship Id="rId490" Type="http://schemas.openxmlformats.org/officeDocument/2006/relationships/hyperlink" Target="https://chemicalsafety.ilo.org/dyn/icsc/showcard.display?p_card_id=0123&amp;p_lang=tr" TargetMode="External"/><Relationship Id="rId2171" Type="http://schemas.openxmlformats.org/officeDocument/2006/relationships/hyperlink" Target="https://www.google.com/search?q=67-63-0+SDS+safety+data+sheet+filetype:pdf" TargetMode="External"/><Relationship Id="rId3015" Type="http://schemas.openxmlformats.org/officeDocument/2006/relationships/hyperlink" Target="https://www.google.com/search?q=309-00-2+SDS+safety+data+sheet+filetype:pdf" TargetMode="External"/><Relationship Id="rId3222" Type="http://schemas.openxmlformats.org/officeDocument/2006/relationships/hyperlink" Target="https://chemicalsafety.ilo.org/dyn/icsc/showcard.display?p_card_id=0826&amp;p_lang=tr" TargetMode="External"/><Relationship Id="rId6378" Type="http://schemas.openxmlformats.org/officeDocument/2006/relationships/hyperlink" Target="https://chemicalsafety.ilo.org/dyn/icsc/showcard.display?p_card_id=1659&amp;p_lang=tr" TargetMode="External"/><Relationship Id="rId6585" Type="http://schemas.openxmlformats.org/officeDocument/2006/relationships/hyperlink" Target="https://chemicalsafety.ilo.org/dyn/icsc/showcard.display?p_card_id=1717&amp;p_lang=en" TargetMode="External"/><Relationship Id="rId143" Type="http://schemas.openxmlformats.org/officeDocument/2006/relationships/hyperlink" Target="https://www.google.com/search?q=84-74-2+SDS+safety+data+sheet+filetype:pdf" TargetMode="External"/><Relationship Id="rId350" Type="http://schemas.openxmlformats.org/officeDocument/2006/relationships/hyperlink" Target="https://chemicalsafety.ilo.org/dyn/icsc/showcard.display?p_card_id=0088&amp;p_lang=tr" TargetMode="External"/><Relationship Id="rId2031" Type="http://schemas.openxmlformats.org/officeDocument/2006/relationships/hyperlink" Target="https://www.google.com/search?q=21087-64-9+SDS+safety+data+sheet+filetype:pdf" TargetMode="External"/><Relationship Id="rId5187" Type="http://schemas.openxmlformats.org/officeDocument/2006/relationships/hyperlink" Target="https://www.google.com/search?q=306-83-2+SDS+safety+data+sheet+filetype:pdf" TargetMode="External"/><Relationship Id="rId5394" Type="http://schemas.openxmlformats.org/officeDocument/2006/relationships/hyperlink" Target="https://chemicalsafety.ilo.org/dyn/icsc/showcard.display?p_card_id=1396&amp;p_lang=tr" TargetMode="External"/><Relationship Id="rId6238" Type="http://schemas.openxmlformats.org/officeDocument/2006/relationships/hyperlink" Target="https://chemicalsafety.ilo.org/dyn/icsc/showcard.display?p_card_id=1614&amp;p_lang=tr" TargetMode="External"/><Relationship Id="rId6445" Type="http://schemas.openxmlformats.org/officeDocument/2006/relationships/hyperlink" Target="https://chemicalsafety.ilo.org/dyn/icsc/showcard.display?p_card_id=1677&amp;p_lang=en" TargetMode="External"/><Relationship Id="rId6792" Type="http://schemas.openxmlformats.org/officeDocument/2006/relationships/hyperlink" Target="https://chem.echa.europa.eu/substance-search?searchText=7789-00-6" TargetMode="External"/><Relationship Id="rId9" Type="http://schemas.openxmlformats.org/officeDocument/2006/relationships/hyperlink" Target="https://chemicalsafety.ilo.org/dyn/icsc/showcard.display?p_card_id=0003&amp;p_lang=en" TargetMode="External"/><Relationship Id="rId210" Type="http://schemas.openxmlformats.org/officeDocument/2006/relationships/hyperlink" Target="https://chemicalsafety.ilo.org/dyn/icsc/showcard.display?p_card_id=0053&amp;p_lang=tr" TargetMode="External"/><Relationship Id="rId2988" Type="http://schemas.openxmlformats.org/officeDocument/2006/relationships/hyperlink" Target="https://chem.echa.europa.eu/substance-search?searchText=30525-89-4" TargetMode="External"/><Relationship Id="rId5047" Type="http://schemas.openxmlformats.org/officeDocument/2006/relationships/hyperlink" Target="https://www.google.com/search?q=593-74-8+SDS+safety+data+sheet+filetype:pdf" TargetMode="External"/><Relationship Id="rId5254" Type="http://schemas.openxmlformats.org/officeDocument/2006/relationships/hyperlink" Target="https://chemicalsafety.ilo.org/dyn/icsc/showcard.display?p_card_id=1360&amp;p_lang=tr" TargetMode="External"/><Relationship Id="rId6652" Type="http://schemas.openxmlformats.org/officeDocument/2006/relationships/hyperlink" Target="https://chem.echa.europa.eu/substance-search?searchText=10101-41-4" TargetMode="External"/><Relationship Id="rId1797" Type="http://schemas.openxmlformats.org/officeDocument/2006/relationships/hyperlink" Target="https://chemicalsafety.ilo.org/dyn/icsc/showcard.display?p_card_id=0455&amp;p_lang=en" TargetMode="External"/><Relationship Id="rId2848" Type="http://schemas.openxmlformats.org/officeDocument/2006/relationships/hyperlink" Target="https://chem.echa.europa.eu/substance-search?searchText=98-83-9" TargetMode="External"/><Relationship Id="rId5461" Type="http://schemas.openxmlformats.org/officeDocument/2006/relationships/hyperlink" Target="https://chemicalsafety.ilo.org/dyn/icsc/showcard.display?p_card_id=1414&amp;p_lang=en" TargetMode="External"/><Relationship Id="rId6305" Type="http://schemas.openxmlformats.org/officeDocument/2006/relationships/hyperlink" Target="https://chemicalsafety.ilo.org/dyn/icsc/showcard.display?p_card_id=1633&amp;p_lang=en" TargetMode="External"/><Relationship Id="rId6512" Type="http://schemas.openxmlformats.org/officeDocument/2006/relationships/hyperlink" Target="https://chem.echa.europa.eu/substance-search?searchText=7733-02-0" TargetMode="External"/><Relationship Id="rId89" Type="http://schemas.openxmlformats.org/officeDocument/2006/relationships/hyperlink" Target="https://chemicalsafety.ilo.org/dyn/icsc/showcard.display?p_card_id=0023&amp;p_lang=en" TargetMode="External"/><Relationship Id="rId1657" Type="http://schemas.openxmlformats.org/officeDocument/2006/relationships/hyperlink" Target="https://chemicalsafety.ilo.org/dyn/icsc/showcard.display?p_card_id=0419&amp;p_lang=en" TargetMode="External"/><Relationship Id="rId1864" Type="http://schemas.openxmlformats.org/officeDocument/2006/relationships/hyperlink" Target="https://chem.echa.europa.eu/substance-search?searchText=20859-73-8" TargetMode="External"/><Relationship Id="rId2708" Type="http://schemas.openxmlformats.org/officeDocument/2006/relationships/hyperlink" Target="https://chem.echa.europa.eu/substance-search?searchText=139-40-2" TargetMode="External"/><Relationship Id="rId2915" Type="http://schemas.openxmlformats.org/officeDocument/2006/relationships/hyperlink" Target="https://www.google.com/search?q=510-15-6+SDS+safety+data+sheet+filetype:pdf" TargetMode="External"/><Relationship Id="rId4063" Type="http://schemas.openxmlformats.org/officeDocument/2006/relationships/hyperlink" Target="https://www.google.com/search?q=10486-00-7+SDS+safety+data+sheet+filetype:pdf" TargetMode="External"/><Relationship Id="rId4270" Type="http://schemas.openxmlformats.org/officeDocument/2006/relationships/hyperlink" Target="https://chemicalsafety.ilo.org/dyn/icsc/showcard.display?p_card_id=1105&amp;p_lang=tr" TargetMode="External"/><Relationship Id="rId5114" Type="http://schemas.openxmlformats.org/officeDocument/2006/relationships/hyperlink" Target="https://chemicalsafety.ilo.org/dyn/icsc/showcard.display?p_card_id=1323&amp;p_lang=tr" TargetMode="External"/><Relationship Id="rId5321" Type="http://schemas.openxmlformats.org/officeDocument/2006/relationships/hyperlink" Target="https://chemicalsafety.ilo.org/dyn/icsc/showcard.display?p_card_id=1377&amp;p_lang=en" TargetMode="External"/><Relationship Id="rId1517" Type="http://schemas.openxmlformats.org/officeDocument/2006/relationships/hyperlink" Target="https://chemicalsafety.ilo.org/dyn/icsc/showcard.display?p_card_id=0382&amp;p_lang=en" TargetMode="External"/><Relationship Id="rId1724" Type="http://schemas.openxmlformats.org/officeDocument/2006/relationships/hyperlink" Target="https://chem.echa.europa.eu/substance-search?searchText=108-60-1" TargetMode="External"/><Relationship Id="rId4130" Type="http://schemas.openxmlformats.org/officeDocument/2006/relationships/hyperlink" Target="https://chemicalsafety.ilo.org/dyn/icsc/showcard.display?p_card_id=1064&amp;p_lang=tr" TargetMode="External"/><Relationship Id="rId16" Type="http://schemas.openxmlformats.org/officeDocument/2006/relationships/hyperlink" Target="https://chem.echa.europa.eu/substance-search?searchText=624-83-9" TargetMode="External"/><Relationship Id="rId1931" Type="http://schemas.openxmlformats.org/officeDocument/2006/relationships/hyperlink" Target="https://www.google.com/search?q=591-78-6+SDS+safety+data+sheet+filetype:pdf" TargetMode="External"/><Relationship Id="rId3689" Type="http://schemas.openxmlformats.org/officeDocument/2006/relationships/hyperlink" Target="https://chemicalsafety.ilo.org/dyn/icsc/showcard.display?p_card_id=0946&amp;p_lang=en" TargetMode="External"/><Relationship Id="rId3896" Type="http://schemas.openxmlformats.org/officeDocument/2006/relationships/hyperlink" Target="https://chem.echa.europa.eu/substance-search?searchText=1314-41-6" TargetMode="External"/><Relationship Id="rId6095" Type="http://schemas.openxmlformats.org/officeDocument/2006/relationships/hyperlink" Target="https://www.google.com/search?q=615-05-4+SDS+safety+data+sheet+filetype:pdf" TargetMode="External"/><Relationship Id="rId2498" Type="http://schemas.openxmlformats.org/officeDocument/2006/relationships/hyperlink" Target="https://chemicalsafety.ilo.org/dyn/icsc/showcard.display?p_card_id=0640&amp;p_lang=tr" TargetMode="External"/><Relationship Id="rId3549" Type="http://schemas.openxmlformats.org/officeDocument/2006/relationships/hyperlink" Target="https://chemicalsafety.ilo.org/dyn/icsc/showcard.display?p_card_id=0911&amp;p_lang=en" TargetMode="External"/><Relationship Id="rId4947" Type="http://schemas.openxmlformats.org/officeDocument/2006/relationships/hyperlink" Target="https://www.google.com/search?q=6104-30-9+SDS+safety+data+sheet+filetype:pdf" TargetMode="External"/><Relationship Id="rId6162" Type="http://schemas.openxmlformats.org/officeDocument/2006/relationships/hyperlink" Target="https://chemicalsafety.ilo.org/dyn/icsc/showcard.display?p_card_id=1595&amp;p_lang=tr" TargetMode="External"/><Relationship Id="rId677" Type="http://schemas.openxmlformats.org/officeDocument/2006/relationships/hyperlink" Target="https://chemicalsafety.ilo.org/dyn/icsc/showcard.display?p_card_id=0170&amp;p_lang=en" TargetMode="External"/><Relationship Id="rId2358" Type="http://schemas.openxmlformats.org/officeDocument/2006/relationships/hyperlink" Target="https://chemicalsafety.ilo.org/dyn/icsc/showcard.display?p_card_id=0603&amp;p_lang=tr" TargetMode="External"/><Relationship Id="rId3756" Type="http://schemas.openxmlformats.org/officeDocument/2006/relationships/hyperlink" Target="https://chem.echa.europa.eu/substance-search?searchText=1321-65-9" TargetMode="External"/><Relationship Id="rId3963" Type="http://schemas.openxmlformats.org/officeDocument/2006/relationships/hyperlink" Target="https://www.google.com/search?q=76-22-2+SDS+safety+data+sheet+filetype:pdf" TargetMode="External"/><Relationship Id="rId4807" Type="http://schemas.openxmlformats.org/officeDocument/2006/relationships/hyperlink" Target="https://www.google.com/search?q=7782-65-2+SDS+safety+data+sheet+filetype:pdf" TargetMode="External"/><Relationship Id="rId6022" Type="http://schemas.openxmlformats.org/officeDocument/2006/relationships/hyperlink" Target="https://chemicalsafety.ilo.org/dyn/icsc/showcard.display?p_card_id=1560&amp;p_lang=tr" TargetMode="External"/><Relationship Id="rId884" Type="http://schemas.openxmlformats.org/officeDocument/2006/relationships/hyperlink" Target="https://chem.echa.europa.eu/substance-search?searchText=7784-42-1" TargetMode="External"/><Relationship Id="rId2565" Type="http://schemas.openxmlformats.org/officeDocument/2006/relationships/hyperlink" Target="https://chemicalsafety.ilo.org/dyn/icsc/showcard.display?p_card_id=0658&amp;p_lang=en" TargetMode="External"/><Relationship Id="rId2772" Type="http://schemas.openxmlformats.org/officeDocument/2006/relationships/hyperlink" Target="https://chem.echa.europa.eu/substance-search?searchText=108-83-8" TargetMode="External"/><Relationship Id="rId3409" Type="http://schemas.openxmlformats.org/officeDocument/2006/relationships/hyperlink" Target="https://chemicalsafety.ilo.org/dyn/icsc/showcard.display?p_card_id=0876&amp;p_lang=en" TargetMode="External"/><Relationship Id="rId3616" Type="http://schemas.openxmlformats.org/officeDocument/2006/relationships/hyperlink" Target="https://chem.echa.europa.eu/substance-search?searchText=3333-67-3" TargetMode="External"/><Relationship Id="rId3823" Type="http://schemas.openxmlformats.org/officeDocument/2006/relationships/hyperlink" Target="https://www.google.com/search?q=10045-94-0+SDS+safety+data+sheet+filetype:pdf" TargetMode="External"/><Relationship Id="rId537" Type="http://schemas.openxmlformats.org/officeDocument/2006/relationships/hyperlink" Target="https://chemicalsafety.ilo.org/dyn/icsc/showcard.display?p_card_id=0135&amp;p_lang=en" TargetMode="External"/><Relationship Id="rId744" Type="http://schemas.openxmlformats.org/officeDocument/2006/relationships/hyperlink" Target="https://chem.echa.europa.eu/substance-search?searchText=55-63-0" TargetMode="External"/><Relationship Id="rId951" Type="http://schemas.openxmlformats.org/officeDocument/2006/relationships/hyperlink" Target="https://www.google.com/search?q=35764-59-1+SDS+safety+data+sheet+filetype:pdf" TargetMode="External"/><Relationship Id="rId1167" Type="http://schemas.openxmlformats.org/officeDocument/2006/relationships/hyperlink" Target="https://www.google.com/search?q=590-67-0+SDS+safety+data+sheet+filetype:pdf" TargetMode="External"/><Relationship Id="rId1374" Type="http://schemas.openxmlformats.org/officeDocument/2006/relationships/hyperlink" Target="https://chemicalsafety.ilo.org/dyn/icsc/showcard.display?p_card_id=0345&amp;p_lang=tr" TargetMode="External"/><Relationship Id="rId1581" Type="http://schemas.openxmlformats.org/officeDocument/2006/relationships/hyperlink" Target="https://chemicalsafety.ilo.org/dyn/icsc/showcard.display?p_card_id=0399&amp;p_lang=en" TargetMode="External"/><Relationship Id="rId2218" Type="http://schemas.openxmlformats.org/officeDocument/2006/relationships/hyperlink" Target="https://chemicalsafety.ilo.org/dyn/icsc/showcard.display?p_card_id=0566&amp;p_lang=tr" TargetMode="External"/><Relationship Id="rId2425" Type="http://schemas.openxmlformats.org/officeDocument/2006/relationships/hyperlink" Target="https://chemicalsafety.ilo.org/dyn/icsc/showcard.display?p_card_id=0621&amp;p_lang=en" TargetMode="External"/><Relationship Id="rId2632" Type="http://schemas.openxmlformats.org/officeDocument/2006/relationships/hyperlink" Target="https://chem.echa.europa.eu/substance-search?searchText=540-72-7" TargetMode="External"/><Relationship Id="rId5788" Type="http://schemas.openxmlformats.org/officeDocument/2006/relationships/hyperlink" Target="https://chem.echa.europa.eu/substance-search?searchText=101-21-3" TargetMode="External"/><Relationship Id="rId5995" Type="http://schemas.openxmlformats.org/officeDocument/2006/relationships/hyperlink" Target="https://www.google.com/search?q=9005-25-8+SDS+safety+data+sheet+filetype:pdf" TargetMode="External"/><Relationship Id="rId6839" Type="http://schemas.openxmlformats.org/officeDocument/2006/relationships/hyperlink" Target="https://www.google.com/search?q=26471-62-5+SDS+safety+data+sheet+filetype:pdf" TargetMode="External"/><Relationship Id="rId80" Type="http://schemas.openxmlformats.org/officeDocument/2006/relationships/hyperlink" Target="https://chem.echa.europa.eu/substance-search?searchText=7440-43-9" TargetMode="External"/><Relationship Id="rId604" Type="http://schemas.openxmlformats.org/officeDocument/2006/relationships/hyperlink" Target="https://chem.echa.europa.eu/substance-search?searchText=1675-54-3" TargetMode="External"/><Relationship Id="rId811" Type="http://schemas.openxmlformats.org/officeDocument/2006/relationships/hyperlink" Target="https://www.google.com/search?q=121-44-8+SDS+safety+data+sheet+filetype:pdf" TargetMode="External"/><Relationship Id="rId1027" Type="http://schemas.openxmlformats.org/officeDocument/2006/relationships/hyperlink" Target="https://www.google.com/search?q=84-66-2+SDS+safety+data+sheet+filetype:pdf" TargetMode="External"/><Relationship Id="rId1234" Type="http://schemas.openxmlformats.org/officeDocument/2006/relationships/hyperlink" Target="https://chemicalsafety.ilo.org/dyn/icsc/showcard.display?p_card_id=0310&amp;p_lang=tr" TargetMode="External"/><Relationship Id="rId1441" Type="http://schemas.openxmlformats.org/officeDocument/2006/relationships/hyperlink" Target="https://chemicalsafety.ilo.org/dyn/icsc/showcard.display?p_card_id=0362&amp;p_lang=en" TargetMode="External"/><Relationship Id="rId4597" Type="http://schemas.openxmlformats.org/officeDocument/2006/relationships/hyperlink" Target="https://chemicalsafety.ilo.org/dyn/icsc/showcard.display?p_card_id=1189&amp;p_lang=en" TargetMode="External"/><Relationship Id="rId5648" Type="http://schemas.openxmlformats.org/officeDocument/2006/relationships/hyperlink" Target="https://chem.echa.europa.eu/substance-search?searchText=1477-55-0" TargetMode="External"/><Relationship Id="rId5855" Type="http://schemas.openxmlformats.org/officeDocument/2006/relationships/hyperlink" Target="https://www.google.com/search?q=25322-68-3+SDS+safety+data+sheet+filetype:pdf" TargetMode="External"/><Relationship Id="rId1301" Type="http://schemas.openxmlformats.org/officeDocument/2006/relationships/hyperlink" Target="https://chemicalsafety.ilo.org/dyn/icsc/showcard.display?p_card_id=0327&amp;p_lang=en" TargetMode="External"/><Relationship Id="rId3199" Type="http://schemas.openxmlformats.org/officeDocument/2006/relationships/hyperlink" Target="https://www.google.com/search?q=106-87-6+SDS+safety+data+sheet+filetype:pdf" TargetMode="External"/><Relationship Id="rId4457" Type="http://schemas.openxmlformats.org/officeDocument/2006/relationships/hyperlink" Target="https://chemicalsafety.ilo.org/dyn/icsc/showcard.display?p_card_id=1153&amp;p_lang=en" TargetMode="External"/><Relationship Id="rId4664" Type="http://schemas.openxmlformats.org/officeDocument/2006/relationships/hyperlink" Target="https://chem.echa.europa.eu/substance-search?searchText=7778-43-0" TargetMode="External"/><Relationship Id="rId5508" Type="http://schemas.openxmlformats.org/officeDocument/2006/relationships/hyperlink" Target="https://chem.echa.europa.eu/substance-search?searchText=65997-15-1" TargetMode="External"/><Relationship Id="rId5715" Type="http://schemas.openxmlformats.org/officeDocument/2006/relationships/hyperlink" Target="https://www.google.com/search?q=75-04-7+SDS+safety+data+sheet+filetype:pdf" TargetMode="External"/><Relationship Id="rId3059" Type="http://schemas.openxmlformats.org/officeDocument/2006/relationships/hyperlink" Target="https://www.google.com/search?q=1308-04-9+SDS+safety+data+sheet+filetype:pdf" TargetMode="External"/><Relationship Id="rId3266" Type="http://schemas.openxmlformats.org/officeDocument/2006/relationships/hyperlink" Target="https://chemicalsafety.ilo.org/dyn/icsc/showcard.display?p_card_id=0839&amp;p_lang=tr" TargetMode="External"/><Relationship Id="rId3473" Type="http://schemas.openxmlformats.org/officeDocument/2006/relationships/hyperlink" Target="https://chemicalsafety.ilo.org/dyn/icsc/showcard.display?p_card_id=0892&amp;p_lang=en" TargetMode="External"/><Relationship Id="rId4317" Type="http://schemas.openxmlformats.org/officeDocument/2006/relationships/hyperlink" Target="https://chemicalsafety.ilo.org/dyn/icsc/showcard.display?p_card_id=1117&amp;p_lang=en" TargetMode="External"/><Relationship Id="rId4524" Type="http://schemas.openxmlformats.org/officeDocument/2006/relationships/hyperlink" Target="https://chem.echa.europa.eu/substance-search?searchText=12108-13-3" TargetMode="External"/><Relationship Id="rId4871" Type="http://schemas.openxmlformats.org/officeDocument/2006/relationships/hyperlink" Target="https://www.google.com/search?q=103-82-2+SDS+safety+data+sheet+filetype:pdf" TargetMode="External"/><Relationship Id="rId5922" Type="http://schemas.openxmlformats.org/officeDocument/2006/relationships/hyperlink" Target="https://chemicalsafety.ilo.org/dyn/icsc/showcard.display?p_card_id=1534&amp;p_lang=tr" TargetMode="External"/><Relationship Id="rId187" Type="http://schemas.openxmlformats.org/officeDocument/2006/relationships/hyperlink" Target="https://www.google.com/search?q=75-69-4+SDS+safety+data+sheet+filetype:pdf" TargetMode="External"/><Relationship Id="rId394" Type="http://schemas.openxmlformats.org/officeDocument/2006/relationships/hyperlink" Target="https://chemicalsafety.ilo.org/dyn/icsc/showcard.display?p_card_id=0099&amp;p_lang=tr" TargetMode="External"/><Relationship Id="rId2075" Type="http://schemas.openxmlformats.org/officeDocument/2006/relationships/hyperlink" Target="https://www.google.com/search?q=144-62-7+SDS+safety+data+sheet+filetype:pdf" TargetMode="External"/><Relationship Id="rId2282" Type="http://schemas.openxmlformats.org/officeDocument/2006/relationships/hyperlink" Target="https://chemicalsafety.ilo.org/dyn/icsc/showcard.display?p_card_id=0582&amp;p_lang=tr" TargetMode="External"/><Relationship Id="rId3126" Type="http://schemas.openxmlformats.org/officeDocument/2006/relationships/hyperlink" Target="https://chemicalsafety.ilo.org/dyn/icsc/showcard.display?p_card_id=0802&amp;p_lang=tr" TargetMode="External"/><Relationship Id="rId3680" Type="http://schemas.openxmlformats.org/officeDocument/2006/relationships/hyperlink" Target="https://chem.echa.europa.eu/substance-search?searchText=623-84-7" TargetMode="External"/><Relationship Id="rId4731" Type="http://schemas.openxmlformats.org/officeDocument/2006/relationships/hyperlink" Target="https://www.google.com/search?q=100-39-0+SDS+safety+data+sheet+filetype:pdf" TargetMode="External"/><Relationship Id="rId6489" Type="http://schemas.openxmlformats.org/officeDocument/2006/relationships/hyperlink" Target="https://chemicalsafety.ilo.org/dyn/icsc/showcard.display?p_card_id=1688&amp;p_lang=en" TargetMode="External"/><Relationship Id="rId254" Type="http://schemas.openxmlformats.org/officeDocument/2006/relationships/hyperlink" Target="https://chemicalsafety.ilo.org/dyn/icsc/showcard.display?p_card_id=0064&amp;p_lang=tr" TargetMode="External"/><Relationship Id="rId1091" Type="http://schemas.openxmlformats.org/officeDocument/2006/relationships/hyperlink" Target="https://www.google.com/search?q=144-49-0+SDS+safety+data+sheet+filetype:pdf" TargetMode="External"/><Relationship Id="rId3333" Type="http://schemas.openxmlformats.org/officeDocument/2006/relationships/hyperlink" Target="https://chemicalsafety.ilo.org/dyn/icsc/showcard.display?p_card_id=0856&amp;p_lang=en" TargetMode="External"/><Relationship Id="rId3540" Type="http://schemas.openxmlformats.org/officeDocument/2006/relationships/hyperlink" Target="https://chem.echa.europa.eu/substance-search?searchText=75-31-0" TargetMode="External"/><Relationship Id="rId5298" Type="http://schemas.openxmlformats.org/officeDocument/2006/relationships/hyperlink" Target="https://chemicalsafety.ilo.org/dyn/icsc/showcard.display?p_card_id=1371&amp;p_lang=tr" TargetMode="External"/><Relationship Id="rId6696" Type="http://schemas.openxmlformats.org/officeDocument/2006/relationships/hyperlink" Target="https://chem.echa.europa.eu/substance-search?searchText=96-31-1" TargetMode="External"/><Relationship Id="rId114" Type="http://schemas.openxmlformats.org/officeDocument/2006/relationships/hyperlink" Target="https://chemicalsafety.ilo.org/dyn/icsc/showcard.display?p_card_id=0029&amp;p_lang=tr" TargetMode="External"/><Relationship Id="rId461" Type="http://schemas.openxmlformats.org/officeDocument/2006/relationships/hyperlink" Target="https://chemicalsafety.ilo.org/dyn/icsc/showcard.display?p_card_id=0116&amp;p_lang=en" TargetMode="External"/><Relationship Id="rId2142" Type="http://schemas.openxmlformats.org/officeDocument/2006/relationships/hyperlink" Target="https://chemicalsafety.ilo.org/dyn/icsc/showcard.display?p_card_id=0547&amp;p_lang=tr" TargetMode="External"/><Relationship Id="rId3400" Type="http://schemas.openxmlformats.org/officeDocument/2006/relationships/hyperlink" Target="https://chem.echa.europa.eu/substance-search?searchText=77-73-6" TargetMode="External"/><Relationship Id="rId6349" Type="http://schemas.openxmlformats.org/officeDocument/2006/relationships/hyperlink" Target="https://chemicalsafety.ilo.org/dyn/icsc/showcard.display?p_card_id=1645&amp;p_lang=en" TargetMode="External"/><Relationship Id="rId6556" Type="http://schemas.openxmlformats.org/officeDocument/2006/relationships/hyperlink" Target="https://chem.echa.europa.eu/substance-search?searchText=NITROCELLULOSE+(dry,+more+than+12.6%25+nitrogen)" TargetMode="External"/><Relationship Id="rId6763" Type="http://schemas.openxmlformats.org/officeDocument/2006/relationships/hyperlink" Target="https://www.google.com/search?q=611-19-8+SDS+safety+data+sheet+filetype:pdf" TargetMode="External"/><Relationship Id="rId321" Type="http://schemas.openxmlformats.org/officeDocument/2006/relationships/hyperlink" Target="https://chemicalsafety.ilo.org/dyn/icsc/showcard.display?p_card_id=0081&amp;p_lang=en" TargetMode="External"/><Relationship Id="rId2002" Type="http://schemas.openxmlformats.org/officeDocument/2006/relationships/hyperlink" Target="https://chemicalsafety.ilo.org/dyn/icsc/showcard.display?p_card_id=0507&amp;p_lang=tr" TargetMode="External"/><Relationship Id="rId2959" Type="http://schemas.openxmlformats.org/officeDocument/2006/relationships/hyperlink" Target="https://www.google.com/search?q=78-95-5+SDS+safety+data+sheet+filetype:pdf" TargetMode="External"/><Relationship Id="rId5158" Type="http://schemas.openxmlformats.org/officeDocument/2006/relationships/hyperlink" Target="https://chemicalsafety.ilo.org/dyn/icsc/showcard.display?p_card_id=1336&amp;p_lang=tr" TargetMode="External"/><Relationship Id="rId5365" Type="http://schemas.openxmlformats.org/officeDocument/2006/relationships/hyperlink" Target="https://chemicalsafety.ilo.org/dyn/icsc/showcard.display?p_card_id=1389&amp;p_lang=en" TargetMode="External"/><Relationship Id="rId5572" Type="http://schemas.openxmlformats.org/officeDocument/2006/relationships/hyperlink" Target="https://chem.echa.europa.eu/substance-search?searchText=95-54-5" TargetMode="External"/><Relationship Id="rId6209" Type="http://schemas.openxmlformats.org/officeDocument/2006/relationships/hyperlink" Target="https://chemicalsafety.ilo.org/dyn/icsc/showcard.display?p_card_id=1607&amp;p_lang=en" TargetMode="External"/><Relationship Id="rId6416" Type="http://schemas.openxmlformats.org/officeDocument/2006/relationships/hyperlink" Target="https://chem.echa.europa.eu/substance-search?searchText=3327-22-8" TargetMode="External"/><Relationship Id="rId6623" Type="http://schemas.openxmlformats.org/officeDocument/2006/relationships/hyperlink" Target="https://www.google.com/search?q=95-73-8+SDS+safety+data+sheet+filetype:pdf" TargetMode="External"/><Relationship Id="rId6830" Type="http://schemas.openxmlformats.org/officeDocument/2006/relationships/hyperlink" Target="https://chemicalsafety.ilo.org/dyn/icsc/showcard.display?p_card_id=1780&amp;p_lang=tr" TargetMode="External"/><Relationship Id="rId1768" Type="http://schemas.openxmlformats.org/officeDocument/2006/relationships/hyperlink" Target="https://chem.echa.europa.eu/substance-search?searchText=148-18-5" TargetMode="External"/><Relationship Id="rId2819" Type="http://schemas.openxmlformats.org/officeDocument/2006/relationships/hyperlink" Target="https://www.google.com/search?q=25154-54-5+SDS+safety+data+sheet+filetype:pdf" TargetMode="External"/><Relationship Id="rId4174" Type="http://schemas.openxmlformats.org/officeDocument/2006/relationships/hyperlink" Target="https://chemicalsafety.ilo.org/dyn/icsc/showcard.display?p_card_id=1078&amp;p_lang=tr" TargetMode="External"/><Relationship Id="rId4381" Type="http://schemas.openxmlformats.org/officeDocument/2006/relationships/hyperlink" Target="https://chemicalsafety.ilo.org/dyn/icsc/showcard.display?p_card_id=1134&amp;p_lang=en" TargetMode="External"/><Relationship Id="rId5018" Type="http://schemas.openxmlformats.org/officeDocument/2006/relationships/hyperlink" Target="https://chemicalsafety.ilo.org/dyn/icsc/showcard.display?p_card_id=1297&amp;p_lang=tr" TargetMode="External"/><Relationship Id="rId5225" Type="http://schemas.openxmlformats.org/officeDocument/2006/relationships/hyperlink" Target="https://chemicalsafety.ilo.org/dyn/icsc/showcard.display?p_card_id=1353&amp;p_lang=en" TargetMode="External"/><Relationship Id="rId5432" Type="http://schemas.openxmlformats.org/officeDocument/2006/relationships/hyperlink" Target="https://chem.echa.europa.eu/substance-search?searchText=115-90-2" TargetMode="External"/><Relationship Id="rId1628" Type="http://schemas.openxmlformats.org/officeDocument/2006/relationships/hyperlink" Target="https://chem.echa.europa.eu/substance-search?searchText=786-19-6" TargetMode="External"/><Relationship Id="rId1975" Type="http://schemas.openxmlformats.org/officeDocument/2006/relationships/hyperlink" Target="https://www.google.com/search?q=121-91-5+SDS+safety+data+sheet+filetype:pdf" TargetMode="External"/><Relationship Id="rId3190" Type="http://schemas.openxmlformats.org/officeDocument/2006/relationships/hyperlink" Target="https://chemicalsafety.ilo.org/dyn/icsc/showcard.display?p_card_id=0818&amp;p_lang=tr" TargetMode="External"/><Relationship Id="rId4034" Type="http://schemas.openxmlformats.org/officeDocument/2006/relationships/hyperlink" Target="https://chemicalsafety.ilo.org/dyn/icsc/showcard.display?p_card_id=1039&amp;p_lang=tr" TargetMode="External"/><Relationship Id="rId4241" Type="http://schemas.openxmlformats.org/officeDocument/2006/relationships/hyperlink" Target="https://chemicalsafety.ilo.org/dyn/icsc/showcard.display?p_card_id=1096&amp;p_lang=en" TargetMode="External"/><Relationship Id="rId1835" Type="http://schemas.openxmlformats.org/officeDocument/2006/relationships/hyperlink" Target="https://www.google.com/search?q=25321-14-6+SDS+safety+data+sheet+filetype:pdf" TargetMode="External"/><Relationship Id="rId3050" Type="http://schemas.openxmlformats.org/officeDocument/2006/relationships/hyperlink" Target="https://chemicalsafety.ilo.org/dyn/icsc/showcard.display?p_card_id=0783&amp;p_lang=tr" TargetMode="External"/><Relationship Id="rId4101" Type="http://schemas.openxmlformats.org/officeDocument/2006/relationships/hyperlink" Target="https://chemicalsafety.ilo.org/dyn/icsc/showcard.display?p_card_id=1056&amp;p_lang=en" TargetMode="External"/><Relationship Id="rId1902" Type="http://schemas.openxmlformats.org/officeDocument/2006/relationships/hyperlink" Target="https://chemicalsafety.ilo.org/dyn/icsc/showcard.display?p_card_id=0482&amp;p_lang=tr" TargetMode="External"/><Relationship Id="rId6066" Type="http://schemas.openxmlformats.org/officeDocument/2006/relationships/hyperlink" Target="https://chemicalsafety.ilo.org/dyn/icsc/showcard.display?p_card_id=1571&amp;p_lang=tr" TargetMode="External"/><Relationship Id="rId3867" Type="http://schemas.openxmlformats.org/officeDocument/2006/relationships/hyperlink" Target="https://www.google.com/search?q=7789-82-4+SDS+safety+data+sheet+filetype:pdf" TargetMode="External"/><Relationship Id="rId4918" Type="http://schemas.openxmlformats.org/officeDocument/2006/relationships/hyperlink" Target="https://chemicalsafety.ilo.org/dyn/icsc/showcard.display?p_card_id=1272&amp;p_lang=tr" TargetMode="External"/><Relationship Id="rId6273" Type="http://schemas.openxmlformats.org/officeDocument/2006/relationships/hyperlink" Target="https://chemicalsafety.ilo.org/dyn/icsc/showcard.display?p_card_id=1623&amp;p_lang=en" TargetMode="External"/><Relationship Id="rId6480" Type="http://schemas.openxmlformats.org/officeDocument/2006/relationships/hyperlink" Target="https://chem.echa.europa.eu/substance-search?searchText=111-20-6" TargetMode="External"/><Relationship Id="rId788" Type="http://schemas.openxmlformats.org/officeDocument/2006/relationships/hyperlink" Target="https://chem.echa.europa.eu/substance-search?searchText=57-24-9" TargetMode="External"/><Relationship Id="rId995" Type="http://schemas.openxmlformats.org/officeDocument/2006/relationships/hyperlink" Target="https://www.google.com/search?q=107-06-2+SDS+safety+data+sheet+filetype:pdf" TargetMode="External"/><Relationship Id="rId2469" Type="http://schemas.openxmlformats.org/officeDocument/2006/relationships/hyperlink" Target="https://chemicalsafety.ilo.org/dyn/icsc/showcard.display?p_card_id=0632&amp;p_lang=en" TargetMode="External"/><Relationship Id="rId2676" Type="http://schemas.openxmlformats.org/officeDocument/2006/relationships/hyperlink" Target="https://chem.echa.europa.eu/substance-search?searchText=79-10-7" TargetMode="External"/><Relationship Id="rId2883" Type="http://schemas.openxmlformats.org/officeDocument/2006/relationships/hyperlink" Target="https://www.google.com/search?q=60-51-5+SDS+safety+data+sheet+filetype:pdf" TargetMode="External"/><Relationship Id="rId3727" Type="http://schemas.openxmlformats.org/officeDocument/2006/relationships/hyperlink" Target="https://www.google.com/search?q=7772-99-8+SDS+safety+data+sheet+filetype:pdf" TargetMode="External"/><Relationship Id="rId3934" Type="http://schemas.openxmlformats.org/officeDocument/2006/relationships/hyperlink" Target="https://chemicalsafety.ilo.org/dyn/icsc/showcard.display?p_card_id=1014&amp;p_lang=tr" TargetMode="External"/><Relationship Id="rId5082" Type="http://schemas.openxmlformats.org/officeDocument/2006/relationships/hyperlink" Target="https://chemicalsafety.ilo.org/dyn/icsc/showcard.display?p_card_id=1315&amp;p_lang=tr" TargetMode="External"/><Relationship Id="rId6133" Type="http://schemas.openxmlformats.org/officeDocument/2006/relationships/hyperlink" Target="https://chemicalsafety.ilo.org/dyn/icsc/showcard.display?p_card_id=1588&amp;p_lang=en" TargetMode="External"/><Relationship Id="rId6340" Type="http://schemas.openxmlformats.org/officeDocument/2006/relationships/hyperlink" Target="https://chem.echa.europa.eu/substance-search?searchText=111-36-4" TargetMode="External"/><Relationship Id="rId648" Type="http://schemas.openxmlformats.org/officeDocument/2006/relationships/hyperlink" Target="https://chem.echa.europa.eu/substance-search?searchText=680-31-9" TargetMode="External"/><Relationship Id="rId855" Type="http://schemas.openxmlformats.org/officeDocument/2006/relationships/hyperlink" Target="https://www.google.com/search?q=1336-21-6+SDS+safety+data+sheet+filetype:pdf" TargetMode="External"/><Relationship Id="rId1278" Type="http://schemas.openxmlformats.org/officeDocument/2006/relationships/hyperlink" Target="https://chemicalsafety.ilo.org/dyn/icsc/showcard.display?p_card_id=0321&amp;p_lang=tr" TargetMode="External"/><Relationship Id="rId1485" Type="http://schemas.openxmlformats.org/officeDocument/2006/relationships/hyperlink" Target="https://chemicalsafety.ilo.org/dyn/icsc/showcard.display?p_card_id=0374&amp;p_lang=en" TargetMode="External"/><Relationship Id="rId1692" Type="http://schemas.openxmlformats.org/officeDocument/2006/relationships/hyperlink" Target="https://chem.echa.europa.eu/substance-search?searchText=120-92-3" TargetMode="External"/><Relationship Id="rId2329" Type="http://schemas.openxmlformats.org/officeDocument/2006/relationships/hyperlink" Target="https://chemicalsafety.ilo.org/dyn/icsc/showcard.display?p_card_id=0595&amp;p_lang=en" TargetMode="External"/><Relationship Id="rId2536" Type="http://schemas.openxmlformats.org/officeDocument/2006/relationships/hyperlink" Target="https://chem.echa.europa.eu/substance-search?searchText=461-58-5" TargetMode="External"/><Relationship Id="rId2743" Type="http://schemas.openxmlformats.org/officeDocument/2006/relationships/hyperlink" Target="https://www.google.com/search?q=107-20-0+SDS+safety+data+sheet+filetype:pdf" TargetMode="External"/><Relationship Id="rId5899" Type="http://schemas.openxmlformats.org/officeDocument/2006/relationships/hyperlink" Target="https://www.google.com/search?q=55-55-0+SDS+safety+data+sheet+filetype:pdf" TargetMode="External"/><Relationship Id="rId6200" Type="http://schemas.openxmlformats.org/officeDocument/2006/relationships/hyperlink" Target="https://chem.echa.europa.eu/substance-search?searchText=83-56-7" TargetMode="External"/><Relationship Id="rId508" Type="http://schemas.openxmlformats.org/officeDocument/2006/relationships/hyperlink" Target="https://chem.echa.europa.eu/substance-search?searchText=10049-04-4" TargetMode="External"/><Relationship Id="rId715" Type="http://schemas.openxmlformats.org/officeDocument/2006/relationships/hyperlink" Target="https://www.google.com/search?q=78-93-3+SDS+safety+data+sheet+filetype:pdf" TargetMode="External"/><Relationship Id="rId922" Type="http://schemas.openxmlformats.org/officeDocument/2006/relationships/hyperlink" Target="https://chemicalsafety.ilo.org/dyn/icsc/showcard.display?p_card_id=0232&amp;p_lang=tr" TargetMode="External"/><Relationship Id="rId1138" Type="http://schemas.openxmlformats.org/officeDocument/2006/relationships/hyperlink" Target="https://chemicalsafety.ilo.org/dyn/icsc/showcard.display?p_card_id=0286&amp;p_lang=tr" TargetMode="External"/><Relationship Id="rId1345" Type="http://schemas.openxmlformats.org/officeDocument/2006/relationships/hyperlink" Target="https://chemicalsafety.ilo.org/dyn/icsc/showcard.display?p_card_id=0338&amp;p_lang=en" TargetMode="External"/><Relationship Id="rId1552" Type="http://schemas.openxmlformats.org/officeDocument/2006/relationships/hyperlink" Target="https://chem.echa.europa.eu/substance-search?searchText=120-51-4" TargetMode="External"/><Relationship Id="rId2603" Type="http://schemas.openxmlformats.org/officeDocument/2006/relationships/hyperlink" Target="https://www.google.com/search?q=2243-62-1+SDS+safety+data+sheet+filetype:pdf" TargetMode="External"/><Relationship Id="rId2950" Type="http://schemas.openxmlformats.org/officeDocument/2006/relationships/hyperlink" Target="https://chemicalsafety.ilo.org/dyn/icsc/showcard.display?p_card_id=0758&amp;p_lang=tr" TargetMode="External"/><Relationship Id="rId5759" Type="http://schemas.openxmlformats.org/officeDocument/2006/relationships/hyperlink" Target="https://www.google.com/search?q=111-88-6+SDS+safety+data+sheet+filetype:pdf" TargetMode="External"/><Relationship Id="rId1205" Type="http://schemas.openxmlformats.org/officeDocument/2006/relationships/hyperlink" Target="https://chemicalsafety.ilo.org/dyn/icsc/showcard.display?p_card_id=0303&amp;p_lang=en" TargetMode="External"/><Relationship Id="rId2810" Type="http://schemas.openxmlformats.org/officeDocument/2006/relationships/hyperlink" Target="https://chemicalsafety.ilo.org/dyn/icsc/showcard.display?p_card_id=0723&amp;p_lang=tr" TargetMode="External"/><Relationship Id="rId4568" Type="http://schemas.openxmlformats.org/officeDocument/2006/relationships/hyperlink" Target="https://chem.echa.europa.eu/substance-search?searchText=120-71-8" TargetMode="External"/><Relationship Id="rId5966" Type="http://schemas.openxmlformats.org/officeDocument/2006/relationships/hyperlink" Target="https://chemicalsafety.ilo.org/dyn/icsc/showcard.display?p_card_id=1546&amp;p_lang=tr" TargetMode="External"/><Relationship Id="rId51" Type="http://schemas.openxmlformats.org/officeDocument/2006/relationships/hyperlink" Target="https://www.google.com/search?q=7440-38-2+SDS+safety+data+sheet+filetype:pdf" TargetMode="External"/><Relationship Id="rId1412" Type="http://schemas.openxmlformats.org/officeDocument/2006/relationships/hyperlink" Target="https://chem.echa.europa.eu/substance-search?searchText=74-95-3" TargetMode="External"/><Relationship Id="rId3377" Type="http://schemas.openxmlformats.org/officeDocument/2006/relationships/hyperlink" Target="https://chemicalsafety.ilo.org/dyn/icsc/showcard.display?p_card_id=0868&amp;p_lang=en" TargetMode="External"/><Relationship Id="rId4775" Type="http://schemas.openxmlformats.org/officeDocument/2006/relationships/hyperlink" Target="https://www.google.com/search?q=16090-02-1+SDS+safety+data+sheet+filetype:pdf" TargetMode="External"/><Relationship Id="rId4982" Type="http://schemas.openxmlformats.org/officeDocument/2006/relationships/hyperlink" Target="https://chemicalsafety.ilo.org/dyn/icsc/showcard.display?p_card_id=1288&amp;p_lang=tr" TargetMode="External"/><Relationship Id="rId5619" Type="http://schemas.openxmlformats.org/officeDocument/2006/relationships/hyperlink" Target="https://www.google.com/search?q=238-84-6+SDS+safety+data+sheet+filetype:pdf" TargetMode="External"/><Relationship Id="rId5826" Type="http://schemas.openxmlformats.org/officeDocument/2006/relationships/hyperlink" Target="https://chemicalsafety.ilo.org/dyn/icsc/showcard.display?p_card_id=1510&amp;p_lang=tr" TargetMode="External"/><Relationship Id="rId298" Type="http://schemas.openxmlformats.org/officeDocument/2006/relationships/hyperlink" Target="https://chemicalsafety.ilo.org/dyn/icsc/showcard.display?p_card_id=0075&amp;p_lang=tr" TargetMode="External"/><Relationship Id="rId3584" Type="http://schemas.openxmlformats.org/officeDocument/2006/relationships/hyperlink" Target="https://chem.echa.europa.eu/substance-search?searchText=59-51-8" TargetMode="External"/><Relationship Id="rId3791" Type="http://schemas.openxmlformats.org/officeDocument/2006/relationships/hyperlink" Target="https://www.google.com/search?q=104-94-9+SDS+safety+data+sheet+filetype:pdf" TargetMode="External"/><Relationship Id="rId4428" Type="http://schemas.openxmlformats.org/officeDocument/2006/relationships/hyperlink" Target="https://chem.echa.europa.eu/substance-search?searchText=13454-96-1" TargetMode="External"/><Relationship Id="rId4635" Type="http://schemas.openxmlformats.org/officeDocument/2006/relationships/hyperlink" Target="https://www.google.com/search?q=7757-83-7+SDS+safety+data+sheet+filetype:pdf" TargetMode="External"/><Relationship Id="rId4842" Type="http://schemas.openxmlformats.org/officeDocument/2006/relationships/hyperlink" Target="https://chemicalsafety.ilo.org/dyn/icsc/showcard.display?p_card_id=1253&amp;p_lang=tr" TargetMode="External"/><Relationship Id="rId158" Type="http://schemas.openxmlformats.org/officeDocument/2006/relationships/hyperlink" Target="https://chemicalsafety.ilo.org/dyn/icsc/showcard.display?p_card_id=0040&amp;p_lang=tr" TargetMode="External"/><Relationship Id="rId2186" Type="http://schemas.openxmlformats.org/officeDocument/2006/relationships/hyperlink" Target="https://chemicalsafety.ilo.org/dyn/icsc/showcard.display?p_card_id=0558&amp;p_lang=tr" TargetMode="External"/><Relationship Id="rId2393" Type="http://schemas.openxmlformats.org/officeDocument/2006/relationships/hyperlink" Target="https://chemicalsafety.ilo.org/dyn/icsc/showcard.display?p_card_id=0613&amp;p_lang=en" TargetMode="External"/><Relationship Id="rId3237" Type="http://schemas.openxmlformats.org/officeDocument/2006/relationships/hyperlink" Target="https://chemicalsafety.ilo.org/dyn/icsc/showcard.display?p_card_id=0831&amp;p_lang=en" TargetMode="External"/><Relationship Id="rId3444" Type="http://schemas.openxmlformats.org/officeDocument/2006/relationships/hyperlink" Target="https://chem.echa.europa.eu/substance-search?searchText=34590-94-8" TargetMode="External"/><Relationship Id="rId3651" Type="http://schemas.openxmlformats.org/officeDocument/2006/relationships/hyperlink" Target="https://www.google.com/search?q=60-12-8+SDS+safety+data+sheet+filetype:pdf" TargetMode="External"/><Relationship Id="rId4702" Type="http://schemas.openxmlformats.org/officeDocument/2006/relationships/hyperlink" Target="https://chemicalsafety.ilo.org/dyn/icsc/showcard.display?p_card_id=1218&amp;p_lang=tr" TargetMode="External"/><Relationship Id="rId365" Type="http://schemas.openxmlformats.org/officeDocument/2006/relationships/hyperlink" Target="https://chemicalsafety.ilo.org/dyn/icsc/showcard.display?p_card_id=0092&amp;p_lang=en" TargetMode="External"/><Relationship Id="rId572" Type="http://schemas.openxmlformats.org/officeDocument/2006/relationships/hyperlink" Target="https://chem.echa.europa.eu/substance-search?searchText=608-31-1" TargetMode="External"/><Relationship Id="rId2046" Type="http://schemas.openxmlformats.org/officeDocument/2006/relationships/hyperlink" Target="https://chemicalsafety.ilo.org/dyn/icsc/showcard.display?p_card_id=0521&amp;p_lang=tr" TargetMode="External"/><Relationship Id="rId2253" Type="http://schemas.openxmlformats.org/officeDocument/2006/relationships/hyperlink" Target="https://chemicalsafety.ilo.org/dyn/icsc/showcard.display?p_card_id=0575&amp;p_lang=en" TargetMode="External"/><Relationship Id="rId2460" Type="http://schemas.openxmlformats.org/officeDocument/2006/relationships/hyperlink" Target="https://chem.echa.europa.eu/substance-search?searchText=25265-77-4" TargetMode="External"/><Relationship Id="rId3304" Type="http://schemas.openxmlformats.org/officeDocument/2006/relationships/hyperlink" Target="https://chem.echa.europa.eu/substance-search?searchText=76-15-3" TargetMode="External"/><Relationship Id="rId3511" Type="http://schemas.openxmlformats.org/officeDocument/2006/relationships/hyperlink" Target="https://www.google.com/search?q=75-28-5+SDS+safety+data+sheet+filetype:pdf" TargetMode="External"/><Relationship Id="rId6667" Type="http://schemas.openxmlformats.org/officeDocument/2006/relationships/hyperlink" Target="https://www.google.com/search?q=526-95-4+SDS+safety+data+sheet+filetype:pdf" TargetMode="External"/><Relationship Id="rId225" Type="http://schemas.openxmlformats.org/officeDocument/2006/relationships/hyperlink" Target="https://chemicalsafety.ilo.org/dyn/icsc/showcard.display?p_card_id=0057&amp;p_lang=en" TargetMode="External"/><Relationship Id="rId432" Type="http://schemas.openxmlformats.org/officeDocument/2006/relationships/hyperlink" Target="https://chem.echa.europa.eu/substance-search?searchText=75-25-2" TargetMode="External"/><Relationship Id="rId1062" Type="http://schemas.openxmlformats.org/officeDocument/2006/relationships/hyperlink" Target="https://chemicalsafety.ilo.org/dyn/icsc/showcard.display?p_card_id=0267&amp;p_lang=tr" TargetMode="External"/><Relationship Id="rId2113" Type="http://schemas.openxmlformats.org/officeDocument/2006/relationships/hyperlink" Target="https://chemicalsafety.ilo.org/dyn/icsc/showcard.display?p_card_id=0539&amp;p_lang=en" TargetMode="External"/><Relationship Id="rId2320" Type="http://schemas.openxmlformats.org/officeDocument/2006/relationships/hyperlink" Target="https://chem.echa.europa.eu/substance-search?searchText=122-20-3" TargetMode="External"/><Relationship Id="rId5269" Type="http://schemas.openxmlformats.org/officeDocument/2006/relationships/hyperlink" Target="https://chemicalsafety.ilo.org/dyn/icsc/showcard.display?p_card_id=1364&amp;p_lang=en" TargetMode="External"/><Relationship Id="rId5476" Type="http://schemas.openxmlformats.org/officeDocument/2006/relationships/hyperlink" Target="https://chem.echa.europa.eu/substance-search?searchText=110-62-3" TargetMode="External"/><Relationship Id="rId5683" Type="http://schemas.openxmlformats.org/officeDocument/2006/relationships/hyperlink" Target="https://www.google.com/search?q=89-72-5+SDS+safety+data+sheet+filetype:pdf" TargetMode="External"/><Relationship Id="rId6527" Type="http://schemas.openxmlformats.org/officeDocument/2006/relationships/hyperlink" Target="https://www.google.com/search?q=59-67-6+SDS+safety+data+sheet+filetype:pdf" TargetMode="External"/><Relationship Id="rId6734" Type="http://schemas.openxmlformats.org/officeDocument/2006/relationships/hyperlink" Target="https://chemicalsafety.ilo.org/dyn/icsc/showcard.display?p_card_id=1756&amp;p_lang=tr" TargetMode="External"/><Relationship Id="rId4078" Type="http://schemas.openxmlformats.org/officeDocument/2006/relationships/hyperlink" Target="https://chemicalsafety.ilo.org/dyn/icsc/showcard.display?p_card_id=1050&amp;p_lang=tr" TargetMode="External"/><Relationship Id="rId4285" Type="http://schemas.openxmlformats.org/officeDocument/2006/relationships/hyperlink" Target="https://chemicalsafety.ilo.org/dyn/icsc/showcard.display?p_card_id=1109&amp;p_lang=en" TargetMode="External"/><Relationship Id="rId4492" Type="http://schemas.openxmlformats.org/officeDocument/2006/relationships/hyperlink" Target="https://chem.echa.europa.eu/substance-search?searchText=21564-17-0" TargetMode="External"/><Relationship Id="rId5129" Type="http://schemas.openxmlformats.org/officeDocument/2006/relationships/hyperlink" Target="https://chemicalsafety.ilo.org/dyn/icsc/showcard.display?p_card_id=1327&amp;p_lang=en" TargetMode="External"/><Relationship Id="rId5336" Type="http://schemas.openxmlformats.org/officeDocument/2006/relationships/hyperlink" Target="https://chem.echa.europa.eu/substance-search?searchText=64742-48-9" TargetMode="External"/><Relationship Id="rId5543" Type="http://schemas.openxmlformats.org/officeDocument/2006/relationships/hyperlink" Target="https://www.google.com/search?q=640-19-7+SDS+safety+data+sheet+filetype:pdf" TargetMode="External"/><Relationship Id="rId5890" Type="http://schemas.openxmlformats.org/officeDocument/2006/relationships/hyperlink" Target="https://chemicalsafety.ilo.org/dyn/icsc/showcard.display?p_card_id=1526&amp;p_lang=tr" TargetMode="External"/><Relationship Id="rId1879" Type="http://schemas.openxmlformats.org/officeDocument/2006/relationships/hyperlink" Target="https://www.google.com/search?q=110-49-6+SDS+safety+data+sheet+filetype:pdf" TargetMode="External"/><Relationship Id="rId3094" Type="http://schemas.openxmlformats.org/officeDocument/2006/relationships/hyperlink" Target="https://chemicalsafety.ilo.org/dyn/icsc/showcard.display?p_card_id=0794&amp;p_lang=tr" TargetMode="External"/><Relationship Id="rId4145" Type="http://schemas.openxmlformats.org/officeDocument/2006/relationships/hyperlink" Target="https://chemicalsafety.ilo.org/dyn/icsc/showcard.display?p_card_id=1069&amp;p_lang=en" TargetMode="External"/><Relationship Id="rId5750" Type="http://schemas.openxmlformats.org/officeDocument/2006/relationships/hyperlink" Target="https://chemicalsafety.ilo.org/dyn/icsc/showcard.display?p_card_id=1491&amp;p_lang=tr" TargetMode="External"/><Relationship Id="rId6801" Type="http://schemas.openxmlformats.org/officeDocument/2006/relationships/hyperlink" Target="https://chemicalsafety.ilo.org/dyn/icsc/showcard.display?p_card_id=1773&amp;p_lang=en" TargetMode="External"/><Relationship Id="rId1739" Type="http://schemas.openxmlformats.org/officeDocument/2006/relationships/hyperlink" Target="https://www.google.com/search?q=583-78-8+SDS+safety+data+sheet+filetype:pdf" TargetMode="External"/><Relationship Id="rId1946" Type="http://schemas.openxmlformats.org/officeDocument/2006/relationships/hyperlink" Target="https://chemicalsafety.ilo.org/dyn/icsc/showcard.display?p_card_id=0493&amp;p_lang=tr" TargetMode="External"/><Relationship Id="rId4005" Type="http://schemas.openxmlformats.org/officeDocument/2006/relationships/hyperlink" Target="https://chemicalsafety.ilo.org/dyn/icsc/showcard.display?p_card_id=1032&amp;p_lang=en" TargetMode="External"/><Relationship Id="rId4352" Type="http://schemas.openxmlformats.org/officeDocument/2006/relationships/hyperlink" Target="https://chem.echa.europa.eu/substance-search?searchText=7446-70-0" TargetMode="External"/><Relationship Id="rId5403" Type="http://schemas.openxmlformats.org/officeDocument/2006/relationships/hyperlink" Target="https://www.google.com/search?q=1317-35-7+SDS+safety+data+sheet+filetype:pdf" TargetMode="External"/><Relationship Id="rId5610" Type="http://schemas.openxmlformats.org/officeDocument/2006/relationships/hyperlink" Target="https://chemicalsafety.ilo.org/dyn/icsc/showcard.display?p_card_id=1451&amp;p_lang=tr" TargetMode="External"/><Relationship Id="rId1806" Type="http://schemas.openxmlformats.org/officeDocument/2006/relationships/hyperlink" Target="https://chemicalsafety.ilo.org/dyn/icsc/showcard.display?p_card_id=0457&amp;p_lang=tr" TargetMode="External"/><Relationship Id="rId3161" Type="http://schemas.openxmlformats.org/officeDocument/2006/relationships/hyperlink" Target="https://chemicalsafety.ilo.org/dyn/icsc/showcard.display?p_card_id=0811&amp;p_lang=en" TargetMode="External"/><Relationship Id="rId4212" Type="http://schemas.openxmlformats.org/officeDocument/2006/relationships/hyperlink" Target="https://chem.echa.europa.eu/substance-search?searchText=123-39-7" TargetMode="External"/><Relationship Id="rId3021" Type="http://schemas.openxmlformats.org/officeDocument/2006/relationships/hyperlink" Target="https://chemicalsafety.ilo.org/dyn/icsc/showcard.display?p_card_id=0776&amp;p_lang=en" TargetMode="External"/><Relationship Id="rId3978" Type="http://schemas.openxmlformats.org/officeDocument/2006/relationships/hyperlink" Target="https://chemicalsafety.ilo.org/dyn/icsc/showcard.display?p_card_id=1025&amp;p_lang=tr" TargetMode="External"/><Relationship Id="rId6177" Type="http://schemas.openxmlformats.org/officeDocument/2006/relationships/hyperlink" Target="https://chemicalsafety.ilo.org/dyn/icsc/showcard.display?p_card_id=1599&amp;p_lang=en" TargetMode="External"/><Relationship Id="rId6384" Type="http://schemas.openxmlformats.org/officeDocument/2006/relationships/hyperlink" Target="https://chem.echa.europa.eu/substance-search?searchText=13194-48-4" TargetMode="External"/><Relationship Id="rId6591" Type="http://schemas.openxmlformats.org/officeDocument/2006/relationships/hyperlink" Target="https://www.google.com/search?q=112-57-2+SDS+safety+data+sheet+filetype:pdf" TargetMode="External"/><Relationship Id="rId899" Type="http://schemas.openxmlformats.org/officeDocument/2006/relationships/hyperlink" Target="https://www.google.com/search?q=7440-41-7+SDS+safety+data+sheet+filetype:pdf" TargetMode="External"/><Relationship Id="rId2787" Type="http://schemas.openxmlformats.org/officeDocument/2006/relationships/hyperlink" Target="https://www.google.com/search?q=7440-23-5+SDS+safety+data+sheet+filetype:pdf" TargetMode="External"/><Relationship Id="rId3838" Type="http://schemas.openxmlformats.org/officeDocument/2006/relationships/hyperlink" Target="https://chemicalsafety.ilo.org/dyn/icsc/showcard.display?p_card_id=0984&amp;p_lang=tr" TargetMode="External"/><Relationship Id="rId5193" Type="http://schemas.openxmlformats.org/officeDocument/2006/relationships/hyperlink" Target="https://chemicalsafety.ilo.org/dyn/icsc/showcard.display?p_card_id=1345&amp;p_lang=en" TargetMode="External"/><Relationship Id="rId6037" Type="http://schemas.openxmlformats.org/officeDocument/2006/relationships/hyperlink" Target="https://chemicalsafety.ilo.org/dyn/icsc/showcard.display?p_card_id=1564&amp;p_lang=en" TargetMode="External"/><Relationship Id="rId6244" Type="http://schemas.openxmlformats.org/officeDocument/2006/relationships/hyperlink" Target="https://chem.echa.europa.eu/substance-search?searchText=57018-52-7" TargetMode="External"/><Relationship Id="rId6451" Type="http://schemas.openxmlformats.org/officeDocument/2006/relationships/hyperlink" Target="https://www.google.com/search?q=613-35-4+SDS+safety+data+sheet+filetype:pdf" TargetMode="External"/><Relationship Id="rId759" Type="http://schemas.openxmlformats.org/officeDocument/2006/relationships/hyperlink" Target="https://www.google.com/search?q=10025-87-3+SDS+safety+data+sheet+filetype:pdf" TargetMode="External"/><Relationship Id="rId966" Type="http://schemas.openxmlformats.org/officeDocument/2006/relationships/hyperlink" Target="https://chemicalsafety.ilo.org/dyn/icsc/showcard.display?p_card_id=0243&amp;p_lang=tr" TargetMode="External"/><Relationship Id="rId1389" Type="http://schemas.openxmlformats.org/officeDocument/2006/relationships/hyperlink" Target="https://chemicalsafety.ilo.org/dyn/icsc/showcard.display?p_card_id=0349&amp;p_lang=en" TargetMode="External"/><Relationship Id="rId1596" Type="http://schemas.openxmlformats.org/officeDocument/2006/relationships/hyperlink" Target="https://chem.echa.europa.eu/substance-search?searchText=592-84-7" TargetMode="External"/><Relationship Id="rId2647" Type="http://schemas.openxmlformats.org/officeDocument/2006/relationships/hyperlink" Target="https://www.google.com/search?q=62-56-6+SDS+safety+data+sheet+filetype:pdf" TargetMode="External"/><Relationship Id="rId2994" Type="http://schemas.openxmlformats.org/officeDocument/2006/relationships/hyperlink" Target="https://chemicalsafety.ilo.org/dyn/icsc/showcard.display?p_card_id=0769&amp;p_lang=tr" TargetMode="External"/><Relationship Id="rId5053" Type="http://schemas.openxmlformats.org/officeDocument/2006/relationships/hyperlink" Target="https://chemicalsafety.ilo.org/dyn/icsc/showcard.display?p_card_id=1306&amp;p_lang=en" TargetMode="External"/><Relationship Id="rId5260" Type="http://schemas.openxmlformats.org/officeDocument/2006/relationships/hyperlink" Target="https://chem.echa.europa.eu/substance-search?searchText=41394-05-2" TargetMode="External"/><Relationship Id="rId6104" Type="http://schemas.openxmlformats.org/officeDocument/2006/relationships/hyperlink" Target="https://chem.echa.europa.eu/substance-search?searchText=2696-92-6" TargetMode="External"/><Relationship Id="rId6311" Type="http://schemas.openxmlformats.org/officeDocument/2006/relationships/hyperlink" Target="https://www.google.com/search?q=544-17-2+SDS+safety+data+sheet+filetype:pdf" TargetMode="External"/><Relationship Id="rId619" Type="http://schemas.openxmlformats.org/officeDocument/2006/relationships/hyperlink" Target="https://www.google.com/search?q=75-21-8+SDS+safety+data+sheet+filetype:pdf" TargetMode="External"/><Relationship Id="rId1249" Type="http://schemas.openxmlformats.org/officeDocument/2006/relationships/hyperlink" Target="https://chemicalsafety.ilo.org/dyn/icsc/showcard.display?p_card_id=0314&amp;p_lang=en" TargetMode="External"/><Relationship Id="rId2854" Type="http://schemas.openxmlformats.org/officeDocument/2006/relationships/hyperlink" Target="https://chemicalsafety.ilo.org/dyn/icsc/showcard.display?p_card_id=0734&amp;p_lang=tr" TargetMode="External"/><Relationship Id="rId3905" Type="http://schemas.openxmlformats.org/officeDocument/2006/relationships/hyperlink" Target="https://chemicalsafety.ilo.org/dyn/icsc/showcard.display?p_card_id=1006&amp;p_lang=en" TargetMode="External"/><Relationship Id="rId5120" Type="http://schemas.openxmlformats.org/officeDocument/2006/relationships/hyperlink" Target="https://chem.echa.europa.eu/substance-search?searchText=7784-18-1" TargetMode="External"/><Relationship Id="rId95" Type="http://schemas.openxmlformats.org/officeDocument/2006/relationships/hyperlink" Target="https://www.google.com/search?q=56-23-5+SDS+safety+data+sheet+filetype:pdf" TargetMode="External"/><Relationship Id="rId826" Type="http://schemas.openxmlformats.org/officeDocument/2006/relationships/hyperlink" Target="https://chemicalsafety.ilo.org/dyn/icsc/showcard.display?p_card_id=0208&amp;p_lang=tr" TargetMode="External"/><Relationship Id="rId1109" Type="http://schemas.openxmlformats.org/officeDocument/2006/relationships/hyperlink" Target="https://chemicalsafety.ilo.org/dyn/icsc/showcard.display?p_card_id=0279&amp;p_lang=en" TargetMode="External"/><Relationship Id="rId1456" Type="http://schemas.openxmlformats.org/officeDocument/2006/relationships/hyperlink" Target="https://chem.echa.europa.eu/substance-search?searchText=506-96-7" TargetMode="External"/><Relationship Id="rId1663" Type="http://schemas.openxmlformats.org/officeDocument/2006/relationships/hyperlink" Target="https://www.google.com/search?q=75-72-9+SDS+safety+data+sheet+filetype:pdf" TargetMode="External"/><Relationship Id="rId1870" Type="http://schemas.openxmlformats.org/officeDocument/2006/relationships/hyperlink" Target="https://chemicalsafety.ilo.org/dyn/icsc/showcard.display?p_card_id=0474&amp;p_lang=tr" TargetMode="External"/><Relationship Id="rId2507" Type="http://schemas.openxmlformats.org/officeDocument/2006/relationships/hyperlink" Target="https://www.google.com/search?q=108-90-7+SDS+safety+data+sheet+filetype:pdf" TargetMode="External"/><Relationship Id="rId2714" Type="http://schemas.openxmlformats.org/officeDocument/2006/relationships/hyperlink" Target="https://chemicalsafety.ilo.org/dyn/icsc/showcard.display?p_card_id=0699&amp;p_lang=tr" TargetMode="External"/><Relationship Id="rId2921" Type="http://schemas.openxmlformats.org/officeDocument/2006/relationships/hyperlink" Target="https://chemicalsafety.ilo.org/dyn/icsc/showcard.display?p_card_id=0751&amp;p_lang=en" TargetMode="External"/><Relationship Id="rId1316" Type="http://schemas.openxmlformats.org/officeDocument/2006/relationships/hyperlink" Target="https://chem.echa.europa.eu/substance-search?searchText=100-21-0" TargetMode="External"/><Relationship Id="rId1523" Type="http://schemas.openxmlformats.org/officeDocument/2006/relationships/hyperlink" Target="https://www.google.com/search?q=741-58-2+SDS+safety+data+sheet+filetype:pdf" TargetMode="External"/><Relationship Id="rId1730" Type="http://schemas.openxmlformats.org/officeDocument/2006/relationships/hyperlink" Target="https://chemicalsafety.ilo.org/dyn/icsc/showcard.display?p_card_id=0437&amp;p_lang=tr" TargetMode="External"/><Relationship Id="rId4679" Type="http://schemas.openxmlformats.org/officeDocument/2006/relationships/hyperlink" Target="https://www.google.com/search?q=10031-13-7+SDS+safety+data+sheet+filetype:pdf" TargetMode="External"/><Relationship Id="rId4886" Type="http://schemas.openxmlformats.org/officeDocument/2006/relationships/hyperlink" Target="https://chemicalsafety.ilo.org/dyn/icsc/showcard.display?p_card_id=1264&amp;p_lang=tr" TargetMode="External"/><Relationship Id="rId5937" Type="http://schemas.openxmlformats.org/officeDocument/2006/relationships/hyperlink" Target="https://chemicalsafety.ilo.org/dyn/icsc/showcard.display?p_card_id=1538&amp;p_lang=en" TargetMode="External"/><Relationship Id="rId22" Type="http://schemas.openxmlformats.org/officeDocument/2006/relationships/hyperlink" Target="https://chemicalsafety.ilo.org/dyn/icsc/showcard.display?p_card_id=0006&amp;p_lang=tr" TargetMode="External"/><Relationship Id="rId3488" Type="http://schemas.openxmlformats.org/officeDocument/2006/relationships/hyperlink" Target="https://chem.echa.europa.eu/substance-search?searchText=118-74-1" TargetMode="External"/><Relationship Id="rId3695" Type="http://schemas.openxmlformats.org/officeDocument/2006/relationships/hyperlink" Target="https://www.google.com/search?q=7783-79-1+SDS+safety+data+sheet+filetype:pdf" TargetMode="External"/><Relationship Id="rId4539" Type="http://schemas.openxmlformats.org/officeDocument/2006/relationships/hyperlink" Target="https://www.google.com/search?q=110-17-8+SDS+safety+data+sheet+filetype:pdf" TargetMode="External"/><Relationship Id="rId4746" Type="http://schemas.openxmlformats.org/officeDocument/2006/relationships/hyperlink" Target="https://chemicalsafety.ilo.org/dyn/icsc/showcard.display?p_card_id=1229&amp;p_lang=tr" TargetMode="External"/><Relationship Id="rId4953" Type="http://schemas.openxmlformats.org/officeDocument/2006/relationships/hyperlink" Target="https://chemicalsafety.ilo.org/dyn/icsc/showcard.display?p_card_id=1281&amp;p_lang=en" TargetMode="External"/><Relationship Id="rId2297" Type="http://schemas.openxmlformats.org/officeDocument/2006/relationships/hyperlink" Target="https://chemicalsafety.ilo.org/dyn/icsc/showcard.display?p_card_id=0587&amp;p_lang=en" TargetMode="External"/><Relationship Id="rId3348" Type="http://schemas.openxmlformats.org/officeDocument/2006/relationships/hyperlink" Target="https://chem.echa.europa.eu/substance-search?searchText=91465-08-6" TargetMode="External"/><Relationship Id="rId3555" Type="http://schemas.openxmlformats.org/officeDocument/2006/relationships/hyperlink" Target="https://www.google.com/search?q=78-70-6+SDS+safety+data+sheet+filetype:pdf" TargetMode="External"/><Relationship Id="rId3762" Type="http://schemas.openxmlformats.org/officeDocument/2006/relationships/hyperlink" Target="https://chemicalsafety.ilo.org/dyn/icsc/showcard.display?p_card_id=0964&amp;p_lang=tr" TargetMode="External"/><Relationship Id="rId4606" Type="http://schemas.openxmlformats.org/officeDocument/2006/relationships/hyperlink" Target="https://chemicalsafety.ilo.org/dyn/icsc/showcard.display?p_card_id=1191&amp;p_lang=tr" TargetMode="External"/><Relationship Id="rId4813" Type="http://schemas.openxmlformats.org/officeDocument/2006/relationships/hyperlink" Target="https://chemicalsafety.ilo.org/dyn/icsc/showcard.display?p_card_id=1246&amp;p_lang=en" TargetMode="External"/><Relationship Id="rId269" Type="http://schemas.openxmlformats.org/officeDocument/2006/relationships/hyperlink" Target="https://chemicalsafety.ilo.org/dyn/icsc/showcard.display?p_card_id=0068&amp;p_lang=en" TargetMode="External"/><Relationship Id="rId476" Type="http://schemas.openxmlformats.org/officeDocument/2006/relationships/hyperlink" Target="https://chem.echa.europa.eu/substance-search?searchText=2425-06-1" TargetMode="External"/><Relationship Id="rId683" Type="http://schemas.openxmlformats.org/officeDocument/2006/relationships/hyperlink" Target="https://www.google.com/search?q=4016-14-2+SDS+safety+data+sheet+filetype:pdf" TargetMode="External"/><Relationship Id="rId890" Type="http://schemas.openxmlformats.org/officeDocument/2006/relationships/hyperlink" Target="https://chemicalsafety.ilo.org/dyn/icsc/showcard.display?p_card_id=0224&amp;p_lang=tr" TargetMode="External"/><Relationship Id="rId2157" Type="http://schemas.openxmlformats.org/officeDocument/2006/relationships/hyperlink" Target="https://chemicalsafety.ilo.org/dyn/icsc/showcard.display?p_card_id=0551&amp;p_lang=en" TargetMode="External"/><Relationship Id="rId2364" Type="http://schemas.openxmlformats.org/officeDocument/2006/relationships/hyperlink" Target="https://chem.echa.europa.eu/substance-search?searchText=7439-90-9" TargetMode="External"/><Relationship Id="rId2571" Type="http://schemas.openxmlformats.org/officeDocument/2006/relationships/hyperlink" Target="https://www.google.com/search?q=124-09-4+SDS+safety+data+sheet+filetype:pdf" TargetMode="External"/><Relationship Id="rId3208" Type="http://schemas.openxmlformats.org/officeDocument/2006/relationships/hyperlink" Target="https://chem.echa.europa.eu/substance-search?searchText=50-78-2" TargetMode="External"/><Relationship Id="rId3415" Type="http://schemas.openxmlformats.org/officeDocument/2006/relationships/hyperlink" Target="https://www.google.com/search?q=121-69-7+SDS+safety+data+sheet+filetype:pdf" TargetMode="External"/><Relationship Id="rId6778" Type="http://schemas.openxmlformats.org/officeDocument/2006/relationships/hyperlink" Target="https://chemicalsafety.ilo.org/dyn/icsc/showcard.display?p_card_id=1767&amp;p_lang=tr" TargetMode="External"/><Relationship Id="rId129" Type="http://schemas.openxmlformats.org/officeDocument/2006/relationships/hyperlink" Target="https://chemicalsafety.ilo.org/dyn/icsc/showcard.display?p_card_id=0033&amp;p_lang=en" TargetMode="External"/><Relationship Id="rId336" Type="http://schemas.openxmlformats.org/officeDocument/2006/relationships/hyperlink" Target="https://chem.echa.europa.eu/substance-search?searchText=95-47-6" TargetMode="External"/><Relationship Id="rId543" Type="http://schemas.openxmlformats.org/officeDocument/2006/relationships/hyperlink" Target="https://www.google.com/search?q=506-68-3+SDS+safety+data+sheet+filetype:pdf" TargetMode="External"/><Relationship Id="rId1173" Type="http://schemas.openxmlformats.org/officeDocument/2006/relationships/hyperlink" Target="https://chemicalsafety.ilo.org/dyn/icsc/showcard.display?p_card_id=0295&amp;p_lang=en" TargetMode="External"/><Relationship Id="rId1380" Type="http://schemas.openxmlformats.org/officeDocument/2006/relationships/hyperlink" Target="https://chem.echa.europa.eu/substance-search?searchText=109-52-4" TargetMode="External"/><Relationship Id="rId2017" Type="http://schemas.openxmlformats.org/officeDocument/2006/relationships/hyperlink" Target="https://chemicalsafety.ilo.org/dyn/icsc/showcard.display?p_card_id=0513&amp;p_lang=en" TargetMode="External"/><Relationship Id="rId2224" Type="http://schemas.openxmlformats.org/officeDocument/2006/relationships/hyperlink" Target="https://chem.echa.europa.eu/substance-search?searchText=1303-96-4" TargetMode="External"/><Relationship Id="rId3622" Type="http://schemas.openxmlformats.org/officeDocument/2006/relationships/hyperlink" Target="https://chemicalsafety.ilo.org/dyn/icsc/showcard.display?p_card_id=0929&amp;p_lang=tr" TargetMode="External"/><Relationship Id="rId5587" Type="http://schemas.openxmlformats.org/officeDocument/2006/relationships/hyperlink" Target="https://www.google.com/search?q=540-88-5+SDS+safety+data+sheet+filetype:pdf" TargetMode="External"/><Relationship Id="rId403" Type="http://schemas.openxmlformats.org/officeDocument/2006/relationships/hyperlink" Target="https://www.google.com/search?q=98-87-3+SDS+safety+data+sheet+filetype:pdf" TargetMode="External"/><Relationship Id="rId750" Type="http://schemas.openxmlformats.org/officeDocument/2006/relationships/hyperlink" Target="https://chemicalsafety.ilo.org/dyn/icsc/showcard.display?p_card_id=0188&amp;p_lang=tr" TargetMode="External"/><Relationship Id="rId1033" Type="http://schemas.openxmlformats.org/officeDocument/2006/relationships/hyperlink" Target="https://chemicalsafety.ilo.org/dyn/icsc/showcard.display?p_card_id=0260&amp;p_lang=en" TargetMode="External"/><Relationship Id="rId2431" Type="http://schemas.openxmlformats.org/officeDocument/2006/relationships/hyperlink" Target="https://www.google.com/search?q=122-14-5+SDS+safety+data+sheet+filetype:pdf" TargetMode="External"/><Relationship Id="rId4189" Type="http://schemas.openxmlformats.org/officeDocument/2006/relationships/hyperlink" Target="https://chemicalsafety.ilo.org/dyn/icsc/showcard.display?p_card_id=1082&amp;p_lang=en" TargetMode="External"/><Relationship Id="rId5794" Type="http://schemas.openxmlformats.org/officeDocument/2006/relationships/hyperlink" Target="https://chemicalsafety.ilo.org/dyn/icsc/showcard.display?p_card_id=1502&amp;p_lang=tr" TargetMode="External"/><Relationship Id="rId6638" Type="http://schemas.openxmlformats.org/officeDocument/2006/relationships/hyperlink" Target="https://chemicalsafety.ilo.org/dyn/icsc/showcard.display?p_card_id=1731&amp;p_lang=tr" TargetMode="External"/><Relationship Id="rId6845" Type="http://schemas.openxmlformats.org/officeDocument/2006/relationships/hyperlink" Target="https://chemicalsafety.ilo.org/dyn/icsc/showcard.display?p_card_id=1785&amp;p_lang=en" TargetMode="External"/><Relationship Id="rId610" Type="http://schemas.openxmlformats.org/officeDocument/2006/relationships/hyperlink" Target="https://chemicalsafety.ilo.org/dyn/icsc/showcard.display?p_card_id=0153&amp;p_lang=tr" TargetMode="External"/><Relationship Id="rId1240" Type="http://schemas.openxmlformats.org/officeDocument/2006/relationships/hyperlink" Target="https://chem.echa.europa.eu/substance-search?searchText=594-42-3" TargetMode="External"/><Relationship Id="rId4049" Type="http://schemas.openxmlformats.org/officeDocument/2006/relationships/hyperlink" Target="https://chemicalsafety.ilo.org/dyn/icsc/showcard.display?p_card_id=1043&amp;p_lang=en" TargetMode="External"/><Relationship Id="rId4396" Type="http://schemas.openxmlformats.org/officeDocument/2006/relationships/hyperlink" Target="https://chem.echa.europa.eu/substance-search?searchText=1344-09-8" TargetMode="External"/><Relationship Id="rId5447" Type="http://schemas.openxmlformats.org/officeDocument/2006/relationships/hyperlink" Target="https://www.google.com/search?q=96-34-4+SDS+safety+data+sheet+filetype:pdf" TargetMode="External"/><Relationship Id="rId5654" Type="http://schemas.openxmlformats.org/officeDocument/2006/relationships/hyperlink" Target="https://chemicalsafety.ilo.org/dyn/icsc/showcard.display?p_card_id=1465&amp;p_lang=tr" TargetMode="External"/><Relationship Id="rId5861" Type="http://schemas.openxmlformats.org/officeDocument/2006/relationships/hyperlink" Target="https://chemicalsafety.ilo.org/dyn/icsc/showcard.display?p_card_id=1519&amp;p_lang=en" TargetMode="External"/><Relationship Id="rId6705" Type="http://schemas.openxmlformats.org/officeDocument/2006/relationships/hyperlink" Target="https://chemicalsafety.ilo.org/dyn/icsc/showcard.display?p_card_id=1748&amp;p_lang=en" TargetMode="External"/><Relationship Id="rId1100" Type="http://schemas.openxmlformats.org/officeDocument/2006/relationships/hyperlink" Target="https://chem.echa.europa.eu/substance-search?searchText=98-01-1" TargetMode="External"/><Relationship Id="rId4256" Type="http://schemas.openxmlformats.org/officeDocument/2006/relationships/hyperlink" Target="https://chem.echa.europa.eu/substance-search?searchText=75-57-0" TargetMode="External"/><Relationship Id="rId4463" Type="http://schemas.openxmlformats.org/officeDocument/2006/relationships/hyperlink" Target="https://www.google.com/search?q=108-78-1+SDS+safety+data+sheet+filetype:pdf" TargetMode="External"/><Relationship Id="rId4670" Type="http://schemas.openxmlformats.org/officeDocument/2006/relationships/hyperlink" Target="https://chemicalsafety.ilo.org/dyn/icsc/showcard.display?p_card_id=1210&amp;p_lang=tr" TargetMode="External"/><Relationship Id="rId5307" Type="http://schemas.openxmlformats.org/officeDocument/2006/relationships/hyperlink" Target="https://www.google.com/search?q=115-27-5+SDS+safety+data+sheet+filetype:pdf" TargetMode="External"/><Relationship Id="rId5514" Type="http://schemas.openxmlformats.org/officeDocument/2006/relationships/hyperlink" Target="https://chemicalsafety.ilo.org/dyn/icsc/showcard.display?p_card_id=1427&amp;p_lang=tr" TargetMode="External"/><Relationship Id="rId5721" Type="http://schemas.openxmlformats.org/officeDocument/2006/relationships/hyperlink" Target="https://chemicalsafety.ilo.org/dyn/icsc/showcard.display?p_card_id=1484&amp;p_lang=en" TargetMode="External"/><Relationship Id="rId1917" Type="http://schemas.openxmlformats.org/officeDocument/2006/relationships/hyperlink" Target="https://chemicalsafety.ilo.org/dyn/icsc/showcard.display?p_card_id=0486&amp;p_lang=en" TargetMode="External"/><Relationship Id="rId3065" Type="http://schemas.openxmlformats.org/officeDocument/2006/relationships/hyperlink" Target="https://chemicalsafety.ilo.org/dyn/icsc/showcard.display?p_card_id=0787&amp;p_lang=en" TargetMode="External"/><Relationship Id="rId3272" Type="http://schemas.openxmlformats.org/officeDocument/2006/relationships/hyperlink" Target="https://chem.echa.europa.eu/substance-search?searchText=105-46-4" TargetMode="External"/><Relationship Id="rId4116" Type="http://schemas.openxmlformats.org/officeDocument/2006/relationships/hyperlink" Target="https://chem.echa.europa.eu/substance-search?searchText=298-02-2" TargetMode="External"/><Relationship Id="rId4323" Type="http://schemas.openxmlformats.org/officeDocument/2006/relationships/hyperlink" Target="https://www.google.com/search?q=143-33-9+SDS+safety+data+sheet+filetype:pdf" TargetMode="External"/><Relationship Id="rId4530" Type="http://schemas.openxmlformats.org/officeDocument/2006/relationships/hyperlink" Target="https://chemicalsafety.ilo.org/dyn/icsc/showcard.display?p_card_id=1171&amp;p_lang=tr" TargetMode="External"/><Relationship Id="rId193" Type="http://schemas.openxmlformats.org/officeDocument/2006/relationships/hyperlink" Target="https://chemicalsafety.ilo.org/dyn/icsc/showcard.display?p_card_id=0049&amp;p_lang=en" TargetMode="External"/><Relationship Id="rId2081" Type="http://schemas.openxmlformats.org/officeDocument/2006/relationships/hyperlink" Target="https://chemicalsafety.ilo.org/dyn/icsc/showcard.display?p_card_id=0531&amp;p_lang=en" TargetMode="External"/><Relationship Id="rId3132" Type="http://schemas.openxmlformats.org/officeDocument/2006/relationships/hyperlink" Target="https://chem.echa.europa.eu/substance-search?searchText=108-89-4" TargetMode="External"/><Relationship Id="rId6288" Type="http://schemas.openxmlformats.org/officeDocument/2006/relationships/hyperlink" Target="https://chem.echa.europa.eu/substance-search?searchText=1314-98-3" TargetMode="External"/><Relationship Id="rId6495" Type="http://schemas.openxmlformats.org/officeDocument/2006/relationships/hyperlink" Target="https://www.google.com/search?q=1163-19-5+SDS+safety+data+sheet+filetype:pdf" TargetMode="External"/><Relationship Id="rId260" Type="http://schemas.openxmlformats.org/officeDocument/2006/relationships/hyperlink" Target="https://chem.echa.europa.eu/substance-search?searchText=98-95-3" TargetMode="External"/><Relationship Id="rId5097" Type="http://schemas.openxmlformats.org/officeDocument/2006/relationships/hyperlink" Target="https://chemicalsafety.ilo.org/dyn/icsc/showcard.display?p_card_id=1319&amp;p_lang=en" TargetMode="External"/><Relationship Id="rId6148" Type="http://schemas.openxmlformats.org/officeDocument/2006/relationships/hyperlink" Target="https://chem.echa.europa.eu/substance-search?searchText=619-15-8" TargetMode="External"/><Relationship Id="rId6355" Type="http://schemas.openxmlformats.org/officeDocument/2006/relationships/hyperlink" Target="https://www.google.com/search?q=542-56-3+SDS+safety+data+sheet+filetype:pdf" TargetMode="External"/><Relationship Id="rId120" Type="http://schemas.openxmlformats.org/officeDocument/2006/relationships/hyperlink" Target="https://chem.echa.europa.eu/substance-search?searchText=95-48-7" TargetMode="External"/><Relationship Id="rId2898" Type="http://schemas.openxmlformats.org/officeDocument/2006/relationships/hyperlink" Target="https://chemicalsafety.ilo.org/dyn/icsc/showcard.display?p_card_id=0745&amp;p_lang=tr" TargetMode="External"/><Relationship Id="rId3949" Type="http://schemas.openxmlformats.org/officeDocument/2006/relationships/hyperlink" Target="https://chemicalsafety.ilo.org/dyn/icsc/showcard.display?p_card_id=1018&amp;p_lang=en" TargetMode="External"/><Relationship Id="rId5164" Type="http://schemas.openxmlformats.org/officeDocument/2006/relationships/hyperlink" Target="https://chem.echa.europa.eu/substance-search?searchText=111-92-2" TargetMode="External"/><Relationship Id="rId6008" Type="http://schemas.openxmlformats.org/officeDocument/2006/relationships/hyperlink" Target="https://chem.echa.europa.eu/substance-search?searchText=121-45-9" TargetMode="External"/><Relationship Id="rId6215" Type="http://schemas.openxmlformats.org/officeDocument/2006/relationships/hyperlink" Target="https://www.google.com/search?q=7778-77-0+SDS+safety+data+sheet+filetype:pdf" TargetMode="External"/><Relationship Id="rId6562" Type="http://schemas.openxmlformats.org/officeDocument/2006/relationships/hyperlink" Target="https://chemicalsafety.ilo.org/dyn/icsc/showcard.display?p_card_id=1711&amp;p_lang=tr" TargetMode="External"/><Relationship Id="rId2758" Type="http://schemas.openxmlformats.org/officeDocument/2006/relationships/hyperlink" Target="https://chemicalsafety.ilo.org/dyn/icsc/showcard.display?p_card_id=0710&amp;p_lang=tr" TargetMode="External"/><Relationship Id="rId2965" Type="http://schemas.openxmlformats.org/officeDocument/2006/relationships/hyperlink" Target="https://chemicalsafety.ilo.org/dyn/icsc/showcard.display?p_card_id=0762&amp;p_lang=en" TargetMode="External"/><Relationship Id="rId3809" Type="http://schemas.openxmlformats.org/officeDocument/2006/relationships/hyperlink" Target="https://chemicalsafety.ilo.org/dyn/icsc/showcard.display?p_card_id=0977&amp;p_lang=en" TargetMode="External"/><Relationship Id="rId5024" Type="http://schemas.openxmlformats.org/officeDocument/2006/relationships/hyperlink" Target="https://chem.echa.europa.eu/substance-search?searchText=97-36-9" TargetMode="External"/><Relationship Id="rId5371" Type="http://schemas.openxmlformats.org/officeDocument/2006/relationships/hyperlink" Target="https://www.google.com/search?q=460-19-5+SDS+safety+data+sheet+filetype:pdf" TargetMode="External"/><Relationship Id="rId6422" Type="http://schemas.openxmlformats.org/officeDocument/2006/relationships/hyperlink" Target="https://chemicalsafety.ilo.org/dyn/icsc/showcard.display?p_card_id=1671&amp;p_lang=tr" TargetMode="External"/><Relationship Id="rId937" Type="http://schemas.openxmlformats.org/officeDocument/2006/relationships/hyperlink" Target="https://chemicalsafety.ilo.org/dyn/icsc/showcard.display?p_card_id=0236&amp;p_lang=en" TargetMode="External"/><Relationship Id="rId1567" Type="http://schemas.openxmlformats.org/officeDocument/2006/relationships/hyperlink" Target="https://www.google.com/search?q=584-03-2+SDS+safety+data+sheet+filetype:pdf" TargetMode="External"/><Relationship Id="rId1774" Type="http://schemas.openxmlformats.org/officeDocument/2006/relationships/hyperlink" Target="https://chemicalsafety.ilo.org/dyn/icsc/showcard.display?p_card_id=0448&amp;p_lang=tr" TargetMode="External"/><Relationship Id="rId1981" Type="http://schemas.openxmlformats.org/officeDocument/2006/relationships/hyperlink" Target="https://chemicalsafety.ilo.org/dyn/icsc/showcard.display?p_card_id=0502&amp;p_lang=en" TargetMode="External"/><Relationship Id="rId2618" Type="http://schemas.openxmlformats.org/officeDocument/2006/relationships/hyperlink" Target="https://chemicalsafety.ilo.org/dyn/icsc/showcard.display?p_card_id=0672&amp;p_lang=tr" TargetMode="External"/><Relationship Id="rId2825" Type="http://schemas.openxmlformats.org/officeDocument/2006/relationships/hyperlink" Target="https://chemicalsafety.ilo.org/dyn/icsc/showcard.display?p_card_id=0727&amp;p_lang=en" TargetMode="External"/><Relationship Id="rId4180" Type="http://schemas.openxmlformats.org/officeDocument/2006/relationships/hyperlink" Target="https://chem.echa.europa.eu/substance-search?searchText=123-25-1" TargetMode="External"/><Relationship Id="rId5231" Type="http://schemas.openxmlformats.org/officeDocument/2006/relationships/hyperlink" Target="https://www.google.com/search?q=7787-47-5+SDS+safety+data+sheet+filetype:pdf" TargetMode="External"/><Relationship Id="rId66" Type="http://schemas.openxmlformats.org/officeDocument/2006/relationships/hyperlink" Target="https://chemicalsafety.ilo.org/dyn/icsc/showcard.display?p_card_id=0017&amp;p_lang=tr" TargetMode="External"/><Relationship Id="rId1427" Type="http://schemas.openxmlformats.org/officeDocument/2006/relationships/hyperlink" Target="https://www.google.com/search?q=8050-09-7+SDS+safety+data+sheet+filetype:pdf" TargetMode="External"/><Relationship Id="rId1634" Type="http://schemas.openxmlformats.org/officeDocument/2006/relationships/hyperlink" Target="https://chemicalsafety.ilo.org/dyn/icsc/showcard.display?p_card_id=0413&amp;p_lang=tr" TargetMode="External"/><Relationship Id="rId1841" Type="http://schemas.openxmlformats.org/officeDocument/2006/relationships/hyperlink" Target="https://chemicalsafety.ilo.org/dyn/icsc/showcard.display?p_card_id=0467&amp;p_lang=en" TargetMode="External"/><Relationship Id="rId4040" Type="http://schemas.openxmlformats.org/officeDocument/2006/relationships/hyperlink" Target="https://chem.echa.europa.eu/substance-search?searchText=16872-11-0" TargetMode="External"/><Relationship Id="rId4997" Type="http://schemas.openxmlformats.org/officeDocument/2006/relationships/hyperlink" Target="https://chemicalsafety.ilo.org/dyn/icsc/showcard.display?p_card_id=1292&amp;p_lang=en" TargetMode="External"/><Relationship Id="rId3599" Type="http://schemas.openxmlformats.org/officeDocument/2006/relationships/hyperlink" Target="https://www.google.com/search?q=108-87-2+SDS+safety+data+sheet+filetype:pdf" TargetMode="External"/><Relationship Id="rId4857" Type="http://schemas.openxmlformats.org/officeDocument/2006/relationships/hyperlink" Target="https://chemicalsafety.ilo.org/dyn/icsc/showcard.display?p_card_id=1257&amp;p_lang=en" TargetMode="External"/><Relationship Id="rId1701" Type="http://schemas.openxmlformats.org/officeDocument/2006/relationships/hyperlink" Target="https://chemicalsafety.ilo.org/dyn/icsc/showcard.display?p_card_id=0430&amp;p_lang=en" TargetMode="External"/><Relationship Id="rId3459" Type="http://schemas.openxmlformats.org/officeDocument/2006/relationships/hyperlink" Target="https://www.google.com/search?q=563-12-2+SDS+safety+data+sheet+filetype:pdf" TargetMode="External"/><Relationship Id="rId3666" Type="http://schemas.openxmlformats.org/officeDocument/2006/relationships/hyperlink" Target="https://chemicalsafety.ilo.org/dyn/icsc/showcard.display?p_card_id=0940&amp;p_lang=tr" TargetMode="External"/><Relationship Id="rId5908" Type="http://schemas.openxmlformats.org/officeDocument/2006/relationships/hyperlink" Target="https://chem.echa.europa.eu/substance-search?searchText=7789-02-8" TargetMode="External"/><Relationship Id="rId6072" Type="http://schemas.openxmlformats.org/officeDocument/2006/relationships/hyperlink" Target="https://chem.echa.europa.eu/substance-search?searchText=112-59-4" TargetMode="External"/><Relationship Id="rId587" Type="http://schemas.openxmlformats.org/officeDocument/2006/relationships/hyperlink" Target="https://www.google.com/search?q=57-14-7+SDS+safety+data+sheet+filetype:pdf" TargetMode="External"/><Relationship Id="rId2268" Type="http://schemas.openxmlformats.org/officeDocument/2006/relationships/hyperlink" Target="https://chem.echa.europa.eu/substance-search?searchText=109-99-9" TargetMode="External"/><Relationship Id="rId3319" Type="http://schemas.openxmlformats.org/officeDocument/2006/relationships/hyperlink" Target="https://www.google.com/search?q=1918-13-4+SDS+safety+data+sheet+filetype:pdf" TargetMode="External"/><Relationship Id="rId3873" Type="http://schemas.openxmlformats.org/officeDocument/2006/relationships/hyperlink" Target="https://chemicalsafety.ilo.org/dyn/icsc/showcard.display?p_card_id=0996&amp;p_lang=en" TargetMode="External"/><Relationship Id="rId4717" Type="http://schemas.openxmlformats.org/officeDocument/2006/relationships/hyperlink" Target="https://chemicalsafety.ilo.org/dyn/icsc/showcard.display?p_card_id=1222&amp;p_lang=en" TargetMode="External"/><Relationship Id="rId4924" Type="http://schemas.openxmlformats.org/officeDocument/2006/relationships/hyperlink" Target="https://chem.echa.europa.eu/substance-search?searchText=1746-81-2" TargetMode="External"/><Relationship Id="rId447" Type="http://schemas.openxmlformats.org/officeDocument/2006/relationships/hyperlink" Target="https://www.google.com/search?q=78-92-2+SDS+safety+data+sheet+filetype:pdf" TargetMode="External"/><Relationship Id="rId794" Type="http://schemas.openxmlformats.org/officeDocument/2006/relationships/hyperlink" Target="https://chemicalsafety.ilo.org/dyn/icsc/showcard.display?p_card_id=0199&amp;p_lang=tr" TargetMode="External"/><Relationship Id="rId1077" Type="http://schemas.openxmlformats.org/officeDocument/2006/relationships/hyperlink" Target="https://chemicalsafety.ilo.org/dyn/icsc/showcard.display?p_card_id=0271&amp;p_lang=en" TargetMode="External"/><Relationship Id="rId2128" Type="http://schemas.openxmlformats.org/officeDocument/2006/relationships/hyperlink" Target="https://chem.echa.europa.eu/substance-search?searchText=135-88-6" TargetMode="External"/><Relationship Id="rId2475" Type="http://schemas.openxmlformats.org/officeDocument/2006/relationships/hyperlink" Target="https://www.google.com/search?q=353-50-4+SDS+safety+data+sheet+filetype:pdf" TargetMode="External"/><Relationship Id="rId2682" Type="http://schemas.openxmlformats.org/officeDocument/2006/relationships/hyperlink" Target="https://chemicalsafety.ilo.org/dyn/icsc/showcard.display?p_card_id=0690&amp;p_lang=tr" TargetMode="External"/><Relationship Id="rId3526" Type="http://schemas.openxmlformats.org/officeDocument/2006/relationships/hyperlink" Target="https://chemicalsafety.ilo.org/dyn/icsc/showcard.display?p_card_id=0905&amp;p_lang=tr" TargetMode="External"/><Relationship Id="rId3733" Type="http://schemas.openxmlformats.org/officeDocument/2006/relationships/hyperlink" Target="https://chemicalsafety.ilo.org/dyn/icsc/showcard.display?p_card_id=0957&amp;p_lang=en" TargetMode="External"/><Relationship Id="rId3940" Type="http://schemas.openxmlformats.org/officeDocument/2006/relationships/hyperlink" Target="https://chem.echa.europa.eu/substance-search?searchText=98-88-4" TargetMode="External"/><Relationship Id="rId654" Type="http://schemas.openxmlformats.org/officeDocument/2006/relationships/hyperlink" Target="https://chemicalsafety.ilo.org/dyn/icsc/showcard.display?p_card_id=0164&amp;p_lang=tr" TargetMode="External"/><Relationship Id="rId861" Type="http://schemas.openxmlformats.org/officeDocument/2006/relationships/hyperlink" Target="https://chemicalsafety.ilo.org/dyn/icsc/showcard.display?p_card_id=0217&amp;p_lang=en" TargetMode="External"/><Relationship Id="rId1284" Type="http://schemas.openxmlformats.org/officeDocument/2006/relationships/hyperlink" Target="https://chem.echa.europa.eu/substance-search?searchText=75-55-8" TargetMode="External"/><Relationship Id="rId1491" Type="http://schemas.openxmlformats.org/officeDocument/2006/relationships/hyperlink" Target="https://www.google.com/search?q=536-90-3+SDS+safety+data+sheet+filetype:pdf" TargetMode="External"/><Relationship Id="rId2335" Type="http://schemas.openxmlformats.org/officeDocument/2006/relationships/hyperlink" Target="https://www.google.com/search?q=1314-62-1+SDS+safety+data+sheet+filetype:pdf" TargetMode="External"/><Relationship Id="rId2542" Type="http://schemas.openxmlformats.org/officeDocument/2006/relationships/hyperlink" Target="https://chemicalsafety.ilo.org/dyn/icsc/showcard.display?p_card_id=0652&amp;p_lang=tr" TargetMode="External"/><Relationship Id="rId3800" Type="http://schemas.openxmlformats.org/officeDocument/2006/relationships/hyperlink" Target="https://chem.echa.europa.eu/substance-search?searchText=7789-30-2" TargetMode="External"/><Relationship Id="rId5698" Type="http://schemas.openxmlformats.org/officeDocument/2006/relationships/hyperlink" Target="https://chemicalsafety.ilo.org/dyn/icsc/showcard.display?p_card_id=1476&amp;p_lang=tr" TargetMode="External"/><Relationship Id="rId6749" Type="http://schemas.openxmlformats.org/officeDocument/2006/relationships/hyperlink" Target="https://chemicalsafety.ilo.org/dyn/icsc/showcard.display?p_card_id=1760&amp;p_lang=en" TargetMode="External"/><Relationship Id="rId307" Type="http://schemas.openxmlformats.org/officeDocument/2006/relationships/hyperlink" Target="https://www.google.com/search?q=7440-28-0+SDS+safety+data+sheet+filetype:pdf" TargetMode="External"/><Relationship Id="rId514" Type="http://schemas.openxmlformats.org/officeDocument/2006/relationships/hyperlink" Target="https://chemicalsafety.ilo.org/dyn/icsc/showcard.display?p_card_id=0129&amp;p_lang=tr" TargetMode="External"/><Relationship Id="rId721" Type="http://schemas.openxmlformats.org/officeDocument/2006/relationships/hyperlink" Target="https://chemicalsafety.ilo.org/dyn/icsc/showcard.display?p_card_id=0181&amp;p_lang=en" TargetMode="External"/><Relationship Id="rId1144" Type="http://schemas.openxmlformats.org/officeDocument/2006/relationships/hyperlink" Target="https://chem.echa.europa.eu/substance-search?searchText=108-23-6" TargetMode="External"/><Relationship Id="rId1351" Type="http://schemas.openxmlformats.org/officeDocument/2006/relationships/hyperlink" Target="https://www.google.com/search?q=584-84-9+SDS+safety+data+sheet+filetype:pdf" TargetMode="External"/><Relationship Id="rId2402" Type="http://schemas.openxmlformats.org/officeDocument/2006/relationships/hyperlink" Target="https://chemicalsafety.ilo.org/dyn/icsc/showcard.display?p_card_id=0615&amp;p_lang=tr" TargetMode="External"/><Relationship Id="rId5558" Type="http://schemas.openxmlformats.org/officeDocument/2006/relationships/hyperlink" Target="https://chemicalsafety.ilo.org/dyn/icsc/showcard.display?p_card_id=1438&amp;p_lang=tr" TargetMode="External"/><Relationship Id="rId5765" Type="http://schemas.openxmlformats.org/officeDocument/2006/relationships/hyperlink" Target="https://chemicalsafety.ilo.org/dyn/icsc/showcard.display?p_card_id=1495&amp;p_lang=en" TargetMode="External"/><Relationship Id="rId5972" Type="http://schemas.openxmlformats.org/officeDocument/2006/relationships/hyperlink" Target="https://chem.echa.europa.eu/substance-search?searchText=130-15-4" TargetMode="External"/><Relationship Id="rId6609" Type="http://schemas.openxmlformats.org/officeDocument/2006/relationships/hyperlink" Target="https://chemicalsafety.ilo.org/dyn/icsc/showcard.display?p_card_id=1723&amp;p_lang=en" TargetMode="External"/><Relationship Id="rId6816" Type="http://schemas.openxmlformats.org/officeDocument/2006/relationships/hyperlink" Target="https://chem.echa.europa.eu/substance-search?searchText=754-12-1" TargetMode="External"/><Relationship Id="rId1004" Type="http://schemas.openxmlformats.org/officeDocument/2006/relationships/hyperlink" Target="https://chem.echa.europa.eu/substance-search?searchText=611-06-3" TargetMode="External"/><Relationship Id="rId1211" Type="http://schemas.openxmlformats.org/officeDocument/2006/relationships/hyperlink" Target="https://www.google.com/search?q=61790-14-5+SDS+safety+data+sheet+filetype:pdf" TargetMode="External"/><Relationship Id="rId4367" Type="http://schemas.openxmlformats.org/officeDocument/2006/relationships/hyperlink" Target="https://www.google.com/search?q=7558-79-4+SDS+safety+data+sheet+filetype:pdf" TargetMode="External"/><Relationship Id="rId4574" Type="http://schemas.openxmlformats.org/officeDocument/2006/relationships/hyperlink" Target="https://chemicalsafety.ilo.org/dyn/icsc/showcard.display?p_card_id=1182&amp;p_lang=tr" TargetMode="External"/><Relationship Id="rId4781" Type="http://schemas.openxmlformats.org/officeDocument/2006/relationships/hyperlink" Target="https://chemicalsafety.ilo.org/dyn/icsc/showcard.display?p_card_id=1238&amp;p_lang=en" TargetMode="External"/><Relationship Id="rId5418" Type="http://schemas.openxmlformats.org/officeDocument/2006/relationships/hyperlink" Target="https://chemicalsafety.ilo.org/dyn/icsc/showcard.display?p_card_id=1403&amp;p_lang=tr" TargetMode="External"/><Relationship Id="rId5625" Type="http://schemas.openxmlformats.org/officeDocument/2006/relationships/hyperlink" Target="https://chemicalsafety.ilo.org/dyn/icsc/showcard.display?p_card_id=1455&amp;p_lang=en" TargetMode="External"/><Relationship Id="rId5832" Type="http://schemas.openxmlformats.org/officeDocument/2006/relationships/hyperlink" Target="https://chem.echa.europa.eu/substance-search?searchText=6106-20-3" TargetMode="External"/><Relationship Id="rId3176" Type="http://schemas.openxmlformats.org/officeDocument/2006/relationships/hyperlink" Target="https://chem.echa.europa.eu/substance-search?searchText=141-79-7" TargetMode="External"/><Relationship Id="rId3383" Type="http://schemas.openxmlformats.org/officeDocument/2006/relationships/hyperlink" Target="https://www.google.com/search?q=79-36-7+SDS+safety+data+sheet+filetype:pdf" TargetMode="External"/><Relationship Id="rId3590" Type="http://schemas.openxmlformats.org/officeDocument/2006/relationships/hyperlink" Target="https://chemicalsafety.ilo.org/dyn/icsc/showcard.display?p_card_id=0921&amp;p_lang=tr" TargetMode="External"/><Relationship Id="rId4227" Type="http://schemas.openxmlformats.org/officeDocument/2006/relationships/hyperlink" Target="https://www.google.com/search?q=95-14-7+SDS+safety+data+sheet+filetype:pdf" TargetMode="External"/><Relationship Id="rId4434" Type="http://schemas.openxmlformats.org/officeDocument/2006/relationships/hyperlink" Target="https://chemicalsafety.ilo.org/dyn/icsc/showcard.display?p_card_id=1147&amp;p_lang=tr" TargetMode="External"/><Relationship Id="rId2192" Type="http://schemas.openxmlformats.org/officeDocument/2006/relationships/hyperlink" Target="https://chem.echa.europa.eu/substance-search?searchText=115-07-1" TargetMode="External"/><Relationship Id="rId3036" Type="http://schemas.openxmlformats.org/officeDocument/2006/relationships/hyperlink" Target="https://chem.echa.europa.eu/substance-search?searchText=106-51-4" TargetMode="External"/><Relationship Id="rId3243" Type="http://schemas.openxmlformats.org/officeDocument/2006/relationships/hyperlink" Target="https://www.google.com/search?q=3648-21-3+SDS+safety+data+sheet+filetype:pdf" TargetMode="External"/><Relationship Id="rId4641" Type="http://schemas.openxmlformats.org/officeDocument/2006/relationships/hyperlink" Target="https://chemicalsafety.ilo.org/dyn/icsc/showcard.display?p_card_id=1202&amp;p_lang=en" TargetMode="External"/><Relationship Id="rId6399" Type="http://schemas.openxmlformats.org/officeDocument/2006/relationships/hyperlink" Target="https://www.google.com/search?q=109-70-6+SDS+safety+data+sheet+filetype:pdf" TargetMode="External"/><Relationship Id="rId164" Type="http://schemas.openxmlformats.org/officeDocument/2006/relationships/hyperlink" Target="https://chem.echa.europa.eu/substance-search?searchText=123-91-1" TargetMode="External"/><Relationship Id="rId371" Type="http://schemas.openxmlformats.org/officeDocument/2006/relationships/hyperlink" Target="https://www.google.com/search?q=366-18-7+SDS+safety+data+sheet+filetype:pdf" TargetMode="External"/><Relationship Id="rId2052" Type="http://schemas.openxmlformats.org/officeDocument/2006/relationships/hyperlink" Target="https://chem.echa.europa.eu/substance-search?searchText=75-52-5" TargetMode="External"/><Relationship Id="rId3450" Type="http://schemas.openxmlformats.org/officeDocument/2006/relationships/hyperlink" Target="https://chemicalsafety.ilo.org/dyn/icsc/showcard.display?p_card_id=0886&amp;p_lang=tr" TargetMode="External"/><Relationship Id="rId4501" Type="http://schemas.openxmlformats.org/officeDocument/2006/relationships/hyperlink" Target="https://chemicalsafety.ilo.org/dyn/icsc/showcard.display?p_card_id=1164&amp;p_lang=en" TargetMode="External"/><Relationship Id="rId6259" Type="http://schemas.openxmlformats.org/officeDocument/2006/relationships/hyperlink" Target="https://www.google.com/search?q=1639-09-4+SDS+safety+data+sheet+filetype:pdf" TargetMode="External"/><Relationship Id="rId3103" Type="http://schemas.openxmlformats.org/officeDocument/2006/relationships/hyperlink" Target="https://www.google.com/search?q=319-85-7+SDS+safety+data+sheet+filetype:pdf" TargetMode="External"/><Relationship Id="rId3310" Type="http://schemas.openxmlformats.org/officeDocument/2006/relationships/hyperlink" Target="https://chemicalsafety.ilo.org/dyn/icsc/showcard.display?p_card_id=0850&amp;p_lang=tr" TargetMode="External"/><Relationship Id="rId5068" Type="http://schemas.openxmlformats.org/officeDocument/2006/relationships/hyperlink" Target="https://chem.echa.europa.eu/substance-search?searchText=10102-43-9" TargetMode="External"/><Relationship Id="rId6466" Type="http://schemas.openxmlformats.org/officeDocument/2006/relationships/hyperlink" Target="https://chemicalsafety.ilo.org/dyn/icsc/showcard.display?p_card_id=1682&amp;p_lang=tr" TargetMode="External"/><Relationship Id="rId6673" Type="http://schemas.openxmlformats.org/officeDocument/2006/relationships/hyperlink" Target="https://chemicalsafety.ilo.org/dyn/icsc/showcard.display?p_card_id=1740&amp;p_lang=en" TargetMode="External"/><Relationship Id="rId231" Type="http://schemas.openxmlformats.org/officeDocument/2006/relationships/hyperlink" Target="https://www.google.com/search?q=75-09-2+SDS+safety+data+sheet+filetype:pdf" TargetMode="External"/><Relationship Id="rId2869" Type="http://schemas.openxmlformats.org/officeDocument/2006/relationships/hyperlink" Target="https://chemicalsafety.ilo.org/dyn/icsc/showcard.display?p_card_id=0738&amp;p_lang=en" TargetMode="External"/><Relationship Id="rId5275" Type="http://schemas.openxmlformats.org/officeDocument/2006/relationships/hyperlink" Target="https://www.google.com/search?q=124-30-1+SDS+safety+data+sheet+filetype:pdf" TargetMode="External"/><Relationship Id="rId5482" Type="http://schemas.openxmlformats.org/officeDocument/2006/relationships/hyperlink" Target="https://chemicalsafety.ilo.org/dyn/icsc/showcard.display?p_card_id=1419&amp;p_lang=tr" TargetMode="External"/><Relationship Id="rId6119" Type="http://schemas.openxmlformats.org/officeDocument/2006/relationships/hyperlink" Target="https://www.google.com/search?q=63449-41-2+SDS+safety+data+sheet+filetype:pdf" TargetMode="External"/><Relationship Id="rId6326" Type="http://schemas.openxmlformats.org/officeDocument/2006/relationships/hyperlink" Target="https://chemicalsafety.ilo.org/dyn/icsc/showcard.display?p_card_id=1638&amp;p_lang=tr" TargetMode="External"/><Relationship Id="rId6533" Type="http://schemas.openxmlformats.org/officeDocument/2006/relationships/hyperlink" Target="https://chemicalsafety.ilo.org/dyn/icsc/showcard.display?p_card_id=1704&amp;p_lang=en" TargetMode="External"/><Relationship Id="rId6740" Type="http://schemas.openxmlformats.org/officeDocument/2006/relationships/hyperlink" Target="https://chem.echa.europa.eu/substance-search?searchText=82-66-6" TargetMode="External"/><Relationship Id="rId1678" Type="http://schemas.openxmlformats.org/officeDocument/2006/relationships/hyperlink" Target="https://chemicalsafety.ilo.org/dyn/icsc/showcard.display?p_card_id=0424&amp;p_lang=tr" TargetMode="External"/><Relationship Id="rId1885" Type="http://schemas.openxmlformats.org/officeDocument/2006/relationships/hyperlink" Target="https://chemicalsafety.ilo.org/dyn/icsc/showcard.display?p_card_id=0478&amp;p_lang=en" TargetMode="External"/><Relationship Id="rId2729" Type="http://schemas.openxmlformats.org/officeDocument/2006/relationships/hyperlink" Target="https://chemicalsafety.ilo.org/dyn/icsc/showcard.display?p_card_id=0703&amp;p_lang=en" TargetMode="External"/><Relationship Id="rId2936" Type="http://schemas.openxmlformats.org/officeDocument/2006/relationships/hyperlink" Target="https://chem.echa.europa.eu/substance-search?searchText=8018-01-7" TargetMode="External"/><Relationship Id="rId4084" Type="http://schemas.openxmlformats.org/officeDocument/2006/relationships/hyperlink" Target="https://chem.echa.europa.eu/substance-search?searchText=12125-02-9" TargetMode="External"/><Relationship Id="rId4291" Type="http://schemas.openxmlformats.org/officeDocument/2006/relationships/hyperlink" Target="https://www.google.com/search?q=79-22-1+SDS+safety+data+sheet+filetype:pdf" TargetMode="External"/><Relationship Id="rId5135" Type="http://schemas.openxmlformats.org/officeDocument/2006/relationships/hyperlink" Target="https://www.google.com/search?q=103-90-2+SDS+safety+data+sheet+filetype:pdf" TargetMode="External"/><Relationship Id="rId5342" Type="http://schemas.openxmlformats.org/officeDocument/2006/relationships/hyperlink" Target="https://chemicalsafety.ilo.org/dyn/icsc/showcard.display?p_card_id=1382&amp;p_lang=tr" TargetMode="External"/><Relationship Id="rId6600" Type="http://schemas.openxmlformats.org/officeDocument/2006/relationships/hyperlink" Target="https://chem.echa.europa.eu/substance-search?searchText=156-43-4" TargetMode="External"/><Relationship Id="rId908" Type="http://schemas.openxmlformats.org/officeDocument/2006/relationships/hyperlink" Target="https://chem.echa.europa.eu/substance-search?searchText=28434-00-6" TargetMode="External"/><Relationship Id="rId1538" Type="http://schemas.openxmlformats.org/officeDocument/2006/relationships/hyperlink" Target="https://chemicalsafety.ilo.org/dyn/icsc/showcard.display?p_card_id=0387&amp;p_lang=tr" TargetMode="External"/><Relationship Id="rId4151" Type="http://schemas.openxmlformats.org/officeDocument/2006/relationships/hyperlink" Target="https://www.google.com/search?q=105-57-7+SDS+safety+data+sheet+filetype:pdf" TargetMode="External"/><Relationship Id="rId5202" Type="http://schemas.openxmlformats.org/officeDocument/2006/relationships/hyperlink" Target="https://chemicalsafety.ilo.org/dyn/icsc/showcard.display?p_card_id=1347&amp;p_lang=tr" TargetMode="External"/><Relationship Id="rId1745" Type="http://schemas.openxmlformats.org/officeDocument/2006/relationships/hyperlink" Target="https://chemicalsafety.ilo.org/dyn/icsc/showcard.display?p_card_id=0441&amp;p_lang=en" TargetMode="External"/><Relationship Id="rId1952" Type="http://schemas.openxmlformats.org/officeDocument/2006/relationships/hyperlink" Target="https://chem.echa.europa.eu/substance-search?searchText=110-19-0" TargetMode="External"/><Relationship Id="rId4011" Type="http://schemas.openxmlformats.org/officeDocument/2006/relationships/hyperlink" Target="https://www.google.com/search?q=108-46-3+SDS+safety+data+sheet+filetype:pdf" TargetMode="External"/><Relationship Id="rId37" Type="http://schemas.openxmlformats.org/officeDocument/2006/relationships/hyperlink" Target="https://chemicalsafety.ilo.org/dyn/icsc/showcard.display?p_card_id=0010&amp;p_lang=en" TargetMode="External"/><Relationship Id="rId1605" Type="http://schemas.openxmlformats.org/officeDocument/2006/relationships/hyperlink" Target="https://chemicalsafety.ilo.org/dyn/icsc/showcard.display?p_card_id=0405&amp;p_lang=en" TargetMode="External"/><Relationship Id="rId1812" Type="http://schemas.openxmlformats.org/officeDocument/2006/relationships/hyperlink" Target="https://chem.echa.europa.eu/substance-search?searchText=105-67-9" TargetMode="External"/><Relationship Id="rId4968" Type="http://schemas.openxmlformats.org/officeDocument/2006/relationships/hyperlink" Target="https://chem.echa.europa.eu/substance-search?searchText=110-44-1" TargetMode="External"/><Relationship Id="rId6183" Type="http://schemas.openxmlformats.org/officeDocument/2006/relationships/hyperlink" Target="https://www.google.com/search?q=105-59-9+SDS+safety+data+sheet+filetype:pdf" TargetMode="External"/><Relationship Id="rId3777" Type="http://schemas.openxmlformats.org/officeDocument/2006/relationships/hyperlink" Target="https://chemicalsafety.ilo.org/dyn/icsc/showcard.display?p_card_id=0968&amp;p_lang=en" TargetMode="External"/><Relationship Id="rId3984" Type="http://schemas.openxmlformats.org/officeDocument/2006/relationships/hyperlink" Target="https://chem.echa.europa.eu/substance-search?searchText=109-78-4" TargetMode="External"/><Relationship Id="rId4828" Type="http://schemas.openxmlformats.org/officeDocument/2006/relationships/hyperlink" Target="https://chem.echa.europa.eu/substance-search?searchText=61788-32-7" TargetMode="External"/><Relationship Id="rId6390" Type="http://schemas.openxmlformats.org/officeDocument/2006/relationships/hyperlink" Target="https://chemicalsafety.ilo.org/dyn/icsc/showcard.display?p_card_id=1662&amp;p_lang=tr" TargetMode="External"/><Relationship Id="rId698" Type="http://schemas.openxmlformats.org/officeDocument/2006/relationships/hyperlink" Target="https://chemicalsafety.ilo.org/dyn/icsc/showcard.display?p_card_id=0175&amp;p_lang=tr" TargetMode="External"/><Relationship Id="rId2379" Type="http://schemas.openxmlformats.org/officeDocument/2006/relationships/hyperlink" Target="https://www.google.com/search?q=7440-63-3+SDS+safety+data+sheet+filetype:pdf" TargetMode="External"/><Relationship Id="rId2586" Type="http://schemas.openxmlformats.org/officeDocument/2006/relationships/hyperlink" Target="https://chemicalsafety.ilo.org/dyn/icsc/showcard.display?p_card_id=0663&amp;p_lang=tr" TargetMode="External"/><Relationship Id="rId2793" Type="http://schemas.openxmlformats.org/officeDocument/2006/relationships/hyperlink" Target="https://chemicalsafety.ilo.org/dyn/icsc/showcard.display?p_card_id=0719&amp;p_lang=en" TargetMode="External"/><Relationship Id="rId3637" Type="http://schemas.openxmlformats.org/officeDocument/2006/relationships/hyperlink" Target="https://chemicalsafety.ilo.org/dyn/icsc/showcard.display?p_card_id=0933&amp;p_lang=en" TargetMode="External"/><Relationship Id="rId3844" Type="http://schemas.openxmlformats.org/officeDocument/2006/relationships/hyperlink" Target="https://chem.echa.europa.eu/substance-search?searchText=3689-24-5" TargetMode="External"/><Relationship Id="rId6043" Type="http://schemas.openxmlformats.org/officeDocument/2006/relationships/hyperlink" Target="https://www.google.com/search?q=15096-52-3+SDS+safety+data+sheet+filetype:pdf" TargetMode="External"/><Relationship Id="rId6250" Type="http://schemas.openxmlformats.org/officeDocument/2006/relationships/hyperlink" Target="https://chemicalsafety.ilo.org/dyn/icsc/showcard.display?p_card_id=1617&amp;p_lang=tr" TargetMode="External"/><Relationship Id="rId558" Type="http://schemas.openxmlformats.org/officeDocument/2006/relationships/hyperlink" Target="https://chemicalsafety.ilo.org/dyn/icsc/showcard.display?p_card_id=0140&amp;p_lang=tr" TargetMode="External"/><Relationship Id="rId765" Type="http://schemas.openxmlformats.org/officeDocument/2006/relationships/hyperlink" Target="https://chemicalsafety.ilo.org/dyn/icsc/showcard.display?p_card_id=0192&amp;p_lang=en" TargetMode="External"/><Relationship Id="rId972" Type="http://schemas.openxmlformats.org/officeDocument/2006/relationships/hyperlink" Target="https://chem.echa.europa.eu/substance-search?searchText=66-81-9" TargetMode="External"/><Relationship Id="rId1188" Type="http://schemas.openxmlformats.org/officeDocument/2006/relationships/hyperlink" Target="https://chem.echa.europa.eu/substance-search?searchText=101-68-8" TargetMode="External"/><Relationship Id="rId1395" Type="http://schemas.openxmlformats.org/officeDocument/2006/relationships/hyperlink" Target="https://www.google.com/search?q=12122-67-7+SDS+safety+data+sheet+filetype:pdf" TargetMode="External"/><Relationship Id="rId2239" Type="http://schemas.openxmlformats.org/officeDocument/2006/relationships/hyperlink" Target="https://www.google.com/search?q=2551-62-4+SDS+safety+data+sheet+filetype:pdf" TargetMode="External"/><Relationship Id="rId2446" Type="http://schemas.openxmlformats.org/officeDocument/2006/relationships/hyperlink" Target="https://chemicalsafety.ilo.org/dyn/icsc/showcard.display?p_card_id=0626&amp;p_lang=tr" TargetMode="External"/><Relationship Id="rId2653" Type="http://schemas.openxmlformats.org/officeDocument/2006/relationships/hyperlink" Target="https://chemicalsafety.ilo.org/dyn/icsc/showcard.display?p_card_id=0683&amp;p_lang=en" TargetMode="External"/><Relationship Id="rId2860" Type="http://schemas.openxmlformats.org/officeDocument/2006/relationships/hyperlink" Target="https://chem.echa.europa.eu/substance-search?searchText=622-97-9" TargetMode="External"/><Relationship Id="rId3704" Type="http://schemas.openxmlformats.org/officeDocument/2006/relationships/hyperlink" Target="https://chem.echa.europa.eu/substance-search?searchText=13768-86-0" TargetMode="External"/><Relationship Id="rId6110" Type="http://schemas.openxmlformats.org/officeDocument/2006/relationships/hyperlink" Target="https://chemicalsafety.ilo.org/dyn/icsc/showcard.display?p_card_id=1582&amp;p_lang=tr" TargetMode="External"/><Relationship Id="rId418" Type="http://schemas.openxmlformats.org/officeDocument/2006/relationships/hyperlink" Target="https://chemicalsafety.ilo.org/dyn/icsc/showcard.display?p_card_id=0105&amp;p_lang=tr" TargetMode="External"/><Relationship Id="rId625" Type="http://schemas.openxmlformats.org/officeDocument/2006/relationships/hyperlink" Target="https://chemicalsafety.ilo.org/dyn/icsc/showcard.display?p_card_id=0157&amp;p_lang=en" TargetMode="External"/><Relationship Id="rId832" Type="http://schemas.openxmlformats.org/officeDocument/2006/relationships/hyperlink" Target="https://chem.echa.europa.eu/substance-search?searchText=108-24-7" TargetMode="External"/><Relationship Id="rId1048" Type="http://schemas.openxmlformats.org/officeDocument/2006/relationships/hyperlink" Target="https://chem.echa.europa.eu/substance-search?searchText=122-66-7" TargetMode="External"/><Relationship Id="rId1255" Type="http://schemas.openxmlformats.org/officeDocument/2006/relationships/hyperlink" Target="https://www.google.com/search?q=85-44-9+SDS+safety+data+sheet+filetype:pdf" TargetMode="External"/><Relationship Id="rId1462" Type="http://schemas.openxmlformats.org/officeDocument/2006/relationships/hyperlink" Target="https://chemicalsafety.ilo.org/dyn/icsc/showcard.display?p_card_id=0367&amp;p_lang=tr" TargetMode="External"/><Relationship Id="rId2306" Type="http://schemas.openxmlformats.org/officeDocument/2006/relationships/hyperlink" Target="https://chemicalsafety.ilo.org/dyn/icsc/showcard.display?p_card_id=0589&amp;p_lang=tr" TargetMode="External"/><Relationship Id="rId2513" Type="http://schemas.openxmlformats.org/officeDocument/2006/relationships/hyperlink" Target="https://chemicalsafety.ilo.org/dyn/icsc/showcard.display?p_card_id=0644&amp;p_lang=en" TargetMode="External"/><Relationship Id="rId3911" Type="http://schemas.openxmlformats.org/officeDocument/2006/relationships/hyperlink" Target="https://www.google.com/search?q=1885-14-9+SDS+safety+data+sheet+filetype:pdf" TargetMode="External"/><Relationship Id="rId5669" Type="http://schemas.openxmlformats.org/officeDocument/2006/relationships/hyperlink" Target="https://chemicalsafety.ilo.org/dyn/icsc/showcard.display?p_card_id=1469&amp;p_lang=en" TargetMode="External"/><Relationship Id="rId5876" Type="http://schemas.openxmlformats.org/officeDocument/2006/relationships/hyperlink" Target="https://chem.echa.europa.eu/substance-search?searchText=11115-67-6" TargetMode="External"/><Relationship Id="rId1115" Type="http://schemas.openxmlformats.org/officeDocument/2006/relationships/hyperlink" Target="https://www.google.com/search?q=2935-44-6+SDS+safety+data+sheet+filetype:pdf" TargetMode="External"/><Relationship Id="rId1322" Type="http://schemas.openxmlformats.org/officeDocument/2006/relationships/hyperlink" Target="https://chemicalsafety.ilo.org/dyn/icsc/showcard.display?p_card_id=0332&amp;p_lang=tr" TargetMode="External"/><Relationship Id="rId2720" Type="http://schemas.openxmlformats.org/officeDocument/2006/relationships/hyperlink" Target="https://chem.echa.europa.eu/substance-search?searchText=603-35-0" TargetMode="External"/><Relationship Id="rId4478" Type="http://schemas.openxmlformats.org/officeDocument/2006/relationships/hyperlink" Target="https://chemicalsafety.ilo.org/dyn/icsc/showcard.display?p_card_id=1158&amp;p_lang=tr" TargetMode="External"/><Relationship Id="rId5529" Type="http://schemas.openxmlformats.org/officeDocument/2006/relationships/hyperlink" Target="https://chemicalsafety.ilo.org/dyn/icsc/showcard.display?p_card_id=1431&amp;p_lang=en" TargetMode="External"/><Relationship Id="rId3287" Type="http://schemas.openxmlformats.org/officeDocument/2006/relationships/hyperlink" Target="https://www.google.com/search?q=107-14-2+SDS+safety+data+sheet+filetype:pdf" TargetMode="External"/><Relationship Id="rId4338" Type="http://schemas.openxmlformats.org/officeDocument/2006/relationships/hyperlink" Target="https://chemicalsafety.ilo.org/dyn/icsc/showcard.display?p_card_id=1122&amp;p_lang=tr" TargetMode="External"/><Relationship Id="rId4685" Type="http://schemas.openxmlformats.org/officeDocument/2006/relationships/hyperlink" Target="https://chemicalsafety.ilo.org/dyn/icsc/showcard.display?p_card_id=1214&amp;p_lang=en" TargetMode="External"/><Relationship Id="rId4892" Type="http://schemas.openxmlformats.org/officeDocument/2006/relationships/hyperlink" Target="https://chem.echa.europa.eu/substance-search?searchText=66332-96-5" TargetMode="External"/><Relationship Id="rId5736" Type="http://schemas.openxmlformats.org/officeDocument/2006/relationships/hyperlink" Target="https://chem.echa.europa.eu/substance-search?searchText=9002-86-2" TargetMode="External"/><Relationship Id="rId5943" Type="http://schemas.openxmlformats.org/officeDocument/2006/relationships/hyperlink" Target="https://www.google.com/search?q=30207-98-8+SDS+safety+data+sheet+filetype:pdf" TargetMode="External"/><Relationship Id="rId2096" Type="http://schemas.openxmlformats.org/officeDocument/2006/relationships/hyperlink" Target="https://chem.echa.europa.eu/substance-search?searchText=109-66-0" TargetMode="External"/><Relationship Id="rId3494" Type="http://schemas.openxmlformats.org/officeDocument/2006/relationships/hyperlink" Target="https://chemicalsafety.ilo.org/dyn/icsc/showcard.display?p_card_id=0897&amp;p_lang=tr" TargetMode="External"/><Relationship Id="rId4545" Type="http://schemas.openxmlformats.org/officeDocument/2006/relationships/hyperlink" Target="https://chemicalsafety.ilo.org/dyn/icsc/showcard.display?p_card_id=1175&amp;p_lang=en" TargetMode="External"/><Relationship Id="rId4752" Type="http://schemas.openxmlformats.org/officeDocument/2006/relationships/hyperlink" Target="https://chem.echa.europa.eu/substance-search?searchText=7550-45-0" TargetMode="External"/><Relationship Id="rId5803" Type="http://schemas.openxmlformats.org/officeDocument/2006/relationships/hyperlink" Target="https://www.google.com/search?q=581-89-5+SDS+safety+data+sheet+filetype:pdf" TargetMode="External"/><Relationship Id="rId3147" Type="http://schemas.openxmlformats.org/officeDocument/2006/relationships/hyperlink" Target="https://www.google.com/search?q=15468-32-3+SDS+safety+data+sheet+filetype:pdf" TargetMode="External"/><Relationship Id="rId3354" Type="http://schemas.openxmlformats.org/officeDocument/2006/relationships/hyperlink" Target="https://chemicalsafety.ilo.org/dyn/icsc/showcard.display?p_card_id=0861&amp;p_lang=tr" TargetMode="External"/><Relationship Id="rId3561" Type="http://schemas.openxmlformats.org/officeDocument/2006/relationships/hyperlink" Target="https://chemicalsafety.ilo.org/dyn/icsc/showcard.display?p_card_id=0914&amp;p_lang=en" TargetMode="External"/><Relationship Id="rId4405" Type="http://schemas.openxmlformats.org/officeDocument/2006/relationships/hyperlink" Target="https://chemicalsafety.ilo.org/dyn/icsc/showcard.display?p_card_id=1140&amp;p_lang=en" TargetMode="External"/><Relationship Id="rId4612" Type="http://schemas.openxmlformats.org/officeDocument/2006/relationships/hyperlink" Target="https://chem.echa.europa.eu/substance-search?searchText=7440-70-2" TargetMode="External"/><Relationship Id="rId275" Type="http://schemas.openxmlformats.org/officeDocument/2006/relationships/hyperlink" Target="https://www.google.com/search?q=87-86-5+SDS+safety+data+sheet+filetype:pdf" TargetMode="External"/><Relationship Id="rId482" Type="http://schemas.openxmlformats.org/officeDocument/2006/relationships/hyperlink" Target="https://chemicalsafety.ilo.org/dyn/icsc/showcard.display?p_card_id=0121&amp;p_lang=tr" TargetMode="External"/><Relationship Id="rId2163" Type="http://schemas.openxmlformats.org/officeDocument/2006/relationships/hyperlink" Target="https://www.google.com/search?q=709-98-8+SDS+safety+data+sheet+filetype:pdf" TargetMode="External"/><Relationship Id="rId2370" Type="http://schemas.openxmlformats.org/officeDocument/2006/relationships/hyperlink" Target="https://chemicalsafety.ilo.org/dyn/icsc/showcard.display?p_card_id=0607&amp;p_lang=tr" TargetMode="External"/><Relationship Id="rId3007" Type="http://schemas.openxmlformats.org/officeDocument/2006/relationships/hyperlink" Target="https://www.google.com/search?q=133-37-9+SDS+safety+data+sheet+filetype:pdf" TargetMode="External"/><Relationship Id="rId3214" Type="http://schemas.openxmlformats.org/officeDocument/2006/relationships/hyperlink" Target="https://chemicalsafety.ilo.org/dyn/icsc/showcard.display?p_card_id=0824&amp;p_lang=tr" TargetMode="External"/><Relationship Id="rId3421" Type="http://schemas.openxmlformats.org/officeDocument/2006/relationships/hyperlink" Target="https://chemicalsafety.ilo.org/dyn/icsc/showcard.display?p_card_id=0879&amp;p_lang=en" TargetMode="External"/><Relationship Id="rId6577" Type="http://schemas.openxmlformats.org/officeDocument/2006/relationships/hyperlink" Target="https://chemicalsafety.ilo.org/dyn/icsc/showcard.display?p_card_id=1715&amp;p_lang=en" TargetMode="External"/><Relationship Id="rId6784" Type="http://schemas.openxmlformats.org/officeDocument/2006/relationships/hyperlink" Target="https://chem.echa.europa.eu/substance-search?searchText=13071-79-9" TargetMode="External"/><Relationship Id="rId135" Type="http://schemas.openxmlformats.org/officeDocument/2006/relationships/hyperlink" Target="https://www.google.com/search?q=50-29-3+SDS+safety+data+sheet+filetype:pdf" TargetMode="External"/><Relationship Id="rId342" Type="http://schemas.openxmlformats.org/officeDocument/2006/relationships/hyperlink" Target="https://chemicalsafety.ilo.org/dyn/icsc/showcard.display?p_card_id=0086&amp;p_lang=tr" TargetMode="External"/><Relationship Id="rId2023" Type="http://schemas.openxmlformats.org/officeDocument/2006/relationships/hyperlink" Target="https://www.google.com/search?q=25013-15-4+SDS+safety+data+sheet+filetype:pdf" TargetMode="External"/><Relationship Id="rId2230" Type="http://schemas.openxmlformats.org/officeDocument/2006/relationships/hyperlink" Target="https://chemicalsafety.ilo.org/dyn/icsc/showcard.display?p_card_id=0569&amp;p_lang=tr" TargetMode="External"/><Relationship Id="rId5179" Type="http://schemas.openxmlformats.org/officeDocument/2006/relationships/hyperlink" Target="https://www.google.com/search?q=563-47-3+SDS+safety+data+sheet+filetype:pdf" TargetMode="External"/><Relationship Id="rId5386" Type="http://schemas.openxmlformats.org/officeDocument/2006/relationships/hyperlink" Target="https://chemicalsafety.ilo.org/dyn/icsc/showcard.display?p_card_id=1394&amp;p_lang=tr" TargetMode="External"/><Relationship Id="rId5593" Type="http://schemas.openxmlformats.org/officeDocument/2006/relationships/hyperlink" Target="https://chemicalsafety.ilo.org/dyn/icsc/showcard.display?p_card_id=1447&amp;p_lang=en" TargetMode="External"/><Relationship Id="rId6437" Type="http://schemas.openxmlformats.org/officeDocument/2006/relationships/hyperlink" Target="https://chemicalsafety.ilo.org/dyn/icsc/showcard.display?p_card_id=1675&amp;p_lang=en" TargetMode="External"/><Relationship Id="rId6644" Type="http://schemas.openxmlformats.org/officeDocument/2006/relationships/hyperlink" Target="https://chem.echa.europa.eu/substance-search?searchText=624-49-7" TargetMode="External"/><Relationship Id="rId202" Type="http://schemas.openxmlformats.org/officeDocument/2006/relationships/hyperlink" Target="https://chemicalsafety.ilo.org/dyn/icsc/showcard.display?p_card_id=0051&amp;p_lang=tr" TargetMode="External"/><Relationship Id="rId4195" Type="http://schemas.openxmlformats.org/officeDocument/2006/relationships/hyperlink" Target="https://www.google.com/search?q=543-49-7+SDS+safety+data+sheet+filetype:pdf" TargetMode="External"/><Relationship Id="rId5039" Type="http://schemas.openxmlformats.org/officeDocument/2006/relationships/hyperlink" Target="https://www.google.com/search?q=108-45-2+SDS+safety+data+sheet+filetype:pdf" TargetMode="External"/><Relationship Id="rId5246" Type="http://schemas.openxmlformats.org/officeDocument/2006/relationships/hyperlink" Target="https://chemicalsafety.ilo.org/dyn/icsc/showcard.display?p_card_id=1358&amp;p_lang=tr" TargetMode="External"/><Relationship Id="rId5453" Type="http://schemas.openxmlformats.org/officeDocument/2006/relationships/hyperlink" Target="https://chemicalsafety.ilo.org/dyn/icsc/showcard.display?p_card_id=1412&amp;p_lang=en" TargetMode="External"/><Relationship Id="rId6504" Type="http://schemas.openxmlformats.org/officeDocument/2006/relationships/hyperlink" Target="https://chem.echa.europa.eu/substance-search?searchText=7759-02-6" TargetMode="External"/><Relationship Id="rId1789" Type="http://schemas.openxmlformats.org/officeDocument/2006/relationships/hyperlink" Target="https://chemicalsafety.ilo.org/dyn/icsc/showcard.display?p_card_id=0453&amp;p_lang=en" TargetMode="External"/><Relationship Id="rId1996" Type="http://schemas.openxmlformats.org/officeDocument/2006/relationships/hyperlink" Target="https://chem.echa.europa.eu/substance-search?searchText=120-78-5" TargetMode="External"/><Relationship Id="rId4055" Type="http://schemas.openxmlformats.org/officeDocument/2006/relationships/hyperlink" Target="https://www.google.com/search?q=144-55-8+SDS+safety+data+sheet+filetype:pdf" TargetMode="External"/><Relationship Id="rId4262" Type="http://schemas.openxmlformats.org/officeDocument/2006/relationships/hyperlink" Target="https://chemicalsafety.ilo.org/dyn/icsc/showcard.display?p_card_id=1103&amp;p_lang=tr" TargetMode="External"/><Relationship Id="rId5106" Type="http://schemas.openxmlformats.org/officeDocument/2006/relationships/hyperlink" Target="https://chemicalsafety.ilo.org/dyn/icsc/showcard.display?p_card_id=1321&amp;p_lang=tr" TargetMode="External"/><Relationship Id="rId5660" Type="http://schemas.openxmlformats.org/officeDocument/2006/relationships/hyperlink" Target="https://chem.echa.europa.eu/substance-search?searchText=109-77-3" TargetMode="External"/><Relationship Id="rId6711" Type="http://schemas.openxmlformats.org/officeDocument/2006/relationships/hyperlink" Target="https://www.google.com/search?q=23783-42-8+SDS+safety+data+sheet+filetype:pdf" TargetMode="External"/><Relationship Id="rId1649" Type="http://schemas.openxmlformats.org/officeDocument/2006/relationships/hyperlink" Target="https://chemicalsafety.ilo.org/dyn/icsc/showcard.display?p_card_id=0417&amp;p_lang=en" TargetMode="External"/><Relationship Id="rId1856" Type="http://schemas.openxmlformats.org/officeDocument/2006/relationships/hyperlink" Target="https://chem.echa.europa.eu/substance-search?searchText=75-08-1" TargetMode="External"/><Relationship Id="rId2907" Type="http://schemas.openxmlformats.org/officeDocument/2006/relationships/hyperlink" Target="https://www.google.com/search?q=116-29-0+SDS+safety+data+sheet+filetype:pdf" TargetMode="External"/><Relationship Id="rId3071" Type="http://schemas.openxmlformats.org/officeDocument/2006/relationships/hyperlink" Target="https://www.google.com/search?q=112-34-5+SDS+safety+data+sheet+filetype:pdf" TargetMode="External"/><Relationship Id="rId5313" Type="http://schemas.openxmlformats.org/officeDocument/2006/relationships/hyperlink" Target="https://chemicalsafety.ilo.org/dyn/icsc/showcard.display?p_card_id=1375&amp;p_lang=en" TargetMode="External"/><Relationship Id="rId5520" Type="http://schemas.openxmlformats.org/officeDocument/2006/relationships/hyperlink" Target="https://chem.echa.europa.eu/substance-search?searchText=6032-29-7" TargetMode="External"/><Relationship Id="rId1509" Type="http://schemas.openxmlformats.org/officeDocument/2006/relationships/hyperlink" Target="https://chemicalsafety.ilo.org/dyn/icsc/showcard.display?p_card_id=0380&amp;p_lang=en" TargetMode="External"/><Relationship Id="rId1716" Type="http://schemas.openxmlformats.org/officeDocument/2006/relationships/hyperlink" Target="https://chem.echa.europa.eu/substance-search?searchText=126-72-7" TargetMode="External"/><Relationship Id="rId1923" Type="http://schemas.openxmlformats.org/officeDocument/2006/relationships/hyperlink" Target="https://www.google.com/search?q=608-73-1+SDS+safety+data+sheet+filetype:pdf" TargetMode="External"/><Relationship Id="rId4122" Type="http://schemas.openxmlformats.org/officeDocument/2006/relationships/hyperlink" Target="https://chemicalsafety.ilo.org/dyn/icsc/showcard.display?p_card_id=1062&amp;p_lang=tr" TargetMode="External"/><Relationship Id="rId3888" Type="http://schemas.openxmlformats.org/officeDocument/2006/relationships/hyperlink" Target="https://chem.echa.europa.eu/substance-search?searchText=10099-74-8" TargetMode="External"/><Relationship Id="rId4939" Type="http://schemas.openxmlformats.org/officeDocument/2006/relationships/hyperlink" Target="https://www.google.com/search?q=10605-21-7+SDS+safety+data+sheet+filetype:pdf" TargetMode="External"/><Relationship Id="rId6087" Type="http://schemas.openxmlformats.org/officeDocument/2006/relationships/hyperlink" Target="https://www.google.com/search?q=78-11-5+SDS+safety+data+sheet+filetype:pdf" TargetMode="External"/><Relationship Id="rId6294" Type="http://schemas.openxmlformats.org/officeDocument/2006/relationships/hyperlink" Target="https://chemicalsafety.ilo.org/dyn/icsc/showcard.display?p_card_id=1630&amp;p_lang=tr" TargetMode="External"/><Relationship Id="rId2697" Type="http://schemas.openxmlformats.org/officeDocument/2006/relationships/hyperlink" Target="https://chemicalsafety.ilo.org/dyn/icsc/showcard.display?p_card_id=0695&amp;p_lang=en" TargetMode="External"/><Relationship Id="rId3748" Type="http://schemas.openxmlformats.org/officeDocument/2006/relationships/hyperlink" Target="https://chem.echa.europa.eu/substance-search?searchText=119-93-7" TargetMode="External"/><Relationship Id="rId6154" Type="http://schemas.openxmlformats.org/officeDocument/2006/relationships/hyperlink" Target="https://chemicalsafety.ilo.org/dyn/icsc/showcard.display?p_card_id=1593&amp;p_lang=tr" TargetMode="External"/><Relationship Id="rId6361" Type="http://schemas.openxmlformats.org/officeDocument/2006/relationships/hyperlink" Target="https://chemicalsafety.ilo.org/dyn/icsc/showcard.display?p_card_id=1653&amp;p_lang=en" TargetMode="External"/><Relationship Id="rId669" Type="http://schemas.openxmlformats.org/officeDocument/2006/relationships/hyperlink" Target="https://chemicalsafety.ilo.org/dyn/icsc/showcard.display?p_card_id=0168&amp;p_lang=en" TargetMode="External"/><Relationship Id="rId876" Type="http://schemas.openxmlformats.org/officeDocument/2006/relationships/hyperlink" Target="https://chem.echa.europa.eu/substance-search?searchText=7783-70-2" TargetMode="External"/><Relationship Id="rId1299" Type="http://schemas.openxmlformats.org/officeDocument/2006/relationships/hyperlink" Target="https://www.google.com/search?q=10048-95-0+SDS+safety+data+sheet+filetype:pdf" TargetMode="External"/><Relationship Id="rId2557" Type="http://schemas.openxmlformats.org/officeDocument/2006/relationships/hyperlink" Target="https://chemicalsafety.ilo.org/dyn/icsc/showcard.display?p_card_id=0656&amp;p_lang=en" TargetMode="External"/><Relationship Id="rId3608" Type="http://schemas.openxmlformats.org/officeDocument/2006/relationships/hyperlink" Target="https://chem.echa.europa.eu/substance-search?searchText=300-76-5" TargetMode="External"/><Relationship Id="rId3955" Type="http://schemas.openxmlformats.org/officeDocument/2006/relationships/hyperlink" Target="https://www.google.com/search?q=110-05-4+SDS+safety+data+sheet+filetype:pdf" TargetMode="External"/><Relationship Id="rId5170" Type="http://schemas.openxmlformats.org/officeDocument/2006/relationships/hyperlink" Target="https://chemicalsafety.ilo.org/dyn/icsc/showcard.display?p_card_id=1339&amp;p_lang=tr" TargetMode="External"/><Relationship Id="rId6014" Type="http://schemas.openxmlformats.org/officeDocument/2006/relationships/hyperlink" Target="https://chemicalsafety.ilo.org/dyn/icsc/showcard.display?p_card_id=1558&amp;p_lang=tr" TargetMode="External"/><Relationship Id="rId6221" Type="http://schemas.openxmlformats.org/officeDocument/2006/relationships/hyperlink" Target="https://chemicalsafety.ilo.org/dyn/icsc/showcard.display?p_card_id=1610&amp;p_lang=en" TargetMode="External"/><Relationship Id="rId529" Type="http://schemas.openxmlformats.org/officeDocument/2006/relationships/hyperlink" Target="https://chemicalsafety.ilo.org/dyn/icsc/showcard.display?p_card_id=0133&amp;p_lang=en" TargetMode="External"/><Relationship Id="rId736" Type="http://schemas.openxmlformats.org/officeDocument/2006/relationships/hyperlink" Target="https://chem.echa.europa.eu/substance-search?searchText=7757-79-1" TargetMode="External"/><Relationship Id="rId1159" Type="http://schemas.openxmlformats.org/officeDocument/2006/relationships/hyperlink" Target="https://www.google.com/search?q=74-82-8+SDS+safety+data+sheet+filetype:pdf" TargetMode="External"/><Relationship Id="rId1366" Type="http://schemas.openxmlformats.org/officeDocument/2006/relationships/hyperlink" Target="https://chemicalsafety.ilo.org/dyn/icsc/showcard.display?p_card_id=0343&amp;p_lang=tr" TargetMode="External"/><Relationship Id="rId2417" Type="http://schemas.openxmlformats.org/officeDocument/2006/relationships/hyperlink" Target="https://chemicalsafety.ilo.org/dyn/icsc/showcard.display?p_card_id=0619&amp;p_lang=en" TargetMode="External"/><Relationship Id="rId2764" Type="http://schemas.openxmlformats.org/officeDocument/2006/relationships/hyperlink" Target="https://chem.echa.europa.eu/substance-search?searchText=7447-41-8" TargetMode="External"/><Relationship Id="rId2971" Type="http://schemas.openxmlformats.org/officeDocument/2006/relationships/hyperlink" Target="https://www.google.com/search?q=957-51-7+SDS+safety+data+sheet+filetype:pdf" TargetMode="External"/><Relationship Id="rId3815" Type="http://schemas.openxmlformats.org/officeDocument/2006/relationships/hyperlink" Target="https://www.google.com/search?q=1600-27-7+SDS+safety+data+sheet+filetype:pdf" TargetMode="External"/><Relationship Id="rId5030" Type="http://schemas.openxmlformats.org/officeDocument/2006/relationships/hyperlink" Target="https://chemicalsafety.ilo.org/dyn/icsc/showcard.display?p_card_id=1300&amp;p_lang=tr" TargetMode="External"/><Relationship Id="rId943" Type="http://schemas.openxmlformats.org/officeDocument/2006/relationships/hyperlink" Target="https://www.google.com/search?q=542-88-1+SDS+safety+data+sheet+filetype:pdf" TargetMode="External"/><Relationship Id="rId1019" Type="http://schemas.openxmlformats.org/officeDocument/2006/relationships/hyperlink" Target="https://www.google.com/search?q=818-08-6+SDS+safety+data+sheet+filetype:pdf" TargetMode="External"/><Relationship Id="rId1573" Type="http://schemas.openxmlformats.org/officeDocument/2006/relationships/hyperlink" Target="https://chemicalsafety.ilo.org/dyn/icsc/showcard.display?p_card_id=0397&amp;p_lang=en" TargetMode="External"/><Relationship Id="rId1780" Type="http://schemas.openxmlformats.org/officeDocument/2006/relationships/hyperlink" Target="https://chem.echa.europa.eu/substance-search?searchText=108-18-9" TargetMode="External"/><Relationship Id="rId2624" Type="http://schemas.openxmlformats.org/officeDocument/2006/relationships/hyperlink" Target="https://chem.echa.europa.eu/substance-search?searchText=107-19-7" TargetMode="External"/><Relationship Id="rId2831" Type="http://schemas.openxmlformats.org/officeDocument/2006/relationships/hyperlink" Target="https://www.google.com/search?q=606-20-2+SDS+safety+data+sheet+filetype:pdf" TargetMode="External"/><Relationship Id="rId5987" Type="http://schemas.openxmlformats.org/officeDocument/2006/relationships/hyperlink" Target="https://www.google.com/search?q=1307-96-6+SDS+safety+data+sheet+filetype:pdf" TargetMode="External"/><Relationship Id="rId72" Type="http://schemas.openxmlformats.org/officeDocument/2006/relationships/hyperlink" Target="https://chem.echa.europa.eu/substance-search?searchText=109-79-5" TargetMode="External"/><Relationship Id="rId803" Type="http://schemas.openxmlformats.org/officeDocument/2006/relationships/hyperlink" Target="https://www.google.com/search?q=2303-17-5+SDS+safety+data+sheet+filetype:pdf" TargetMode="External"/><Relationship Id="rId1226" Type="http://schemas.openxmlformats.org/officeDocument/2006/relationships/hyperlink" Target="https://chemicalsafety.ilo.org/dyn/icsc/showcard.display?p_card_id=0308&amp;p_lang=tr" TargetMode="External"/><Relationship Id="rId1433" Type="http://schemas.openxmlformats.org/officeDocument/2006/relationships/hyperlink" Target="https://chemicalsafety.ilo.org/dyn/icsc/showcard.display?p_card_id=0360&amp;p_lang=en" TargetMode="External"/><Relationship Id="rId1640" Type="http://schemas.openxmlformats.org/officeDocument/2006/relationships/hyperlink" Target="https://chem.echa.europa.eu/substance-search?searchText=7664-41-7" TargetMode="External"/><Relationship Id="rId4589" Type="http://schemas.openxmlformats.org/officeDocument/2006/relationships/hyperlink" Target="https://chemicalsafety.ilo.org/dyn/icsc/showcard.display?p_card_id=1187&amp;p_lang=en" TargetMode="External"/><Relationship Id="rId4796" Type="http://schemas.openxmlformats.org/officeDocument/2006/relationships/hyperlink" Target="https://chem.echa.europa.eu/substance-search?searchText=63989-69-5" TargetMode="External"/><Relationship Id="rId5847" Type="http://schemas.openxmlformats.org/officeDocument/2006/relationships/hyperlink" Target="https://www.google.com/search?q=83-26-1+SDS+safety+data+sheet+filetype:pdf" TargetMode="External"/><Relationship Id="rId1500" Type="http://schemas.openxmlformats.org/officeDocument/2006/relationships/hyperlink" Target="https://chem.echa.europa.eu/substance-search?searchText=1303-28-2" TargetMode="External"/><Relationship Id="rId3398" Type="http://schemas.openxmlformats.org/officeDocument/2006/relationships/hyperlink" Target="https://chemicalsafety.ilo.org/dyn/icsc/showcard.display?p_card_id=0873&amp;p_lang=tr" TargetMode="External"/><Relationship Id="rId4449" Type="http://schemas.openxmlformats.org/officeDocument/2006/relationships/hyperlink" Target="https://chemicalsafety.ilo.org/dyn/icsc/showcard.display?p_card_id=1151&amp;p_lang=en" TargetMode="External"/><Relationship Id="rId4656" Type="http://schemas.openxmlformats.org/officeDocument/2006/relationships/hyperlink" Target="https://chem.echa.europa.eu/substance-search?searchText=7779-88-6" TargetMode="External"/><Relationship Id="rId4863" Type="http://schemas.openxmlformats.org/officeDocument/2006/relationships/hyperlink" Target="https://www.google.com/search?q=54-85-3+SDS+safety+data+sheet+filetype:pdf" TargetMode="External"/><Relationship Id="rId5707" Type="http://schemas.openxmlformats.org/officeDocument/2006/relationships/hyperlink" Target="https://www.google.com/search?q=88-12-0+SDS+safety+data+sheet+filetype:pdf" TargetMode="External"/><Relationship Id="rId5914" Type="http://schemas.openxmlformats.org/officeDocument/2006/relationships/hyperlink" Target="https://chemicalsafety.ilo.org/dyn/icsc/showcard.display?p_card_id=1532&amp;p_lang=tr" TargetMode="External"/><Relationship Id="rId3258" Type="http://schemas.openxmlformats.org/officeDocument/2006/relationships/hyperlink" Target="https://chemicalsafety.ilo.org/dyn/icsc/showcard.display?p_card_id=0836&amp;p_lang=tr" TargetMode="External"/><Relationship Id="rId3465" Type="http://schemas.openxmlformats.org/officeDocument/2006/relationships/hyperlink" Target="https://chemicalsafety.ilo.org/dyn/icsc/showcard.display?p_card_id=0890&amp;p_lang=en" TargetMode="External"/><Relationship Id="rId3672" Type="http://schemas.openxmlformats.org/officeDocument/2006/relationships/hyperlink" Target="https://chem.echa.europa.eu/substance-search?searchText=107-10-8" TargetMode="External"/><Relationship Id="rId4309" Type="http://schemas.openxmlformats.org/officeDocument/2006/relationships/hyperlink" Target="https://chemicalsafety.ilo.org/dyn/icsc/showcard.display?p_card_id=1115&amp;p_lang=en" TargetMode="External"/><Relationship Id="rId4516" Type="http://schemas.openxmlformats.org/officeDocument/2006/relationships/hyperlink" Target="https://chem.echa.europa.eu/substance-search?searchText=142-62-1" TargetMode="External"/><Relationship Id="rId4723" Type="http://schemas.openxmlformats.org/officeDocument/2006/relationships/hyperlink" Target="https://www.google.com/search?q=12125-01-8+SDS+safety+data+sheet+filetype:pdf" TargetMode="External"/><Relationship Id="rId179" Type="http://schemas.openxmlformats.org/officeDocument/2006/relationships/hyperlink" Target="https://www.google.com/search?q=106-93-4+SDS+safety+data+sheet+filetype:pdf" TargetMode="External"/><Relationship Id="rId386" Type="http://schemas.openxmlformats.org/officeDocument/2006/relationships/hyperlink" Target="https://chemicalsafety.ilo.org/dyn/icsc/showcard.display?p_card_id=0097&amp;p_lang=tr" TargetMode="External"/><Relationship Id="rId593" Type="http://schemas.openxmlformats.org/officeDocument/2006/relationships/hyperlink" Target="https://chemicalsafety.ilo.org/dyn/icsc/showcard.display?p_card_id=0149&amp;p_lang=en" TargetMode="External"/><Relationship Id="rId2067" Type="http://schemas.openxmlformats.org/officeDocument/2006/relationships/hyperlink" Target="https://www.google.com/search?q=203-12-3+SDS+safety+data+sheet+filetype:pdf" TargetMode="External"/><Relationship Id="rId2274" Type="http://schemas.openxmlformats.org/officeDocument/2006/relationships/hyperlink" Target="https://chemicalsafety.ilo.org/dyn/icsc/showcard.display?p_card_id=0580&amp;p_lang=tr" TargetMode="External"/><Relationship Id="rId2481" Type="http://schemas.openxmlformats.org/officeDocument/2006/relationships/hyperlink" Target="https://chemicalsafety.ilo.org/dyn/icsc/showcard.display?p_card_id=0635&amp;p_lang=en" TargetMode="External"/><Relationship Id="rId3118" Type="http://schemas.openxmlformats.org/officeDocument/2006/relationships/hyperlink" Target="https://chemicalsafety.ilo.org/dyn/icsc/showcard.display?p_card_id=0800&amp;p_lang=tr" TargetMode="External"/><Relationship Id="rId3325" Type="http://schemas.openxmlformats.org/officeDocument/2006/relationships/hyperlink" Target="https://chemicalsafety.ilo.org/dyn/icsc/showcard.display?p_card_id=0854&amp;p_lang=en" TargetMode="External"/><Relationship Id="rId3532" Type="http://schemas.openxmlformats.org/officeDocument/2006/relationships/hyperlink" Target="https://chem.echa.europa.eu/substance-search?searchText=108-20-3" TargetMode="External"/><Relationship Id="rId4930" Type="http://schemas.openxmlformats.org/officeDocument/2006/relationships/hyperlink" Target="https://chemicalsafety.ilo.org/dyn/icsc/showcard.display?p_card_id=1275&amp;p_lang=tr" TargetMode="External"/><Relationship Id="rId6688" Type="http://schemas.openxmlformats.org/officeDocument/2006/relationships/hyperlink" Target="https://chem.echa.europa.eu/substance-search?searchText=29590-42-9" TargetMode="External"/><Relationship Id="rId246" Type="http://schemas.openxmlformats.org/officeDocument/2006/relationships/hyperlink" Target="https://chemicalsafety.ilo.org/dyn/icsc/showcard.display?p_card_id=0062&amp;p_lang=tr" TargetMode="External"/><Relationship Id="rId453" Type="http://schemas.openxmlformats.org/officeDocument/2006/relationships/hyperlink" Target="https://chemicalsafety.ilo.org/dyn/icsc/showcard.display?p_card_id=0114&amp;p_lang=en" TargetMode="External"/><Relationship Id="rId660" Type="http://schemas.openxmlformats.org/officeDocument/2006/relationships/hyperlink" Target="https://chem.echa.europa.eu/substance-search?searchText=7783-06-4" TargetMode="External"/><Relationship Id="rId1083" Type="http://schemas.openxmlformats.org/officeDocument/2006/relationships/hyperlink" Target="https://www.google.com/search?q=97-63-2+SDS+safety+data+sheet+filetype:pdf" TargetMode="External"/><Relationship Id="rId1290" Type="http://schemas.openxmlformats.org/officeDocument/2006/relationships/hyperlink" Target="https://chemicalsafety.ilo.org/dyn/icsc/showcard.display?p_card_id=0324&amp;p_lang=tr" TargetMode="External"/><Relationship Id="rId2134" Type="http://schemas.openxmlformats.org/officeDocument/2006/relationships/hyperlink" Target="https://chemicalsafety.ilo.org/dyn/icsc/showcard.display?p_card_id=0544&amp;p_lang=tr" TargetMode="External"/><Relationship Id="rId2341" Type="http://schemas.openxmlformats.org/officeDocument/2006/relationships/hyperlink" Target="https://chemicalsafety.ilo.org/dyn/icsc/showcard.display?p_card_id=0598&amp;p_lang=en" TargetMode="External"/><Relationship Id="rId5497" Type="http://schemas.openxmlformats.org/officeDocument/2006/relationships/hyperlink" Target="https://chemicalsafety.ilo.org/dyn/icsc/showcard.display?p_card_id=1423&amp;p_lang=en" TargetMode="External"/><Relationship Id="rId6548" Type="http://schemas.openxmlformats.org/officeDocument/2006/relationships/hyperlink" Target="https://chem.echa.europa.eu/substance-search?searchText=90-13-1" TargetMode="External"/><Relationship Id="rId106" Type="http://schemas.openxmlformats.org/officeDocument/2006/relationships/hyperlink" Target="https://chemicalsafety.ilo.org/dyn/icsc/showcard.display?p_card_id=0027&amp;p_lang=tr" TargetMode="External"/><Relationship Id="rId313" Type="http://schemas.openxmlformats.org/officeDocument/2006/relationships/hyperlink" Target="https://chemicalsafety.ilo.org/dyn/icsc/showcard.display?p_card_id=0079&amp;p_lang=en" TargetMode="External"/><Relationship Id="rId1150" Type="http://schemas.openxmlformats.org/officeDocument/2006/relationships/hyperlink" Target="https://chemicalsafety.ilo.org/dyn/icsc/showcard.display?p_card_id=0289&amp;p_lang=tr" TargetMode="External"/><Relationship Id="rId4099" Type="http://schemas.openxmlformats.org/officeDocument/2006/relationships/hyperlink" Target="https://www.google.com/search?q=110-98-5+SDS+safety+data+sheet+filetype:pdf" TargetMode="External"/><Relationship Id="rId5357" Type="http://schemas.openxmlformats.org/officeDocument/2006/relationships/hyperlink" Target="https://chemicalsafety.ilo.org/dyn/icsc/showcard.display?p_card_id=1387&amp;p_lang=en" TargetMode="External"/><Relationship Id="rId6755" Type="http://schemas.openxmlformats.org/officeDocument/2006/relationships/hyperlink" Target="https://www.google.com/search?q=926-57-8+SDS+safety+data+sheet+filetype:pdf" TargetMode="External"/><Relationship Id="rId520" Type="http://schemas.openxmlformats.org/officeDocument/2006/relationships/hyperlink" Target="https://chem.echa.europa.eu/substance-search?searchText=108-42-9" TargetMode="External"/><Relationship Id="rId2201" Type="http://schemas.openxmlformats.org/officeDocument/2006/relationships/hyperlink" Target="https://chemicalsafety.ilo.org/dyn/icsc/showcard.display?p_card_id=0562&amp;p_lang=en" TargetMode="External"/><Relationship Id="rId5564" Type="http://schemas.openxmlformats.org/officeDocument/2006/relationships/hyperlink" Target="https://chem.echa.europa.eu/substance-search?searchText=56-84-8" TargetMode="External"/><Relationship Id="rId5771" Type="http://schemas.openxmlformats.org/officeDocument/2006/relationships/hyperlink" Target="https://www.google.com/search?q=994-05-8+SDS+safety+data+sheet+filetype:pdf" TargetMode="External"/><Relationship Id="rId6408" Type="http://schemas.openxmlformats.org/officeDocument/2006/relationships/hyperlink" Target="https://chem.echa.europa.eu/substance-search?searchText=32536-52-0" TargetMode="External"/><Relationship Id="rId6615" Type="http://schemas.openxmlformats.org/officeDocument/2006/relationships/hyperlink" Target="https://www.google.com/search?q=868-77-9+SDS+safety+data+sheet+filetype:pdf" TargetMode="External"/><Relationship Id="rId6822" Type="http://schemas.openxmlformats.org/officeDocument/2006/relationships/hyperlink" Target="https://chemicalsafety.ilo.org/dyn/icsc/showcard.display?p_card_id=1778&amp;p_lang=tr" TargetMode="External"/><Relationship Id="rId1010" Type="http://schemas.openxmlformats.org/officeDocument/2006/relationships/hyperlink" Target="https://chemicalsafety.ilo.org/dyn/icsc/showcard.display?p_card_id=0254&amp;p_lang=tr" TargetMode="External"/><Relationship Id="rId1967" Type="http://schemas.openxmlformats.org/officeDocument/2006/relationships/hyperlink" Target="https://www.google.com/search?q=2855-13-2+SDS+safety+data+sheet+filetype:pdf" TargetMode="External"/><Relationship Id="rId4166" Type="http://schemas.openxmlformats.org/officeDocument/2006/relationships/hyperlink" Target="https://chemicalsafety.ilo.org/dyn/icsc/showcard.display?p_card_id=1075&amp;p_lang=tr" TargetMode="External"/><Relationship Id="rId4373" Type="http://schemas.openxmlformats.org/officeDocument/2006/relationships/hyperlink" Target="https://chemicalsafety.ilo.org/dyn/icsc/showcard.display?p_card_id=1132&amp;p_lang=en" TargetMode="External"/><Relationship Id="rId4580" Type="http://schemas.openxmlformats.org/officeDocument/2006/relationships/hyperlink" Target="https://chem.echa.europa.eu/substance-search?searchText=149-30-4" TargetMode="External"/><Relationship Id="rId5217" Type="http://schemas.openxmlformats.org/officeDocument/2006/relationships/hyperlink" Target="https://chemicalsafety.ilo.org/dyn/icsc/showcard.display?p_card_id=1351&amp;p_lang=en" TargetMode="External"/><Relationship Id="rId5424" Type="http://schemas.openxmlformats.org/officeDocument/2006/relationships/hyperlink" Target="https://chem.echa.europa.eu/substance-search?searchText=7440-33-7" TargetMode="External"/><Relationship Id="rId5631" Type="http://schemas.openxmlformats.org/officeDocument/2006/relationships/hyperlink" Target="https://www.google.com/search?q=7783-60-0+SDS+safety+data+sheet+filetype:pdf" TargetMode="External"/><Relationship Id="rId4026" Type="http://schemas.openxmlformats.org/officeDocument/2006/relationships/hyperlink" Target="https://chemicalsafety.ilo.org/dyn/icsc/showcard.display?p_card_id=1037&amp;p_lang=tr" TargetMode="External"/><Relationship Id="rId4440" Type="http://schemas.openxmlformats.org/officeDocument/2006/relationships/hyperlink" Target="https://chem.echa.europa.eu/substance-search?searchText=96-45-7" TargetMode="External"/><Relationship Id="rId3042" Type="http://schemas.openxmlformats.org/officeDocument/2006/relationships/hyperlink" Target="https://chemicalsafety.ilo.org/dyn/icsc/showcard.display?p_card_id=0781&amp;p_lang=tr" TargetMode="External"/><Relationship Id="rId6198" Type="http://schemas.openxmlformats.org/officeDocument/2006/relationships/hyperlink" Target="https://chemicalsafety.ilo.org/dyn/icsc/showcard.display?p_card_id=1604&amp;p_lang=tr" TargetMode="External"/><Relationship Id="rId6265" Type="http://schemas.openxmlformats.org/officeDocument/2006/relationships/hyperlink" Target="https://chemicalsafety.ilo.org/dyn/icsc/showcard.display?p_card_id=1621&amp;p_lang=en" TargetMode="External"/><Relationship Id="rId3859" Type="http://schemas.openxmlformats.org/officeDocument/2006/relationships/hyperlink" Target="https://www.google.com/search?q=501-53-1+SDS+safety+data+sheet+filetype:pdf" TargetMode="External"/><Relationship Id="rId5281" Type="http://schemas.openxmlformats.org/officeDocument/2006/relationships/hyperlink" Target="https://chemicalsafety.ilo.org/dyn/icsc/showcard.display?p_card_id=1367&amp;p_lang=en" TargetMode="External"/><Relationship Id="rId2875" Type="http://schemas.openxmlformats.org/officeDocument/2006/relationships/hyperlink" Target="https://www.google.com/search?q=191-24-2+SDS+safety+data+sheet+filetype:pdf" TargetMode="External"/><Relationship Id="rId3926" Type="http://schemas.openxmlformats.org/officeDocument/2006/relationships/hyperlink" Target="https://chemicalsafety.ilo.org/dyn/icsc/showcard.display?p_card_id=1012&amp;p_lang=tr" TargetMode="External"/><Relationship Id="rId6332" Type="http://schemas.openxmlformats.org/officeDocument/2006/relationships/hyperlink" Target="https://chem.echa.europa.eu/substance-search?searchText=156-62-7" TargetMode="External"/><Relationship Id="rId847" Type="http://schemas.openxmlformats.org/officeDocument/2006/relationships/hyperlink" Target="https://www.google.com/search?q=584-79-2+SDS+safety+data+sheet+filetype:pdf" TargetMode="External"/><Relationship Id="rId1477" Type="http://schemas.openxmlformats.org/officeDocument/2006/relationships/hyperlink" Target="https://chemicalsafety.ilo.org/dyn/icsc/showcard.display?p_card_id=0372&amp;p_lang=en" TargetMode="External"/><Relationship Id="rId1891" Type="http://schemas.openxmlformats.org/officeDocument/2006/relationships/hyperlink" Target="https://www.google.com/search?q=75-03-6+SDS+safety+data+sheet+filetype:pdf" TargetMode="External"/><Relationship Id="rId2528" Type="http://schemas.openxmlformats.org/officeDocument/2006/relationships/hyperlink" Target="https://chem.echa.europa.eu/substance-search?searchText=10103-61-4" TargetMode="External"/><Relationship Id="rId2942" Type="http://schemas.openxmlformats.org/officeDocument/2006/relationships/hyperlink" Target="https://chemicalsafety.ilo.org/dyn/icsc/showcard.display?p_card_id=0756&amp;p_lang=tr" TargetMode="External"/><Relationship Id="rId914" Type="http://schemas.openxmlformats.org/officeDocument/2006/relationships/hyperlink" Target="https://chemicalsafety.ilo.org/dyn/icsc/showcard.display?p_card_id=0230&amp;p_lang=tr" TargetMode="External"/><Relationship Id="rId1544" Type="http://schemas.openxmlformats.org/officeDocument/2006/relationships/hyperlink" Target="https://chem.echa.europa.eu/substance-search?searchText=271-89-6" TargetMode="External"/><Relationship Id="rId5001" Type="http://schemas.openxmlformats.org/officeDocument/2006/relationships/hyperlink" Target="https://chemicalsafety.ilo.org/dyn/icsc/showcard.display?p_card_id=1293&amp;p_lang=en" TargetMode="External"/><Relationship Id="rId1611" Type="http://schemas.openxmlformats.org/officeDocument/2006/relationships/hyperlink" Target="https://www.google.com/search?q=75-20-7+SDS+safety+data+sheet+filetype:pdf" TargetMode="External"/><Relationship Id="rId4767" Type="http://schemas.openxmlformats.org/officeDocument/2006/relationships/hyperlink" Target="https://www.google.com/search?q=7783-54-2+SDS+safety+data+sheet+filetype:pdf" TargetMode="External"/><Relationship Id="rId5818" Type="http://schemas.openxmlformats.org/officeDocument/2006/relationships/hyperlink" Target="https://chemicalsafety.ilo.org/dyn/icsc/showcard.display?p_card_id=1508&amp;p_lang=tr" TargetMode="External"/><Relationship Id="rId3369" Type="http://schemas.openxmlformats.org/officeDocument/2006/relationships/hyperlink" Target="https://chemicalsafety.ilo.org/dyn/icsc/showcard.display?p_card_id=0866&amp;p_lang=en" TargetMode="External"/><Relationship Id="rId2385" Type="http://schemas.openxmlformats.org/officeDocument/2006/relationships/hyperlink" Target="https://chemicalsafety.ilo.org/dyn/icsc/showcard.display?p_card_id=0611&amp;p_lang=en" TargetMode="External"/><Relationship Id="rId3783" Type="http://schemas.openxmlformats.org/officeDocument/2006/relationships/hyperlink" Target="https://www.google.com/search?q=546-93-0+SDS+safety+data+sheet+filetype:pdf" TargetMode="External"/><Relationship Id="rId4834" Type="http://schemas.openxmlformats.org/officeDocument/2006/relationships/hyperlink" Target="https://chemicalsafety.ilo.org/dyn/icsc/showcard.display?p_card_id=1251&amp;p_lang=tr" TargetMode="External"/><Relationship Id="rId357" Type="http://schemas.openxmlformats.org/officeDocument/2006/relationships/hyperlink" Target="https://chemicalsafety.ilo.org/dyn/icsc/showcard.display?p_card_id=0090&amp;p_lang=en" TargetMode="External"/><Relationship Id="rId2038" Type="http://schemas.openxmlformats.org/officeDocument/2006/relationships/hyperlink" Target="https://chemicalsafety.ilo.org/dyn/icsc/showcard.display?p_card_id=0519&amp;p_lang=tr" TargetMode="External"/><Relationship Id="rId3436" Type="http://schemas.openxmlformats.org/officeDocument/2006/relationships/hyperlink" Target="https://chem.echa.europa.eu/substance-search?searchText=2813-95-8" TargetMode="External"/><Relationship Id="rId3850" Type="http://schemas.openxmlformats.org/officeDocument/2006/relationships/hyperlink" Target="https://chemicalsafety.ilo.org/dyn/icsc/showcard.display?p_card_id=0987&amp;p_lang=tr" TargetMode="External"/><Relationship Id="rId4901" Type="http://schemas.openxmlformats.org/officeDocument/2006/relationships/hyperlink" Target="https://chemicalsafety.ilo.org/dyn/icsc/showcard.display?p_card_id=1268&amp;p_lang=en" TargetMode="External"/><Relationship Id="rId771" Type="http://schemas.openxmlformats.org/officeDocument/2006/relationships/hyperlink" Target="https://www.google.com/search?q=101-90-6+SDS+safety+data+sheet+filetype:pdf" TargetMode="External"/><Relationship Id="rId2452" Type="http://schemas.openxmlformats.org/officeDocument/2006/relationships/hyperlink" Target="https://chem.echa.europa.eu/substance-search?searchText=7440-01-9" TargetMode="External"/><Relationship Id="rId3503" Type="http://schemas.openxmlformats.org/officeDocument/2006/relationships/hyperlink" Target="https://www.google.com/search?q=999-61-1+SDS+safety+data+sheet+filetype:pdf" TargetMode="External"/><Relationship Id="rId6659" Type="http://schemas.openxmlformats.org/officeDocument/2006/relationships/hyperlink" Target="https://www.google.com/search?q=299-28-5+SDS+safety+data+sheet+filetype:pdf" TargetMode="External"/><Relationship Id="rId424" Type="http://schemas.openxmlformats.org/officeDocument/2006/relationships/hyperlink" Target="https://chem.echa.europa.eu/substance-search?searchText=92-52-4" TargetMode="External"/><Relationship Id="rId1054" Type="http://schemas.openxmlformats.org/officeDocument/2006/relationships/hyperlink" Target="https://chemicalsafety.ilo.org/dyn/icsc/showcard.display?p_card_id=0265&amp;p_lang=tr" TargetMode="External"/><Relationship Id="rId2105" Type="http://schemas.openxmlformats.org/officeDocument/2006/relationships/hyperlink" Target="https://chemicalsafety.ilo.org/dyn/icsc/showcard.display?p_card_id=0537&amp;p_lang=en" TargetMode="External"/><Relationship Id="rId5675" Type="http://schemas.openxmlformats.org/officeDocument/2006/relationships/hyperlink" Target="https://www.google.com/search?q=27176-87-0+SDS+safety+data+sheet+filetype:pdf" TargetMode="External"/><Relationship Id="rId6726" Type="http://schemas.openxmlformats.org/officeDocument/2006/relationships/hyperlink" Target="https://chemicalsafety.ilo.org/dyn/icsc/showcard.display?p_card_id=1754&amp;p_lang=tr" TargetMode="External"/><Relationship Id="rId1121" Type="http://schemas.openxmlformats.org/officeDocument/2006/relationships/hyperlink" Target="https://chemicalsafety.ilo.org/dyn/icsc/showcard.display?p_card_id=0282&amp;p_lang=en" TargetMode="External"/><Relationship Id="rId4277" Type="http://schemas.openxmlformats.org/officeDocument/2006/relationships/hyperlink" Target="https://chemicalsafety.ilo.org/dyn/icsc/showcard.display?p_card_id=1107&amp;p_lang=en" TargetMode="External"/><Relationship Id="rId4691" Type="http://schemas.openxmlformats.org/officeDocument/2006/relationships/hyperlink" Target="https://www.google.com/search?q=13397-24-5+SDS+safety+data+sheet+filetype:pdf" TargetMode="External"/><Relationship Id="rId5328" Type="http://schemas.openxmlformats.org/officeDocument/2006/relationships/hyperlink" Target="https://chem.echa.europa.eu/substance-search?searchText=74-96-4" TargetMode="External"/><Relationship Id="rId5742" Type="http://schemas.openxmlformats.org/officeDocument/2006/relationships/hyperlink" Target="https://chemicalsafety.ilo.org/dyn/icsc/showcard.display?p_card_id=1489&amp;p_lang=tr" TargetMode="External"/><Relationship Id="rId3293" Type="http://schemas.openxmlformats.org/officeDocument/2006/relationships/hyperlink" Target="https://chemicalsafety.ilo.org/dyn/icsc/showcard.display?p_card_id=0846&amp;p_lang=en" TargetMode="External"/><Relationship Id="rId4344" Type="http://schemas.openxmlformats.org/officeDocument/2006/relationships/hyperlink" Target="https://chem.echa.europa.eu/substance-search?searchText=112-24-3" TargetMode="External"/><Relationship Id="rId1938" Type="http://schemas.openxmlformats.org/officeDocument/2006/relationships/hyperlink" Target="https://chemicalsafety.ilo.org/dyn/icsc/showcard.display?p_card_id=0491&amp;p_lang=tr" TargetMode="External"/><Relationship Id="rId3360" Type="http://schemas.openxmlformats.org/officeDocument/2006/relationships/hyperlink" Target="https://chem.echa.europa.eu/substance-search?searchText=8022-00-2" TargetMode="External"/><Relationship Id="rId281" Type="http://schemas.openxmlformats.org/officeDocument/2006/relationships/hyperlink" Target="https://chemicalsafety.ilo.org/dyn/icsc/showcard.display?p_card_id=0071&amp;p_lang=en" TargetMode="External"/><Relationship Id="rId3013" Type="http://schemas.openxmlformats.org/officeDocument/2006/relationships/hyperlink" Target="https://chemicalsafety.ilo.org/dyn/icsc/showcard.display?p_card_id=0774&amp;p_lang=en" TargetMode="External"/><Relationship Id="rId4411" Type="http://schemas.openxmlformats.org/officeDocument/2006/relationships/hyperlink" Target="https://www.google.com/search?q=93763-70-3+SDS+safety+data+sheet+filetype:pdf" TargetMode="External"/><Relationship Id="rId6169" Type="http://schemas.openxmlformats.org/officeDocument/2006/relationships/hyperlink" Target="https://chemicalsafety.ilo.org/dyn/icsc/showcard.display?p_card_id=1597&amp;p_lang=en" TargetMode="External"/><Relationship Id="rId6583" Type="http://schemas.openxmlformats.org/officeDocument/2006/relationships/hyperlink" Target="https://www.google.com/search?q=115-95-7+SDS+safety+data+sheet+filetype:pdf" TargetMode="External"/><Relationship Id="rId2779" Type="http://schemas.openxmlformats.org/officeDocument/2006/relationships/hyperlink" Target="https://www.google.com/search?q=7601-89-0+SDS+safety+data+sheet+filetype:pdf" TargetMode="External"/><Relationship Id="rId5185" Type="http://schemas.openxmlformats.org/officeDocument/2006/relationships/hyperlink" Target="https://chemicalsafety.ilo.org/dyn/icsc/showcard.display?p_card_id=1343&amp;p_lang=en" TargetMode="External"/><Relationship Id="rId6236" Type="http://schemas.openxmlformats.org/officeDocument/2006/relationships/hyperlink" Target="https://chem.echa.europa.eu/substance-search?searchText=335-67-1" TargetMode="External"/><Relationship Id="rId6650" Type="http://schemas.openxmlformats.org/officeDocument/2006/relationships/hyperlink" Target="https://chemicalsafety.ilo.org/dyn/icsc/showcard.display?p_card_id=1734&amp;p_lang=tr" TargetMode="External"/><Relationship Id="rId1795" Type="http://schemas.openxmlformats.org/officeDocument/2006/relationships/hyperlink" Target="https://www.google.com/search?q=115-10-6+SDS+safety+data+sheet+filetype:pdf" TargetMode="External"/><Relationship Id="rId2846" Type="http://schemas.openxmlformats.org/officeDocument/2006/relationships/hyperlink" Target="https://chemicalsafety.ilo.org/dyn/icsc/showcard.display?p_card_id=0732&amp;p_lang=tr" TargetMode="External"/><Relationship Id="rId5252" Type="http://schemas.openxmlformats.org/officeDocument/2006/relationships/hyperlink" Target="https://chem.echa.europa.eu/substance-search?searchText=101200-48-0" TargetMode="External"/><Relationship Id="rId6303" Type="http://schemas.openxmlformats.org/officeDocument/2006/relationships/hyperlink" Target="https://www.google.com/search?q=542-78-9+SDS+safety+data+sheet+filetype:pdf" TargetMode="External"/><Relationship Id="rId87" Type="http://schemas.openxmlformats.org/officeDocument/2006/relationships/hyperlink" Target="https://www.google.com/search?q=75-15-0+SDS+safety+data+sheet+filetype:pdf" TargetMode="External"/><Relationship Id="rId818" Type="http://schemas.openxmlformats.org/officeDocument/2006/relationships/hyperlink" Target="https://chemicalsafety.ilo.org/dyn/icsc/showcard.display?p_card_id=0205&amp;p_lang=tr" TargetMode="External"/><Relationship Id="rId1448" Type="http://schemas.openxmlformats.org/officeDocument/2006/relationships/hyperlink" Target="https://chem.echa.europa.eu/substance-search?searchText=64-19-7" TargetMode="External"/><Relationship Id="rId1862" Type="http://schemas.openxmlformats.org/officeDocument/2006/relationships/hyperlink" Target="https://chemicalsafety.ilo.org/dyn/icsc/showcard.display?p_card_id=0472&amp;p_lang=tr" TargetMode="External"/><Relationship Id="rId2913" Type="http://schemas.openxmlformats.org/officeDocument/2006/relationships/hyperlink" Target="https://chemicalsafety.ilo.org/dyn/icsc/showcard.display?p_card_id=0749&amp;p_lang=en" TargetMode="External"/><Relationship Id="rId1515" Type="http://schemas.openxmlformats.org/officeDocument/2006/relationships/hyperlink" Target="https://www.google.com/search?q=1304-29-6+SDS+safety+data+sheet+filetype:pdf" TargetMode="External"/><Relationship Id="rId6093" Type="http://schemas.openxmlformats.org/officeDocument/2006/relationships/hyperlink" Target="https://chemicalsafety.ilo.org/dyn/icsc/showcard.display?p_card_id=1578&amp;p_lang=en" TargetMode="External"/><Relationship Id="rId3687" Type="http://schemas.openxmlformats.org/officeDocument/2006/relationships/hyperlink" Target="https://www.google.com/search?q=7783-00-8+SDS+safety+data+sheet+filetype:pdf" TargetMode="External"/><Relationship Id="rId4738" Type="http://schemas.openxmlformats.org/officeDocument/2006/relationships/hyperlink" Target="https://chemicalsafety.ilo.org/dyn/icsc/showcard.display?p_card_id=1227&amp;p_lang=tr" TargetMode="External"/><Relationship Id="rId2289" Type="http://schemas.openxmlformats.org/officeDocument/2006/relationships/hyperlink" Target="https://chemicalsafety.ilo.org/dyn/icsc/showcard.display?p_card_id=0585&amp;p_lang=en" TargetMode="External"/><Relationship Id="rId3754" Type="http://schemas.openxmlformats.org/officeDocument/2006/relationships/hyperlink" Target="https://chemicalsafety.ilo.org/dyn/icsc/showcard.display?p_card_id=0962&amp;p_lang=tr" TargetMode="External"/><Relationship Id="rId4805" Type="http://schemas.openxmlformats.org/officeDocument/2006/relationships/hyperlink" Target="https://chemicalsafety.ilo.org/dyn/icsc/showcard.display?p_card_id=1244&amp;p_lang=en" TargetMode="External"/><Relationship Id="rId6160" Type="http://schemas.openxmlformats.org/officeDocument/2006/relationships/hyperlink" Target="https://chem.echa.europa.eu/substance-search?searchText=543-27-1" TargetMode="External"/><Relationship Id="rId675" Type="http://schemas.openxmlformats.org/officeDocument/2006/relationships/hyperlink" Target="https://www.google.com/search?q=78-59-1+SDS+safety+data+sheet+filetype:pdf" TargetMode="External"/><Relationship Id="rId2356" Type="http://schemas.openxmlformats.org/officeDocument/2006/relationships/hyperlink" Target="https://chem.echa.europa.eu/substance-search?searchText=1314-84-7" TargetMode="External"/><Relationship Id="rId2770" Type="http://schemas.openxmlformats.org/officeDocument/2006/relationships/hyperlink" Target="https://chemicalsafety.ilo.org/dyn/icsc/showcard.display?p_card_id=0713&amp;p_lang=tr" TargetMode="External"/><Relationship Id="rId3407" Type="http://schemas.openxmlformats.org/officeDocument/2006/relationships/hyperlink" Target="https://www.google.com/search?q=26761-40-0+SDS+safety+data+sheet+filetype:pdf" TargetMode="External"/><Relationship Id="rId3821" Type="http://schemas.openxmlformats.org/officeDocument/2006/relationships/hyperlink" Target="https://chemicalsafety.ilo.org/dyn/icsc/showcard.display?p_card_id=0980&amp;p_lang=en" TargetMode="External"/><Relationship Id="rId328" Type="http://schemas.openxmlformats.org/officeDocument/2006/relationships/hyperlink" Target="https://chem.echa.europa.eu/substance-search?searchText=75-01-4" TargetMode="External"/><Relationship Id="rId742" Type="http://schemas.openxmlformats.org/officeDocument/2006/relationships/hyperlink" Target="https://chemicalsafety.ilo.org/dyn/icsc/showcard.display?p_card_id=0186&amp;p_lang=tr" TargetMode="External"/><Relationship Id="rId1372" Type="http://schemas.openxmlformats.org/officeDocument/2006/relationships/hyperlink" Target="https://chem.echa.europa.eu/substance-search?searchText=108-70-3" TargetMode="External"/><Relationship Id="rId2009" Type="http://schemas.openxmlformats.org/officeDocument/2006/relationships/hyperlink" Target="https://chemicalsafety.ilo.org/dyn/icsc/showcard.display?p_card_id=0509&amp;p_lang=en" TargetMode="External"/><Relationship Id="rId2423" Type="http://schemas.openxmlformats.org/officeDocument/2006/relationships/hyperlink" Target="https://www.google.com/search?q=111-40-0+SDS+safety+data+sheet+filetype:pdf" TargetMode="External"/><Relationship Id="rId5579" Type="http://schemas.openxmlformats.org/officeDocument/2006/relationships/hyperlink" Target="https://www.google.com/search?q=111-26-2+SDS+safety+data+sheet+filetype:pdf" TargetMode="External"/><Relationship Id="rId1025" Type="http://schemas.openxmlformats.org/officeDocument/2006/relationships/hyperlink" Target="https://chemicalsafety.ilo.org/dyn/icsc/showcard.display?p_card_id=0258&amp;p_lang=en" TargetMode="External"/><Relationship Id="rId4595" Type="http://schemas.openxmlformats.org/officeDocument/2006/relationships/hyperlink" Target="https://www.google.com/search?q=681-84-5+SDS+safety+data+sheet+filetype:pdf" TargetMode="External"/><Relationship Id="rId5646" Type="http://schemas.openxmlformats.org/officeDocument/2006/relationships/hyperlink" Target="https://chemicalsafety.ilo.org/dyn/icsc/showcard.display?p_card_id=1462&amp;p_lang=tr" TargetMode="External"/><Relationship Id="rId5993" Type="http://schemas.openxmlformats.org/officeDocument/2006/relationships/hyperlink" Target="https://chemicalsafety.ilo.org/dyn/icsc/showcard.display?p_card_id=1553&amp;p_lang=en" TargetMode="External"/><Relationship Id="rId3197" Type="http://schemas.openxmlformats.org/officeDocument/2006/relationships/hyperlink" Target="https://chemicalsafety.ilo.org/dyn/icsc/showcard.display?p_card_id=0820&amp;p_lang=en" TargetMode="External"/><Relationship Id="rId4248" Type="http://schemas.openxmlformats.org/officeDocument/2006/relationships/hyperlink" Target="https://chem.echa.europa.eu/substance-search?searchText=150-76-5" TargetMode="External"/><Relationship Id="rId4662" Type="http://schemas.openxmlformats.org/officeDocument/2006/relationships/hyperlink" Target="https://chemicalsafety.ilo.org/dyn/icsc/showcard.display?p_card_id=1208&amp;p_lang=tr" TargetMode="External"/><Relationship Id="rId5713" Type="http://schemas.openxmlformats.org/officeDocument/2006/relationships/hyperlink" Target="https://chemicalsafety.ilo.org/dyn/icsc/showcard.display?p_card_id=1482&amp;p_lang=en" TargetMode="External"/><Relationship Id="rId185" Type="http://schemas.openxmlformats.org/officeDocument/2006/relationships/hyperlink" Target="https://chemicalsafety.ilo.org/dyn/icsc/showcard.display?p_card_id=0047&amp;p_lang=en" TargetMode="External"/><Relationship Id="rId1909" Type="http://schemas.openxmlformats.org/officeDocument/2006/relationships/hyperlink" Target="https://chemicalsafety.ilo.org/dyn/icsc/showcard.display?p_card_id=0484&amp;p_lang=en" TargetMode="External"/><Relationship Id="rId3264" Type="http://schemas.openxmlformats.org/officeDocument/2006/relationships/hyperlink" Target="https://chem.echa.europa.eu/substance-search?searchText=75-63-8" TargetMode="External"/><Relationship Id="rId4315" Type="http://schemas.openxmlformats.org/officeDocument/2006/relationships/hyperlink" Target="https://www.google.com/search?q=7761-88-8+SDS+safety+data+sheet+filetype:pdf" TargetMode="External"/><Relationship Id="rId2280" Type="http://schemas.openxmlformats.org/officeDocument/2006/relationships/hyperlink" Target="https://chem.echa.europa.eu/substance-search?searchText=3982-91-0" TargetMode="External"/><Relationship Id="rId3331" Type="http://schemas.openxmlformats.org/officeDocument/2006/relationships/hyperlink" Target="https://www.google.com/search?q=77-92-9+SDS+safety+data+sheet+filetype:pdf" TargetMode="External"/><Relationship Id="rId6487" Type="http://schemas.openxmlformats.org/officeDocument/2006/relationships/hyperlink" Target="https://www.google.com/search?q=108-69-0+SDS+safety+data+sheet+filetype:pdf" TargetMode="External"/><Relationship Id="rId252" Type="http://schemas.openxmlformats.org/officeDocument/2006/relationships/hyperlink" Target="https://chem.echa.europa.eu/substance-search?searchText=7786-81-4" TargetMode="External"/><Relationship Id="rId5089" Type="http://schemas.openxmlformats.org/officeDocument/2006/relationships/hyperlink" Target="https://chemicalsafety.ilo.org/dyn/icsc/showcard.display?p_card_id=1317&amp;p_lang=en" TargetMode="External"/><Relationship Id="rId6554" Type="http://schemas.openxmlformats.org/officeDocument/2006/relationships/hyperlink" Target="https://chemicalsafety.ilo.org/dyn/icsc/showcard.display?p_card_id=1709&amp;p_lang=tr" TargetMode="External"/><Relationship Id="rId1699" Type="http://schemas.openxmlformats.org/officeDocument/2006/relationships/hyperlink" Target="https://www.google.com/search?q=867-27-6+SDS+safety+data+sheet+filetype:pdf" TargetMode="External"/><Relationship Id="rId2000" Type="http://schemas.openxmlformats.org/officeDocument/2006/relationships/hyperlink" Target="https://chem.echa.europa.eu/substance-search?searchText=137-32-6" TargetMode="External"/><Relationship Id="rId5156" Type="http://schemas.openxmlformats.org/officeDocument/2006/relationships/hyperlink" Target="https://chem.echa.europa.eu/substance-search?searchText=108-84-9" TargetMode="External"/><Relationship Id="rId5570" Type="http://schemas.openxmlformats.org/officeDocument/2006/relationships/hyperlink" Target="https://chemicalsafety.ilo.org/dyn/icsc/showcard.display?p_card_id=1441&amp;p_lang=tr" TargetMode="External"/><Relationship Id="rId6207" Type="http://schemas.openxmlformats.org/officeDocument/2006/relationships/hyperlink" Target="https://www.google.com/search?q=1313-60-6+SDS+safety+data+sheet+filetype:pdf" TargetMode="External"/><Relationship Id="rId4172" Type="http://schemas.openxmlformats.org/officeDocument/2006/relationships/hyperlink" Target="https://chem.echa.europa.eu/substance-search?searchText=121-87-9" TargetMode="External"/><Relationship Id="rId5223" Type="http://schemas.openxmlformats.org/officeDocument/2006/relationships/hyperlink" Target="https://www.google.com/search?q=13597-99-4+SDS+safety+data+sheet+filetype:pdf" TargetMode="External"/><Relationship Id="rId6621" Type="http://schemas.openxmlformats.org/officeDocument/2006/relationships/hyperlink" Target="https://chemicalsafety.ilo.org/dyn/icsc/showcard.display?p_card_id=1727&amp;p_lang=en" TargetMode="External"/><Relationship Id="rId1766" Type="http://schemas.openxmlformats.org/officeDocument/2006/relationships/hyperlink" Target="https://chemicalsafety.ilo.org/dyn/icsc/showcard.display?p_card_id=0446&amp;p_lang=tr" TargetMode="External"/><Relationship Id="rId2817" Type="http://schemas.openxmlformats.org/officeDocument/2006/relationships/hyperlink" Target="https://chemicalsafety.ilo.org/dyn/icsc/showcard.display?p_card_id=0725&amp;p_lang=en" TargetMode="External"/><Relationship Id="rId58" Type="http://schemas.openxmlformats.org/officeDocument/2006/relationships/hyperlink" Target="https://chemicalsafety.ilo.org/dyn/icsc/showcard.display?p_card_id=0015&amp;p_lang=tr" TargetMode="External"/><Relationship Id="rId1419" Type="http://schemas.openxmlformats.org/officeDocument/2006/relationships/hyperlink" Target="https://www.google.com/search?q=123-92-2+SDS+safety+data+sheet+filetype:pdf" TargetMode="External"/><Relationship Id="rId1833" Type="http://schemas.openxmlformats.org/officeDocument/2006/relationships/hyperlink" Target="https://chemicalsafety.ilo.org/dyn/icsc/showcard.display?p_card_id=0465&amp;p_lang=en" TargetMode="External"/><Relationship Id="rId4989" Type="http://schemas.openxmlformats.org/officeDocument/2006/relationships/hyperlink" Target="https://chemicalsafety.ilo.org/dyn/icsc/showcard.display?p_card_id=1290&amp;p_lang=en" TargetMode="External"/><Relationship Id="rId1900" Type="http://schemas.openxmlformats.org/officeDocument/2006/relationships/hyperlink" Target="https://chem.echa.europa.eu/substance-search?searchText=91-94-1" TargetMode="External"/><Relationship Id="rId3658" Type="http://schemas.openxmlformats.org/officeDocument/2006/relationships/hyperlink" Target="https://chemicalsafety.ilo.org/dyn/icsc/showcard.display?p_card_id=0938&amp;p_lang=tr" TargetMode="External"/><Relationship Id="rId4709" Type="http://schemas.openxmlformats.org/officeDocument/2006/relationships/hyperlink" Target="https://chemicalsafety.ilo.org/dyn/icsc/showcard.display?p_card_id=1220&amp;p_lang=en" TargetMode="External"/><Relationship Id="rId6064" Type="http://schemas.openxmlformats.org/officeDocument/2006/relationships/hyperlink" Target="https://chem.echa.europa.eu/substance-search?searchText=112-49-2" TargetMode="External"/><Relationship Id="rId579" Type="http://schemas.openxmlformats.org/officeDocument/2006/relationships/hyperlink" Target="https://www.google.com/search?q=2238-07-5+SDS+safety+data+sheet+filetype:pdf" TargetMode="External"/><Relationship Id="rId993" Type="http://schemas.openxmlformats.org/officeDocument/2006/relationships/hyperlink" Target="https://chemicalsafety.ilo.org/dyn/icsc/showcard.display?p_card_id=0250&amp;p_lang=en" TargetMode="External"/><Relationship Id="rId2674" Type="http://schemas.openxmlformats.org/officeDocument/2006/relationships/hyperlink" Target="https://chemicalsafety.ilo.org/dyn/icsc/showcard.display?p_card_id=0688&amp;p_lang=tr" TargetMode="External"/><Relationship Id="rId5080" Type="http://schemas.openxmlformats.org/officeDocument/2006/relationships/hyperlink" Target="https://chem.echa.europa.eu/substance-search?searchText=12001-28-4" TargetMode="External"/><Relationship Id="rId6131" Type="http://schemas.openxmlformats.org/officeDocument/2006/relationships/hyperlink" Target="https://www.google.com/search?q=993-00-0+SDS+safety+data+sheet+filetype:pdf" TargetMode="External"/><Relationship Id="rId646" Type="http://schemas.openxmlformats.org/officeDocument/2006/relationships/hyperlink" Target="https://chemicalsafety.ilo.org/dyn/icsc/showcard.display?p_card_id=0162&amp;p_lang=tr" TargetMode="External"/><Relationship Id="rId1276" Type="http://schemas.openxmlformats.org/officeDocument/2006/relationships/hyperlink" Target="https://chem.echa.europa.eu/substance-search?searchText=107-12-0" TargetMode="External"/><Relationship Id="rId2327" Type="http://schemas.openxmlformats.org/officeDocument/2006/relationships/hyperlink" Target="https://www.google.com/search?q=107-39-1+SDS+safety+data+sheet+filetype:pdf" TargetMode="External"/><Relationship Id="rId3725" Type="http://schemas.openxmlformats.org/officeDocument/2006/relationships/hyperlink" Target="https://chemicalsafety.ilo.org/dyn/icsc/showcard.display?p_card_id=0955&amp;p_lang=en" TargetMode="External"/><Relationship Id="rId1690" Type="http://schemas.openxmlformats.org/officeDocument/2006/relationships/hyperlink" Target="https://chemicalsafety.ilo.org/dyn/icsc/showcard.display?p_card_id=0427&amp;p_lang=tr" TargetMode="External"/><Relationship Id="rId2741" Type="http://schemas.openxmlformats.org/officeDocument/2006/relationships/hyperlink" Target="https://chemicalsafety.ilo.org/dyn/icsc/showcard.display?p_card_id=0706&amp;p_lang=en" TargetMode="External"/><Relationship Id="rId5897" Type="http://schemas.openxmlformats.org/officeDocument/2006/relationships/hyperlink" Target="https://chemicalsafety.ilo.org/dyn/icsc/showcard.display?p_card_id=1528&amp;p_lang=en" TargetMode="External"/><Relationship Id="rId713" Type="http://schemas.openxmlformats.org/officeDocument/2006/relationships/hyperlink" Target="https://chemicalsafety.ilo.org/dyn/icsc/showcard.display?p_card_id=0179&amp;p_lang=en" TargetMode="External"/><Relationship Id="rId1343" Type="http://schemas.openxmlformats.org/officeDocument/2006/relationships/hyperlink" Target="https://www.google.com/search?q=7440-29-1+SDS+safety+data+sheet+filetype:pdf" TargetMode="External"/><Relationship Id="rId4499" Type="http://schemas.openxmlformats.org/officeDocument/2006/relationships/hyperlink" Target="https://www.google.com/search?q=124-63-0+SDS+safety+data+sheet+filetype:pdf" TargetMode="External"/><Relationship Id="rId5964" Type="http://schemas.openxmlformats.org/officeDocument/2006/relationships/hyperlink" Target="https://chem.echa.europa.eu/substance-search?searchText=19010-66-3" TargetMode="External"/><Relationship Id="rId1410" Type="http://schemas.openxmlformats.org/officeDocument/2006/relationships/hyperlink" Target="https://chemicalsafety.ilo.org/dyn/icsc/showcard.display?p_card_id=0354&amp;p_lang=tr" TargetMode="External"/><Relationship Id="rId4566" Type="http://schemas.openxmlformats.org/officeDocument/2006/relationships/hyperlink" Target="https://chemicalsafety.ilo.org/dyn/icsc/showcard.display?p_card_id=1180&amp;p_lang=tr" TargetMode="External"/><Relationship Id="rId4980" Type="http://schemas.openxmlformats.org/officeDocument/2006/relationships/hyperlink" Target="https://chem.echa.europa.eu/substance-search?searchText=6317-18-6" TargetMode="External"/><Relationship Id="rId5617" Type="http://schemas.openxmlformats.org/officeDocument/2006/relationships/hyperlink" Target="https://chemicalsafety.ilo.org/dyn/icsc/showcard.display?p_card_id=1453&amp;p_lang=en" TargetMode="External"/><Relationship Id="rId3168" Type="http://schemas.openxmlformats.org/officeDocument/2006/relationships/hyperlink" Target="https://chem.echa.europa.eu/substance-search?searchText=463-51-4" TargetMode="External"/><Relationship Id="rId3582" Type="http://schemas.openxmlformats.org/officeDocument/2006/relationships/hyperlink" Target="https://chemicalsafety.ilo.org/dyn/icsc/showcard.display?p_card_id=0919&amp;p_lang=tr" TargetMode="External"/><Relationship Id="rId4219" Type="http://schemas.openxmlformats.org/officeDocument/2006/relationships/hyperlink" Target="https://www.google.com/search?q=58-90-2+SDS+safety+data+sheet+filetype:pdf" TargetMode="External"/><Relationship Id="rId4633" Type="http://schemas.openxmlformats.org/officeDocument/2006/relationships/hyperlink" Target="https://chemicalsafety.ilo.org/dyn/icsc/showcard.display?p_card_id=1200&amp;p_lang=en" TargetMode="External"/><Relationship Id="rId2184" Type="http://schemas.openxmlformats.org/officeDocument/2006/relationships/hyperlink" Target="https://chem.echa.europa.eu/substance-search?searchText=137-40-6" TargetMode="External"/><Relationship Id="rId3235" Type="http://schemas.openxmlformats.org/officeDocument/2006/relationships/hyperlink" Target="https://www.google.com/search?q=84-69-5+SDS+safety+data+sheet+filetype:pdf" TargetMode="External"/><Relationship Id="rId156" Type="http://schemas.openxmlformats.org/officeDocument/2006/relationships/hyperlink" Target="https://chem.echa.europa.eu/substance-search?searchText=111-90-0" TargetMode="External"/><Relationship Id="rId570" Type="http://schemas.openxmlformats.org/officeDocument/2006/relationships/hyperlink" Target="https://chemicalsafety.ilo.org/dyn/icsc/showcard.display?p_card_id=0143&amp;p_lang=tr" TargetMode="External"/><Relationship Id="rId2251" Type="http://schemas.openxmlformats.org/officeDocument/2006/relationships/hyperlink" Target="https://www.google.com/search?q=10026-04-7+SDS+safety+data+sheet+filetype:pdf" TargetMode="External"/><Relationship Id="rId3302" Type="http://schemas.openxmlformats.org/officeDocument/2006/relationships/hyperlink" Target="https://chemicalsafety.ilo.org/dyn/icsc/showcard.display?p_card_id=0848&amp;p_lang=tr" TargetMode="External"/><Relationship Id="rId4700" Type="http://schemas.openxmlformats.org/officeDocument/2006/relationships/hyperlink" Target="https://chem.echa.europa.eu/substance-search?searchText=26499-65-0" TargetMode="External"/><Relationship Id="rId6458" Type="http://schemas.openxmlformats.org/officeDocument/2006/relationships/hyperlink" Target="https://chemicalsafety.ilo.org/dyn/icsc/showcard.display?p_card_id=1680&amp;p_lang=tr" TargetMode="External"/><Relationship Id="rId223" Type="http://schemas.openxmlformats.org/officeDocument/2006/relationships/hyperlink" Target="https://www.google.com/search?q=7439-97-6+SDS+safety+data+sheet+filetype:pdf" TargetMode="External"/><Relationship Id="rId4076" Type="http://schemas.openxmlformats.org/officeDocument/2006/relationships/hyperlink" Target="https://chem.echa.europa.eu/substance-search?searchText=120-82-1" TargetMode="External"/><Relationship Id="rId5474" Type="http://schemas.openxmlformats.org/officeDocument/2006/relationships/hyperlink" Target="https://chemicalsafety.ilo.org/dyn/icsc/showcard.display?p_card_id=1417&amp;p_lang=tr" TargetMode="External"/><Relationship Id="rId6525" Type="http://schemas.openxmlformats.org/officeDocument/2006/relationships/hyperlink" Target="https://chemicalsafety.ilo.org/dyn/icsc/showcard.display?p_card_id=1702&amp;p_lang=en" TargetMode="External"/><Relationship Id="rId4490" Type="http://schemas.openxmlformats.org/officeDocument/2006/relationships/hyperlink" Target="https://chemicalsafety.ilo.org/dyn/icsc/showcard.display?p_card_id=1161&amp;p_lang=tr" TargetMode="External"/><Relationship Id="rId5127" Type="http://schemas.openxmlformats.org/officeDocument/2006/relationships/hyperlink" Target="https://www.google.com/search?q=10034-85-2+SDS+safety+data+sheet+filetype:pdf" TargetMode="External"/><Relationship Id="rId5541" Type="http://schemas.openxmlformats.org/officeDocument/2006/relationships/hyperlink" Target="https://chemicalsafety.ilo.org/dyn/icsc/showcard.display?p_card_id=1434&amp;p_lang=en" TargetMode="External"/><Relationship Id="rId1737" Type="http://schemas.openxmlformats.org/officeDocument/2006/relationships/hyperlink" Target="https://chemicalsafety.ilo.org/dyn/icsc/showcard.display?p_card_id=0439&amp;p_lang=en" TargetMode="External"/><Relationship Id="rId3092" Type="http://schemas.openxmlformats.org/officeDocument/2006/relationships/hyperlink" Target="https://chem.echa.europa.eu/substance-search?searchText=1345-25-1" TargetMode="External"/><Relationship Id="rId4143" Type="http://schemas.openxmlformats.org/officeDocument/2006/relationships/hyperlink" Target="https://www.google.com/search?q=98-51-1+SDS+safety+data+sheet+filetype:pdf" TargetMode="External"/><Relationship Id="rId29" Type="http://schemas.openxmlformats.org/officeDocument/2006/relationships/hyperlink" Target="https://chemicalsafety.ilo.org/dyn/icsc/showcard.display?p_card_id=0008&amp;p_lang=en" TargetMode="External"/><Relationship Id="rId4210" Type="http://schemas.openxmlformats.org/officeDocument/2006/relationships/hyperlink" Target="https://chemicalsafety.ilo.org/dyn/icsc/showcard.display?p_card_id=1087&amp;p_lang=tr" TargetMode="External"/><Relationship Id="rId1804" Type="http://schemas.openxmlformats.org/officeDocument/2006/relationships/hyperlink" Target="https://chem.echa.europa.eu/substance-search?searchText=99-97-8" TargetMode="External"/><Relationship Id="rId6382" Type="http://schemas.openxmlformats.org/officeDocument/2006/relationships/hyperlink" Target="https://chemicalsafety.ilo.org/dyn/icsc/showcard.display?p_card_id=1660&amp;p_lang=tr" TargetMode="External"/><Relationship Id="rId3976" Type="http://schemas.openxmlformats.org/officeDocument/2006/relationships/hyperlink" Target="https://chem.echa.europa.eu/substance-search?searchText=141-97-9" TargetMode="External"/><Relationship Id="rId6035" Type="http://schemas.openxmlformats.org/officeDocument/2006/relationships/hyperlink" Target="https://www.google.com/search?q=118-79-6+SDS+safety+data+sheet+filetype:pdf" TargetMode="External"/><Relationship Id="rId897" Type="http://schemas.openxmlformats.org/officeDocument/2006/relationships/hyperlink" Target="https://chemicalsafety.ilo.org/dyn/icsc/showcard.display?p_card_id=0226&amp;p_lang=en" TargetMode="External"/><Relationship Id="rId2578" Type="http://schemas.openxmlformats.org/officeDocument/2006/relationships/hyperlink" Target="https://chemicalsafety.ilo.org/dyn/icsc/showcard.display?p_card_id=0661&amp;p_lang=tr" TargetMode="External"/><Relationship Id="rId2992" Type="http://schemas.openxmlformats.org/officeDocument/2006/relationships/hyperlink" Target="https://chem.echa.europa.eu/substance-search?searchText=88-99-3" TargetMode="External"/><Relationship Id="rId3629" Type="http://schemas.openxmlformats.org/officeDocument/2006/relationships/hyperlink" Target="https://chemicalsafety.ilo.org/dyn/icsc/showcard.display?p_card_id=0931&amp;p_lang=en" TargetMode="External"/><Relationship Id="rId5051" Type="http://schemas.openxmlformats.org/officeDocument/2006/relationships/hyperlink" Target="https://www.google.com/search?q=470-90-6+SDS+safety+data+sheet+filetype:pdf" TargetMode="External"/><Relationship Id="rId964" Type="http://schemas.openxmlformats.org/officeDocument/2006/relationships/hyperlink" Target="https://chem.echa.europa.eu/substance-search?searchText=110-82-7" TargetMode="External"/><Relationship Id="rId1594" Type="http://schemas.openxmlformats.org/officeDocument/2006/relationships/hyperlink" Target="https://chemicalsafety.ilo.org/dyn/icsc/showcard.display?p_card_id=0402&amp;p_lang=tr" TargetMode="External"/><Relationship Id="rId2645" Type="http://schemas.openxmlformats.org/officeDocument/2006/relationships/hyperlink" Target="https://chemicalsafety.ilo.org/dyn/icsc/showcard.display?p_card_id=0680&amp;p_lang=en" TargetMode="External"/><Relationship Id="rId6102" Type="http://schemas.openxmlformats.org/officeDocument/2006/relationships/hyperlink" Target="https://chemicalsafety.ilo.org/dyn/icsc/showcard.display?p_card_id=1580&amp;p_lang=tr" TargetMode="External"/><Relationship Id="rId617" Type="http://schemas.openxmlformats.org/officeDocument/2006/relationships/hyperlink" Target="https://chemicalsafety.ilo.org/dyn/icsc/showcard.display?p_card_id=0155&amp;p_lang=en" TargetMode="External"/><Relationship Id="rId1247" Type="http://schemas.openxmlformats.org/officeDocument/2006/relationships/hyperlink" Target="https://www.google.com/search?q=26002-80-2+SDS+safety+data+sheet+filetype:pdf" TargetMode="External"/><Relationship Id="rId1661" Type="http://schemas.openxmlformats.org/officeDocument/2006/relationships/hyperlink" Target="https://chemicalsafety.ilo.org/dyn/icsc/showcard.display?p_card_id=0420&amp;p_lang=en" TargetMode="External"/><Relationship Id="rId2712" Type="http://schemas.openxmlformats.org/officeDocument/2006/relationships/hyperlink" Target="https://chem.echa.europa.eu/substance-search?searchText=10102-18-8" TargetMode="External"/><Relationship Id="rId5868" Type="http://schemas.openxmlformats.org/officeDocument/2006/relationships/hyperlink" Target="https://chem.echa.europa.eu/substance-search?searchText=91-23-6" TargetMode="External"/><Relationship Id="rId1314" Type="http://schemas.openxmlformats.org/officeDocument/2006/relationships/hyperlink" Target="https://chemicalsafety.ilo.org/dyn/icsc/showcard.display?p_card_id=0330&amp;p_lang=tr" TargetMode="External"/><Relationship Id="rId4884" Type="http://schemas.openxmlformats.org/officeDocument/2006/relationships/hyperlink" Target="https://chem.echa.europa.eu/substance-search?searchText=96-14-0" TargetMode="External"/><Relationship Id="rId5935" Type="http://schemas.openxmlformats.org/officeDocument/2006/relationships/hyperlink" Target="https://www.google.com/search?q=79-14-1+SDS+safety+data+sheet+filetype:pdf" TargetMode="External"/><Relationship Id="rId3486" Type="http://schemas.openxmlformats.org/officeDocument/2006/relationships/hyperlink" Target="https://chemicalsafety.ilo.org/dyn/icsc/showcard.display?p_card_id=0895&amp;p_lang=tr" TargetMode="External"/><Relationship Id="rId4537" Type="http://schemas.openxmlformats.org/officeDocument/2006/relationships/hyperlink" Target="https://chemicalsafety.ilo.org/dyn/icsc/showcard.display?p_card_id=1173&amp;p_lang=en" TargetMode="External"/><Relationship Id="rId20" Type="http://schemas.openxmlformats.org/officeDocument/2006/relationships/hyperlink" Target="https://chem.echa.europa.eu/substance-search?searchText=1910-42-5" TargetMode="External"/><Relationship Id="rId2088" Type="http://schemas.openxmlformats.org/officeDocument/2006/relationships/hyperlink" Target="https://chem.echa.europa.eu/substance-search?searchText=131-52-2" TargetMode="External"/><Relationship Id="rId3139" Type="http://schemas.openxmlformats.org/officeDocument/2006/relationships/hyperlink" Target="https://www.google.com/search?q=106-50-3+SDS+safety+data+sheet+filetype:pdf" TargetMode="External"/><Relationship Id="rId4951" Type="http://schemas.openxmlformats.org/officeDocument/2006/relationships/hyperlink" Target="https://www.google.com/search?q=674-82-8+SDS+safety+data+sheet+filetype:pdf" TargetMode="External"/><Relationship Id="rId474" Type="http://schemas.openxmlformats.org/officeDocument/2006/relationships/hyperlink" Target="https://chemicalsafety.ilo.org/dyn/icsc/showcard.display?p_card_id=0119&amp;p_lang=tr" TargetMode="External"/><Relationship Id="rId2155" Type="http://schemas.openxmlformats.org/officeDocument/2006/relationships/hyperlink" Target="https://www.google.com/search?q=123-38-6+SDS+safety+data+sheet+filetype:pdf" TargetMode="External"/><Relationship Id="rId3553" Type="http://schemas.openxmlformats.org/officeDocument/2006/relationships/hyperlink" Target="https://chemicalsafety.ilo.org/dyn/icsc/showcard.display?p_card_id=0912&amp;p_lang=en" TargetMode="External"/><Relationship Id="rId4604" Type="http://schemas.openxmlformats.org/officeDocument/2006/relationships/hyperlink" Target="https://chem.echa.europa.eu/substance-search?searchText=110-02-1" TargetMode="External"/><Relationship Id="rId127" Type="http://schemas.openxmlformats.org/officeDocument/2006/relationships/hyperlink" Target="https://www.google.com/search?q=1569-69-3+SDS+safety+data+sheet+filetype:pdf" TargetMode="External"/><Relationship Id="rId3206" Type="http://schemas.openxmlformats.org/officeDocument/2006/relationships/hyperlink" Target="https://chemicalsafety.ilo.org/dyn/icsc/showcard.display?p_card_id=0822&amp;p_lang=tr" TargetMode="External"/><Relationship Id="rId3620" Type="http://schemas.openxmlformats.org/officeDocument/2006/relationships/hyperlink" Target="https://chem.echa.europa.eu/substance-search?searchText=12035-72-2" TargetMode="External"/><Relationship Id="rId6776" Type="http://schemas.openxmlformats.org/officeDocument/2006/relationships/hyperlink" Target="https://chem.echa.europa.eu/substance-search?searchText=2032-65-7" TargetMode="External"/><Relationship Id="rId541" Type="http://schemas.openxmlformats.org/officeDocument/2006/relationships/hyperlink" Target="https://chemicalsafety.ilo.org/dyn/icsc/showcard.display?p_card_id=0136&amp;p_lang=en" TargetMode="External"/><Relationship Id="rId1171" Type="http://schemas.openxmlformats.org/officeDocument/2006/relationships/hyperlink" Target="https://www.google.com/search?q=583-59-5+SDS+safety+data+sheet+filetype:pdf" TargetMode="External"/><Relationship Id="rId2222" Type="http://schemas.openxmlformats.org/officeDocument/2006/relationships/hyperlink" Target="https://chemicalsafety.ilo.org/dyn/icsc/showcard.display?p_card_id=0567&amp;p_lang=tr" TargetMode="External"/><Relationship Id="rId5378" Type="http://schemas.openxmlformats.org/officeDocument/2006/relationships/hyperlink" Target="https://chemicalsafety.ilo.org/dyn/icsc/showcard.display?p_card_id=1392&amp;p_lang=tr" TargetMode="External"/><Relationship Id="rId5792" Type="http://schemas.openxmlformats.org/officeDocument/2006/relationships/hyperlink" Target="https://chem.echa.europa.eu/substance-search?searchText=138261-41-3" TargetMode="External"/><Relationship Id="rId6429" Type="http://schemas.openxmlformats.org/officeDocument/2006/relationships/hyperlink" Target="https://chemicalsafety.ilo.org/dyn/icsc/showcard.display?p_card_id=1673&amp;p_lang=en" TargetMode="External"/><Relationship Id="rId6843" Type="http://schemas.openxmlformats.org/officeDocument/2006/relationships/hyperlink" Target="https://www.google.com/search?q=643-79-8+SDS+safety+data+sheet+filetype:pdf" TargetMode="External"/><Relationship Id="rId1988" Type="http://schemas.openxmlformats.org/officeDocument/2006/relationships/hyperlink" Target="https://chem.echa.europa.eu/substance-search?searchText=74-11-3" TargetMode="External"/><Relationship Id="rId4394" Type="http://schemas.openxmlformats.org/officeDocument/2006/relationships/hyperlink" Target="https://chemicalsafety.ilo.org/dyn/icsc/showcard.display?p_card_id=1137&amp;p_lang=tr" TargetMode="External"/><Relationship Id="rId5445" Type="http://schemas.openxmlformats.org/officeDocument/2006/relationships/hyperlink" Target="https://chemicalsafety.ilo.org/dyn/icsc/showcard.display?p_card_id=1410&amp;p_lang=en" TargetMode="External"/><Relationship Id="rId4047" Type="http://schemas.openxmlformats.org/officeDocument/2006/relationships/hyperlink" Target="https://www.google.com/search?q=123-63-7+SDS+safety+data+sheet+filetype:pdf" TargetMode="External"/><Relationship Id="rId4461" Type="http://schemas.openxmlformats.org/officeDocument/2006/relationships/hyperlink" Target="https://chemicalsafety.ilo.org/dyn/icsc/showcard.display?p_card_id=1154&amp;p_lang=en" TargetMode="External"/><Relationship Id="rId5512" Type="http://schemas.openxmlformats.org/officeDocument/2006/relationships/hyperlink" Target="https://chem.echa.europa.eu/substance-search?searchText=7572-29-4" TargetMode="External"/><Relationship Id="rId3063" Type="http://schemas.openxmlformats.org/officeDocument/2006/relationships/hyperlink" Target="https://www.google.com/search?q=533-74-4+SDS+safety+data+sheet+filetype:pdf" TargetMode="External"/><Relationship Id="rId4114" Type="http://schemas.openxmlformats.org/officeDocument/2006/relationships/hyperlink" Target="https://chemicalsafety.ilo.org/dyn/icsc/showcard.display?p_card_id=1060&amp;p_lang=tr" TargetMode="External"/><Relationship Id="rId1708" Type="http://schemas.openxmlformats.org/officeDocument/2006/relationships/hyperlink" Target="https://chem.echa.europa.eu/substance-search?searchText=53-70-3" TargetMode="External"/><Relationship Id="rId3130" Type="http://schemas.openxmlformats.org/officeDocument/2006/relationships/hyperlink" Target="https://chemicalsafety.ilo.org/dyn/icsc/showcard.display?p_card_id=0803&amp;p_lang=tr" TargetMode="External"/><Relationship Id="rId6286" Type="http://schemas.openxmlformats.org/officeDocument/2006/relationships/hyperlink" Target="https://chemicalsafety.ilo.org/dyn/icsc/showcard.display?p_card_id=1627&amp;p_lang=tr" TargetMode="External"/><Relationship Id="rId2896" Type="http://schemas.openxmlformats.org/officeDocument/2006/relationships/hyperlink" Target="https://chem.echa.europa.eu/substance-search?searchText=12057-74-8" TargetMode="External"/><Relationship Id="rId3947" Type="http://schemas.openxmlformats.org/officeDocument/2006/relationships/hyperlink" Target="https://www.google.com/search?q=357-57-3+SDS+safety+data+sheet+filetype:pdf" TargetMode="External"/><Relationship Id="rId6353" Type="http://schemas.openxmlformats.org/officeDocument/2006/relationships/hyperlink" Target="https://chemicalsafety.ilo.org/dyn/icsc/showcard.display?p_card_id=1651&amp;p_lang=en" TargetMode="External"/><Relationship Id="rId868" Type="http://schemas.openxmlformats.org/officeDocument/2006/relationships/hyperlink" Target="https://chem.echa.europa.eu/substance-search?searchText=628-63-7" TargetMode="External"/><Relationship Id="rId1498" Type="http://schemas.openxmlformats.org/officeDocument/2006/relationships/hyperlink" Target="https://chemicalsafety.ilo.org/dyn/icsc/showcard.display?p_card_id=0377&amp;p_lang=tr" TargetMode="External"/><Relationship Id="rId2549" Type="http://schemas.openxmlformats.org/officeDocument/2006/relationships/hyperlink" Target="https://chemicalsafety.ilo.org/dyn/icsc/showcard.display?p_card_id=0654&amp;p_lang=en" TargetMode="External"/><Relationship Id="rId2963" Type="http://schemas.openxmlformats.org/officeDocument/2006/relationships/hyperlink" Target="https://www.google.com/search?q=80-15-9+SDS+safety+data+sheet+filetype:pdf" TargetMode="External"/><Relationship Id="rId6006" Type="http://schemas.openxmlformats.org/officeDocument/2006/relationships/hyperlink" Target="https://chemicalsafety.ilo.org/dyn/icsc/showcard.display?p_card_id=1556&amp;p_lang=tr" TargetMode="External"/><Relationship Id="rId6420" Type="http://schemas.openxmlformats.org/officeDocument/2006/relationships/hyperlink" Target="https://chem.echa.europa.eu/substance-search?searchText=16940-66-2" TargetMode="External"/><Relationship Id="rId935" Type="http://schemas.openxmlformats.org/officeDocument/2006/relationships/hyperlink" Target="https://www.google.com/search?q=79-11-8+SDS+safety+data+sheet+filetype:pdf" TargetMode="External"/><Relationship Id="rId1565" Type="http://schemas.openxmlformats.org/officeDocument/2006/relationships/hyperlink" Target="https://chemicalsafety.ilo.org/dyn/icsc/showcard.display?p_card_id=0395&amp;p_lang=en" TargetMode="External"/><Relationship Id="rId2616" Type="http://schemas.openxmlformats.org/officeDocument/2006/relationships/hyperlink" Target="https://chem.echa.europa.eu/substance-search?searchText=151-50-8" TargetMode="External"/><Relationship Id="rId5022" Type="http://schemas.openxmlformats.org/officeDocument/2006/relationships/hyperlink" Target="https://chemicalsafety.ilo.org/dyn/icsc/showcard.display?p_card_id=1298&amp;p_lang=tr" TargetMode="External"/><Relationship Id="rId1218" Type="http://schemas.openxmlformats.org/officeDocument/2006/relationships/hyperlink" Target="https://chemicalsafety.ilo.org/dyn/icsc/showcard.display?p_card_id=0306&amp;p_lang=tr" TargetMode="External"/><Relationship Id="rId1632" Type="http://schemas.openxmlformats.org/officeDocument/2006/relationships/hyperlink" Target="https://chem.echa.europa.eu/substance-search?searchText=120-80-9" TargetMode="External"/><Relationship Id="rId4788" Type="http://schemas.openxmlformats.org/officeDocument/2006/relationships/hyperlink" Target="https://chem.echa.europa.eu/substance-search?searchText=18662-53-8" TargetMode="External"/><Relationship Id="rId5839" Type="http://schemas.openxmlformats.org/officeDocument/2006/relationships/hyperlink" Target="https://www.google.com/search?q=627-13-4+SDS+safety+data+sheet+filetype:pdf" TargetMode="External"/><Relationship Id="rId4855" Type="http://schemas.openxmlformats.org/officeDocument/2006/relationships/hyperlink" Target="https://www.google.com/search?q=334-88-3+SDS+safety+data+sheet+filetype:pdf" TargetMode="External"/><Relationship Id="rId5906" Type="http://schemas.openxmlformats.org/officeDocument/2006/relationships/hyperlink" Target="https://chemicalsafety.ilo.org/dyn/icsc/showcard.display?p_card_id=1530&amp;p_lang=tr" TargetMode="External"/><Relationship Id="rId3457" Type="http://schemas.openxmlformats.org/officeDocument/2006/relationships/hyperlink" Target="https://chemicalsafety.ilo.org/dyn/icsc/showcard.display?p_card_id=0888&amp;p_lang=en" TargetMode="External"/><Relationship Id="rId3871" Type="http://schemas.openxmlformats.org/officeDocument/2006/relationships/hyperlink" Target="https://www.google.com/search?q=542-75-6+SDS+safety+data+sheet+filetype:pdf" TargetMode="External"/><Relationship Id="rId4508" Type="http://schemas.openxmlformats.org/officeDocument/2006/relationships/hyperlink" Target="https://chem.echa.europa.eu/substance-search?searchText=141-53-7" TargetMode="External"/><Relationship Id="rId4922" Type="http://schemas.openxmlformats.org/officeDocument/2006/relationships/hyperlink" Target="https://chemicalsafety.ilo.org/dyn/icsc/showcard.display?p_card_id=1273&amp;p_lang=tr" TargetMode="External"/><Relationship Id="rId378" Type="http://schemas.openxmlformats.org/officeDocument/2006/relationships/hyperlink" Target="https://chemicalsafety.ilo.org/dyn/icsc/showcard.display?p_card_id=0095&amp;p_lang=tr" TargetMode="External"/><Relationship Id="rId792" Type="http://schemas.openxmlformats.org/officeDocument/2006/relationships/hyperlink" Target="https://chem.echa.europa.eu/substance-search?searchText=7791-25-5" TargetMode="External"/><Relationship Id="rId2059" Type="http://schemas.openxmlformats.org/officeDocument/2006/relationships/hyperlink" Target="https://www.google.com/search?q=62-75-9+SDS+safety+data+sheet+filetype:pdf" TargetMode="External"/><Relationship Id="rId2473" Type="http://schemas.openxmlformats.org/officeDocument/2006/relationships/hyperlink" Target="https://chemicalsafety.ilo.org/dyn/icsc/showcard.display?p_card_id=0633&amp;p_lang=en" TargetMode="External"/><Relationship Id="rId3524" Type="http://schemas.openxmlformats.org/officeDocument/2006/relationships/hyperlink" Target="https://chem.echa.europa.eu/substance-search?searchText=78-79-5" TargetMode="External"/><Relationship Id="rId445" Type="http://schemas.openxmlformats.org/officeDocument/2006/relationships/hyperlink" Target="https://chemicalsafety.ilo.org/dyn/icsc/showcard.display?p_card_id=0112&amp;p_lang=en" TargetMode="External"/><Relationship Id="rId1075" Type="http://schemas.openxmlformats.org/officeDocument/2006/relationships/hyperlink" Target="https://www.google.com/search?q=107-21-1+SDS+safety+data+sheet+filetype:pdf" TargetMode="External"/><Relationship Id="rId2126" Type="http://schemas.openxmlformats.org/officeDocument/2006/relationships/hyperlink" Target="https://chemicalsafety.ilo.org/dyn/icsc/showcard.display?p_card_id=0542&amp;p_lang=tr" TargetMode="External"/><Relationship Id="rId2540" Type="http://schemas.openxmlformats.org/officeDocument/2006/relationships/hyperlink" Target="https://chem.echa.europa.eu/substance-search?searchText=84-61-7" TargetMode="External"/><Relationship Id="rId5696" Type="http://schemas.openxmlformats.org/officeDocument/2006/relationships/hyperlink" Target="https://chem.echa.europa.eu/substance-search?searchText=8003-34-7" TargetMode="External"/><Relationship Id="rId6747" Type="http://schemas.openxmlformats.org/officeDocument/2006/relationships/hyperlink" Target="https://www.google.com/search?q=92-70-6+SDS+safety+data+sheet+filetype:pdf" TargetMode="External"/><Relationship Id="rId512" Type="http://schemas.openxmlformats.org/officeDocument/2006/relationships/hyperlink" Target="https://chem.echa.europa.eu/substance-search?searchText=532-27-4" TargetMode="External"/><Relationship Id="rId1142" Type="http://schemas.openxmlformats.org/officeDocument/2006/relationships/hyperlink" Target="https://chemicalsafety.ilo.org/dyn/icsc/showcard.display?p_card_id=0287&amp;p_lang=tr" TargetMode="External"/><Relationship Id="rId4298" Type="http://schemas.openxmlformats.org/officeDocument/2006/relationships/hyperlink" Target="https://chemicalsafety.ilo.org/dyn/icsc/showcard.display?p_card_id=1112&amp;p_lang=tr" TargetMode="External"/><Relationship Id="rId5349" Type="http://schemas.openxmlformats.org/officeDocument/2006/relationships/hyperlink" Target="https://chemicalsafety.ilo.org/dyn/icsc/showcard.display?p_card_id=1385&amp;p_lang=en" TargetMode="External"/><Relationship Id="rId4365" Type="http://schemas.openxmlformats.org/officeDocument/2006/relationships/hyperlink" Target="https://chemicalsafety.ilo.org/dyn/icsc/showcard.display?p_card_id=1129&amp;p_lang=en" TargetMode="External"/><Relationship Id="rId5763" Type="http://schemas.openxmlformats.org/officeDocument/2006/relationships/hyperlink" Target="https://www.google.com/search?q=141-59-3+SDS+safety+data+sheet+filetype:pdf" TargetMode="External"/><Relationship Id="rId6814" Type="http://schemas.openxmlformats.org/officeDocument/2006/relationships/hyperlink" Target="https://chemicalsafety.ilo.org/dyn/icsc/showcard.display?p_card_id=1776&amp;p_lang=tr" TargetMode="External"/><Relationship Id="rId1959" Type="http://schemas.openxmlformats.org/officeDocument/2006/relationships/hyperlink" Target="https://www.google.com/search?q=540-84-1+SDS+safety+data+sheet+filetype:pdf" TargetMode="External"/><Relationship Id="rId4018" Type="http://schemas.openxmlformats.org/officeDocument/2006/relationships/hyperlink" Target="https://chemicalsafety.ilo.org/dyn/icsc/showcard.display?p_card_id=1035&amp;p_lang=tr" TargetMode="External"/><Relationship Id="rId5416" Type="http://schemas.openxmlformats.org/officeDocument/2006/relationships/hyperlink" Target="https://chem.echa.europa.eu/substance-search?searchText=2699-79-8" TargetMode="External"/><Relationship Id="rId5830" Type="http://schemas.openxmlformats.org/officeDocument/2006/relationships/hyperlink" Target="https://chemicalsafety.ilo.org/dyn/icsc/showcard.display?p_card_id=1511&amp;p_lang=tr" TargetMode="External"/><Relationship Id="rId3381" Type="http://schemas.openxmlformats.org/officeDocument/2006/relationships/hyperlink" Target="https://chemicalsafety.ilo.org/dyn/icsc/showcard.display?p_card_id=0869&amp;p_lang=en" TargetMode="External"/><Relationship Id="rId4432" Type="http://schemas.openxmlformats.org/officeDocument/2006/relationships/hyperlink" Target="https://chem.echa.europa.eu/substance-search?searchText=150-75-4" TargetMode="External"/><Relationship Id="rId3034" Type="http://schemas.openxmlformats.org/officeDocument/2006/relationships/hyperlink" Target="https://chemicalsafety.ilo.org/dyn/icsc/showcard.display?p_card_id=0779&amp;p_lang=tr" TargetMode="External"/><Relationship Id="rId2050" Type="http://schemas.openxmlformats.org/officeDocument/2006/relationships/hyperlink" Target="https://chemicalsafety.ilo.org/dyn/icsc/showcard.display?p_card_id=0522&amp;p_lang=tr" TargetMode="External"/><Relationship Id="rId3101" Type="http://schemas.openxmlformats.org/officeDocument/2006/relationships/hyperlink" Target="https://chemicalsafety.ilo.org/dyn/icsc/showcard.display?p_card_id=0796&amp;p_lang=en" TargetMode="External"/><Relationship Id="rId6257" Type="http://schemas.openxmlformats.org/officeDocument/2006/relationships/hyperlink" Target="https://chemicalsafety.ilo.org/dyn/icsc/showcard.display?p_card_id=1619&amp;p_lang=en" TargetMode="External"/><Relationship Id="rId6671" Type="http://schemas.openxmlformats.org/officeDocument/2006/relationships/hyperlink" Target="https://www.google.com/search?q=105-53-3+SDS+safety+data+sheet+filetype:pdf" TargetMode="External"/><Relationship Id="rId5273" Type="http://schemas.openxmlformats.org/officeDocument/2006/relationships/hyperlink" Target="https://chemicalsafety.ilo.org/dyn/icsc/showcard.display?p_card_id=1365&amp;p_lang=en" TargetMode="External"/><Relationship Id="rId6324" Type="http://schemas.openxmlformats.org/officeDocument/2006/relationships/hyperlink" Target="https://chem.echa.europa.eu/substance-search?searchText=924-42-5" TargetMode="External"/><Relationship Id="rId839" Type="http://schemas.openxmlformats.org/officeDocument/2006/relationships/hyperlink" Target="https://www.google.com/search?q=111-69-3+SDS+safety+data+sheet+filetype:pdf" TargetMode="External"/><Relationship Id="rId1469" Type="http://schemas.openxmlformats.org/officeDocument/2006/relationships/hyperlink" Target="https://chemicalsafety.ilo.org/dyn/icsc/showcard.display?p_card_id=0369&amp;p_lang=en" TargetMode="External"/><Relationship Id="rId2867" Type="http://schemas.openxmlformats.org/officeDocument/2006/relationships/hyperlink" Target="https://www.google.com/search?q=107-40-4+SDS+safety+data+sheet+filetype:pdf" TargetMode="External"/><Relationship Id="rId3918" Type="http://schemas.openxmlformats.org/officeDocument/2006/relationships/hyperlink" Target="https://chemicalsafety.ilo.org/dyn/icsc/showcard.display?p_card_id=1009&amp;p_lang=tr" TargetMode="External"/><Relationship Id="rId5340" Type="http://schemas.openxmlformats.org/officeDocument/2006/relationships/hyperlink" Target="https://chem.echa.europa.eu/substance-search?searchText=64742-88-7" TargetMode="External"/><Relationship Id="rId1883" Type="http://schemas.openxmlformats.org/officeDocument/2006/relationships/hyperlink" Target="https://www.google.com/search?q=149-57-5+SDS+safety+data+sheet+filetype:pdf" TargetMode="External"/><Relationship Id="rId2934" Type="http://schemas.openxmlformats.org/officeDocument/2006/relationships/hyperlink" Target="https://chemicalsafety.ilo.org/dyn/icsc/showcard.display?p_card_id=0754&amp;p_lang=tr" TargetMode="External"/><Relationship Id="rId906" Type="http://schemas.openxmlformats.org/officeDocument/2006/relationships/hyperlink" Target="https://chemicalsafety.ilo.org/dyn/icsc/showcard.display?p_card_id=0228&amp;p_lang=tr" TargetMode="External"/><Relationship Id="rId1536" Type="http://schemas.openxmlformats.org/officeDocument/2006/relationships/hyperlink" Target="https://chem.echa.europa.eu/substance-search?searchText=624-18-0" TargetMode="External"/><Relationship Id="rId1950" Type="http://schemas.openxmlformats.org/officeDocument/2006/relationships/hyperlink" Target="https://chemicalsafety.ilo.org/dyn/icsc/showcard.display?p_card_id=0494&amp;p_lang=tr" TargetMode="External"/><Relationship Id="rId1603" Type="http://schemas.openxmlformats.org/officeDocument/2006/relationships/hyperlink" Target="https://www.google.com/search?q=1306-23-6+SDS+safety+data+sheet+filetype:pdf" TargetMode="External"/><Relationship Id="rId4759" Type="http://schemas.openxmlformats.org/officeDocument/2006/relationships/hyperlink" Target="https://www.google.com/search?q=100-69-6+SDS+safety+data+sheet+filetype:pdf" TargetMode="External"/><Relationship Id="rId3775" Type="http://schemas.openxmlformats.org/officeDocument/2006/relationships/hyperlink" Target="https://www.google.com/search?q=118-96-7+SDS+safety+data+sheet+filetype:pdf" TargetMode="External"/><Relationship Id="rId4826" Type="http://schemas.openxmlformats.org/officeDocument/2006/relationships/hyperlink" Target="https://chemicalsafety.ilo.org/dyn/icsc/showcard.display?p_card_id=1249&amp;p_lang=tr" TargetMode="External"/><Relationship Id="rId6181" Type="http://schemas.openxmlformats.org/officeDocument/2006/relationships/hyperlink" Target="https://chemicalsafety.ilo.org/dyn/icsc/showcard.display?p_card_id=1600&amp;p_lang=en" TargetMode="External"/><Relationship Id="rId696" Type="http://schemas.openxmlformats.org/officeDocument/2006/relationships/hyperlink" Target="https://chem.echa.europa.eu/substance-search?searchText=7439-96-5" TargetMode="External"/><Relationship Id="rId2377" Type="http://schemas.openxmlformats.org/officeDocument/2006/relationships/hyperlink" Target="https://chemicalsafety.ilo.org/dyn/icsc/showcard.display?p_card_id=0609&amp;p_lang=en" TargetMode="External"/><Relationship Id="rId2791" Type="http://schemas.openxmlformats.org/officeDocument/2006/relationships/hyperlink" Target="https://www.google.com/search?q=112-50-5+SDS+safety+data+sheet+filetype:pdf" TargetMode="External"/><Relationship Id="rId3428" Type="http://schemas.openxmlformats.org/officeDocument/2006/relationships/hyperlink" Target="https://chem.echa.europa.eu/substance-search?searchText=7782-44-7" TargetMode="External"/><Relationship Id="rId349" Type="http://schemas.openxmlformats.org/officeDocument/2006/relationships/hyperlink" Target="https://chemicalsafety.ilo.org/dyn/icsc/showcard.display?p_card_id=0088&amp;p_lang=en" TargetMode="External"/><Relationship Id="rId763" Type="http://schemas.openxmlformats.org/officeDocument/2006/relationships/hyperlink" Target="https://www.google.com/search?q=114-26-1+SDS+safety+data+sheet+filetype:pdf" TargetMode="External"/><Relationship Id="rId1393" Type="http://schemas.openxmlformats.org/officeDocument/2006/relationships/hyperlink" Target="https://chemicalsafety.ilo.org/dyn/icsc/showcard.display?p_card_id=0350&amp;p_lang=en" TargetMode="External"/><Relationship Id="rId2444" Type="http://schemas.openxmlformats.org/officeDocument/2006/relationships/hyperlink" Target="https://chem.echa.europa.eu/substance-search?searchText=96-33-3" TargetMode="External"/><Relationship Id="rId3842" Type="http://schemas.openxmlformats.org/officeDocument/2006/relationships/hyperlink" Target="https://chemicalsafety.ilo.org/dyn/icsc/showcard.display?p_card_id=0985&amp;p_lang=tr" TargetMode="External"/><Relationship Id="rId416" Type="http://schemas.openxmlformats.org/officeDocument/2006/relationships/hyperlink" Target="https://chem.echa.europa.eu/substance-search?searchText=50-32-8" TargetMode="External"/><Relationship Id="rId1046" Type="http://schemas.openxmlformats.org/officeDocument/2006/relationships/hyperlink" Target="https://chemicalsafety.ilo.org/dyn/icsc/showcard.display?p_card_id=0263&amp;p_lang=tr" TargetMode="External"/><Relationship Id="rId830" Type="http://schemas.openxmlformats.org/officeDocument/2006/relationships/hyperlink" Target="https://chemicalsafety.ilo.org/dyn/icsc/showcard.display?p_card_id=0209&amp;p_lang=tr" TargetMode="External"/><Relationship Id="rId1460" Type="http://schemas.openxmlformats.org/officeDocument/2006/relationships/hyperlink" Target="https://chem.echa.europa.eu/substance-search?searchText=77-99-6" TargetMode="External"/><Relationship Id="rId2511" Type="http://schemas.openxmlformats.org/officeDocument/2006/relationships/hyperlink" Target="https://www.google.com/search?q=75-68-3+SDS+safety+data+sheet+filetype:pdf" TargetMode="External"/><Relationship Id="rId5667" Type="http://schemas.openxmlformats.org/officeDocument/2006/relationships/hyperlink" Target="https://www.google.com/search?q=509-14-8+SDS+safety+data+sheet+filetype:pdf" TargetMode="External"/><Relationship Id="rId6718" Type="http://schemas.openxmlformats.org/officeDocument/2006/relationships/hyperlink" Target="https://chemicalsafety.ilo.org/dyn/icsc/showcard.display?p_card_id=1751&amp;p_lang=tr" TargetMode="External"/><Relationship Id="rId1113" Type="http://schemas.openxmlformats.org/officeDocument/2006/relationships/hyperlink" Target="https://chemicalsafety.ilo.org/dyn/icsc/showcard.display?p_card_id=0280&amp;p_lang=en" TargetMode="External"/><Relationship Id="rId4269" Type="http://schemas.openxmlformats.org/officeDocument/2006/relationships/hyperlink" Target="https://chemicalsafety.ilo.org/dyn/icsc/showcard.display?p_card_id=1105&amp;p_lang=en" TargetMode="External"/><Relationship Id="rId4683" Type="http://schemas.openxmlformats.org/officeDocument/2006/relationships/hyperlink" Target="https://www.google.com/search?q=10124-50-2+SDS+safety+data+sheet+filetype:pdf" TargetMode="External"/><Relationship Id="rId5734" Type="http://schemas.openxmlformats.org/officeDocument/2006/relationships/hyperlink" Target="https://chemicalsafety.ilo.org/dyn/icsc/showcard.display?p_card_id=1487&amp;p_lang=tr" TargetMode="External"/><Relationship Id="rId3285" Type="http://schemas.openxmlformats.org/officeDocument/2006/relationships/hyperlink" Target="https://chemicalsafety.ilo.org/dyn/icsc/showcard.display?p_card_id=0844&amp;p_lang=en" TargetMode="External"/><Relationship Id="rId4336" Type="http://schemas.openxmlformats.org/officeDocument/2006/relationships/hyperlink" Target="https://chem.echa.europa.eu/substance-search?searchText=3333-52-6" TargetMode="External"/><Relationship Id="rId4750" Type="http://schemas.openxmlformats.org/officeDocument/2006/relationships/hyperlink" Target="https://chemicalsafety.ilo.org/dyn/icsc/showcard.display?p_card_id=1230&amp;p_lang=tr" TargetMode="External"/><Relationship Id="rId5801" Type="http://schemas.openxmlformats.org/officeDocument/2006/relationships/hyperlink" Target="https://chemicalsafety.ilo.org/dyn/icsc/showcard.display?p_card_id=1504&amp;p_lang=en" TargetMode="External"/><Relationship Id="rId3352" Type="http://schemas.openxmlformats.org/officeDocument/2006/relationships/hyperlink" Target="https://chem.echa.europa.eu/substance-search?searchText=7783-47-3" TargetMode="External"/><Relationship Id="rId4403" Type="http://schemas.openxmlformats.org/officeDocument/2006/relationships/hyperlink" Target="https://www.google.com/search?q=650-51-1+SDS+safety+data+sheet+filetype:pdf" TargetMode="External"/><Relationship Id="rId273" Type="http://schemas.openxmlformats.org/officeDocument/2006/relationships/hyperlink" Target="https://chemicalsafety.ilo.org/dyn/icsc/showcard.display?p_card_id=0069&amp;p_lang=en" TargetMode="External"/><Relationship Id="rId3005" Type="http://schemas.openxmlformats.org/officeDocument/2006/relationships/hyperlink" Target="https://chemicalsafety.ilo.org/dyn/icsc/showcard.display?p_card_id=0772&amp;p_lang=en" TargetMode="External"/><Relationship Id="rId6575" Type="http://schemas.openxmlformats.org/officeDocument/2006/relationships/hyperlink" Target="https://www.google.com/search?q=25321-09-9+SDS+safety+data+sheet+filetype:pdf" TargetMode="External"/><Relationship Id="rId340" Type="http://schemas.openxmlformats.org/officeDocument/2006/relationships/hyperlink" Target="https://chem.echa.europa.eu/substance-search?searchText=108-38-3" TargetMode="External"/><Relationship Id="rId2021" Type="http://schemas.openxmlformats.org/officeDocument/2006/relationships/hyperlink" Target="https://chemicalsafety.ilo.org/dyn/icsc/showcard.display?p_card_id=0514&amp;p_lang=en" TargetMode="External"/><Relationship Id="rId5177" Type="http://schemas.openxmlformats.org/officeDocument/2006/relationships/hyperlink" Target="https://chemicalsafety.ilo.org/dyn/icsc/showcard.display?p_card_id=1341&amp;p_lang=en" TargetMode="External"/><Relationship Id="rId6228" Type="http://schemas.openxmlformats.org/officeDocument/2006/relationships/hyperlink" Target="https://chem.echa.europa.eu/substance-search?searchText=128-39-2" TargetMode="External"/><Relationship Id="rId4193" Type="http://schemas.openxmlformats.org/officeDocument/2006/relationships/hyperlink" Target="https://chemicalsafety.ilo.org/dyn/icsc/showcard.display?p_card_id=1083&amp;p_lang=en" TargetMode="External"/><Relationship Id="rId5591" Type="http://schemas.openxmlformats.org/officeDocument/2006/relationships/hyperlink" Target="https://www.google.com/search?q=101-54-2+SDS+safety+data+sheet+filetype:pdf" TargetMode="External"/><Relationship Id="rId6642" Type="http://schemas.openxmlformats.org/officeDocument/2006/relationships/hyperlink" Target="https://chemicalsafety.ilo.org/dyn/icsc/showcard.display?p_card_id=1732&amp;p_lang=tr" TargetMode="External"/><Relationship Id="rId1787" Type="http://schemas.openxmlformats.org/officeDocument/2006/relationships/hyperlink" Target="https://www.google.com/search?q=87-59-2+SDS+safety+data+sheet+filetype:pdf" TargetMode="External"/><Relationship Id="rId2838" Type="http://schemas.openxmlformats.org/officeDocument/2006/relationships/hyperlink" Target="https://chemicalsafety.ilo.org/dyn/icsc/showcard.display?p_card_id=0730&amp;p_lang=tr" TargetMode="External"/><Relationship Id="rId5244" Type="http://schemas.openxmlformats.org/officeDocument/2006/relationships/hyperlink" Target="https://chem.echa.europa.eu/substance-search?searchText=111-96-6" TargetMode="External"/><Relationship Id="rId79" Type="http://schemas.openxmlformats.org/officeDocument/2006/relationships/hyperlink" Target="https://www.google.com/search?q=7440-43-9+SDS+safety+data+sheet+filetype:pdf" TargetMode="External"/><Relationship Id="rId1854" Type="http://schemas.openxmlformats.org/officeDocument/2006/relationships/hyperlink" Target="https://chemicalsafety.ilo.org/dyn/icsc/showcard.display?p_card_id=0470&amp;p_lang=tr" TargetMode="External"/><Relationship Id="rId2905" Type="http://schemas.openxmlformats.org/officeDocument/2006/relationships/hyperlink" Target="https://chemicalsafety.ilo.org/dyn/icsc/showcard.display?p_card_id=0747&amp;p_lang=en" TargetMode="External"/><Relationship Id="rId4260" Type="http://schemas.openxmlformats.org/officeDocument/2006/relationships/hyperlink" Target="https://chem.echa.europa.eu/substance-search?searchText=55335-06-3" TargetMode="External"/><Relationship Id="rId5311" Type="http://schemas.openxmlformats.org/officeDocument/2006/relationships/hyperlink" Target="https://www.google.com/search?q=117-08-8+SDS+safety+data+sheet+filetype:pdf" TargetMode="External"/><Relationship Id="rId1507" Type="http://schemas.openxmlformats.org/officeDocument/2006/relationships/hyperlink" Target="https://www.google.com/search?q=50-81-7+SDS+safety+data+sheet+filetype:pdf" TargetMode="External"/><Relationship Id="rId1921" Type="http://schemas.openxmlformats.org/officeDocument/2006/relationships/hyperlink" Target="https://chemicalsafety.ilo.org/dyn/icsc/showcard.display?p_card_id=0487&amp;p_lang=en" TargetMode="External"/><Relationship Id="rId3679" Type="http://schemas.openxmlformats.org/officeDocument/2006/relationships/hyperlink" Target="https://www.google.com/search?q=623-84-7+SDS+safety+data+sheet+filetype:pdf" TargetMode="External"/><Relationship Id="rId6085" Type="http://schemas.openxmlformats.org/officeDocument/2006/relationships/hyperlink" Target="https://chemicalsafety.ilo.org/dyn/icsc/showcard.display?p_card_id=1576&amp;p_lang=en" TargetMode="External"/><Relationship Id="rId6152" Type="http://schemas.openxmlformats.org/officeDocument/2006/relationships/hyperlink" Target="https://chem.echa.europa.eu/substance-search?searchText=21351-79-1" TargetMode="External"/><Relationship Id="rId1297" Type="http://schemas.openxmlformats.org/officeDocument/2006/relationships/hyperlink" Target="https://chemicalsafety.ilo.org/dyn/icsc/showcard.display?p_card_id=0326&amp;p_lang=en" TargetMode="External"/><Relationship Id="rId2695" Type="http://schemas.openxmlformats.org/officeDocument/2006/relationships/hyperlink" Target="https://www.google.com/search?q=7803-51-2+SDS+safety+data+sheet+filetype:pdf" TargetMode="External"/><Relationship Id="rId3746" Type="http://schemas.openxmlformats.org/officeDocument/2006/relationships/hyperlink" Target="https://chemicalsafety.ilo.org/dyn/icsc/showcard.display?p_card_id=0960&amp;p_lang=tr" TargetMode="External"/><Relationship Id="rId667" Type="http://schemas.openxmlformats.org/officeDocument/2006/relationships/hyperlink" Target="https://www.google.com/search?q=7553-56-2+SDS+safety+data+sheet+filetype:pdf" TargetMode="External"/><Relationship Id="rId2348" Type="http://schemas.openxmlformats.org/officeDocument/2006/relationships/hyperlink" Target="https://chem.echa.europa.eu/substance-search?searchText=1300-73-8" TargetMode="External"/><Relationship Id="rId2762" Type="http://schemas.openxmlformats.org/officeDocument/2006/relationships/hyperlink" Target="https://chemicalsafety.ilo.org/dyn/icsc/showcard.display?p_card_id=0711&amp;p_lang=tr" TargetMode="External"/><Relationship Id="rId3813" Type="http://schemas.openxmlformats.org/officeDocument/2006/relationships/hyperlink" Target="https://chemicalsafety.ilo.org/dyn/icsc/showcard.display?p_card_id=0978&amp;p_lang=en" TargetMode="External"/><Relationship Id="rId734" Type="http://schemas.openxmlformats.org/officeDocument/2006/relationships/hyperlink" Target="https://chemicalsafety.ilo.org/dyn/icsc/showcard.display?p_card_id=0184&amp;p_lang=tr" TargetMode="External"/><Relationship Id="rId1364" Type="http://schemas.openxmlformats.org/officeDocument/2006/relationships/hyperlink" Target="https://chem.echa.europa.eu/substance-search?searchText=108-44-1" TargetMode="External"/><Relationship Id="rId2415" Type="http://schemas.openxmlformats.org/officeDocument/2006/relationships/hyperlink" Target="https://www.google.com/search?q=111-42-2+SDS+safety+data+sheet+filetype:pdf" TargetMode="External"/><Relationship Id="rId5985" Type="http://schemas.openxmlformats.org/officeDocument/2006/relationships/hyperlink" Target="https://chemicalsafety.ilo.org/dyn/icsc/showcard.display?p_card_id=1551&amp;p_lang=en" TargetMode="External"/><Relationship Id="rId70" Type="http://schemas.openxmlformats.org/officeDocument/2006/relationships/hyperlink" Target="https://chemicalsafety.ilo.org/dyn/icsc/showcard.display?p_card_id=0018&amp;p_lang=tr" TargetMode="External"/><Relationship Id="rId801" Type="http://schemas.openxmlformats.org/officeDocument/2006/relationships/hyperlink" Target="https://chemicalsafety.ilo.org/dyn/icsc/showcard.display?p_card_id=0201&amp;p_lang=en" TargetMode="External"/><Relationship Id="rId1017" Type="http://schemas.openxmlformats.org/officeDocument/2006/relationships/hyperlink" Target="https://chemicalsafety.ilo.org/dyn/icsc/showcard.display?p_card_id=0256&amp;p_lang=en" TargetMode="External"/><Relationship Id="rId1431" Type="http://schemas.openxmlformats.org/officeDocument/2006/relationships/hyperlink" Target="https://www.google.com/search?q=6834-92-0+SDS+safety+data+sheet+filetype:pdf" TargetMode="External"/><Relationship Id="rId4587" Type="http://schemas.openxmlformats.org/officeDocument/2006/relationships/hyperlink" Target="https://www.google.com/search?q=110-16-7+SDS+safety+data+sheet+filetype:pdf" TargetMode="External"/><Relationship Id="rId5638" Type="http://schemas.openxmlformats.org/officeDocument/2006/relationships/hyperlink" Target="https://chemicalsafety.ilo.org/dyn/icsc/showcard.display?p_card_id=1458&amp;p_lang=tr" TargetMode="External"/><Relationship Id="rId3189" Type="http://schemas.openxmlformats.org/officeDocument/2006/relationships/hyperlink" Target="https://chemicalsafety.ilo.org/dyn/icsc/showcard.display?p_card_id=0818&amp;p_lang=en" TargetMode="External"/><Relationship Id="rId4654" Type="http://schemas.openxmlformats.org/officeDocument/2006/relationships/hyperlink" Target="https://chemicalsafety.ilo.org/dyn/icsc/showcard.display?p_card_id=1206&amp;p_lang=tr" TargetMode="External"/><Relationship Id="rId3256" Type="http://schemas.openxmlformats.org/officeDocument/2006/relationships/hyperlink" Target="https://chem.echa.europa.eu/substance-search?searchText=485-31-4" TargetMode="External"/><Relationship Id="rId4307" Type="http://schemas.openxmlformats.org/officeDocument/2006/relationships/hyperlink" Target="https://www.google.com/search?q=7616-94-6+SDS+safety+data+sheet+filetype:pdf" TargetMode="External"/><Relationship Id="rId5705" Type="http://schemas.openxmlformats.org/officeDocument/2006/relationships/hyperlink" Target="https://chemicalsafety.ilo.org/dyn/icsc/showcard.display?p_card_id=1478&amp;p_lang=en" TargetMode="External"/><Relationship Id="rId177" Type="http://schemas.openxmlformats.org/officeDocument/2006/relationships/hyperlink" Target="https://chemicalsafety.ilo.org/dyn/icsc/showcard.display?p_card_id=0045&amp;p_lang=en" TargetMode="External"/><Relationship Id="rId591" Type="http://schemas.openxmlformats.org/officeDocument/2006/relationships/hyperlink" Target="https://www.google.com/search?q=77-78-1+SDS+safety+data+sheet+filetype:pdf" TargetMode="External"/><Relationship Id="rId2272" Type="http://schemas.openxmlformats.org/officeDocument/2006/relationships/hyperlink" Target="https://chem.echa.europa.eu/substance-search?searchText=62-55-5" TargetMode="External"/><Relationship Id="rId3670" Type="http://schemas.openxmlformats.org/officeDocument/2006/relationships/hyperlink" Target="https://chemicalsafety.ilo.org/dyn/icsc/showcard.display?p_card_id=0941&amp;p_lang=tr" TargetMode="External"/><Relationship Id="rId4721" Type="http://schemas.openxmlformats.org/officeDocument/2006/relationships/hyperlink" Target="https://chemicalsafety.ilo.org/dyn/icsc/showcard.display?p_card_id=1223&amp;p_lang=en" TargetMode="External"/><Relationship Id="rId244" Type="http://schemas.openxmlformats.org/officeDocument/2006/relationships/hyperlink" Target="https://chem.echa.europa.eu/substance-search?searchText=109-86-4" TargetMode="External"/><Relationship Id="rId3323" Type="http://schemas.openxmlformats.org/officeDocument/2006/relationships/hyperlink" Target="https://www.google.com/search?q=67-48-1+SDS+safety+data+sheet+filetype:pdf" TargetMode="External"/><Relationship Id="rId6479" Type="http://schemas.openxmlformats.org/officeDocument/2006/relationships/hyperlink" Target="https://www.google.com/search?q=111-20-6+SDS+safety+data+sheet+filetype:pdf" TargetMode="External"/><Relationship Id="rId5495" Type="http://schemas.openxmlformats.org/officeDocument/2006/relationships/hyperlink" Target="https://www.google.com/search?q=2179-59-1+SDS+safety+data+sheet+filetype:pdf" TargetMode="External"/><Relationship Id="rId6546" Type="http://schemas.openxmlformats.org/officeDocument/2006/relationships/hyperlink" Target="https://chemicalsafety.ilo.org/dyn/icsc/showcard.display?p_card_id=1707&amp;p_lang=tr" TargetMode="External"/><Relationship Id="rId311" Type="http://schemas.openxmlformats.org/officeDocument/2006/relationships/hyperlink" Target="https://www.google.com/search?q=108-88-3+SDS+safety+data+sheet+filetype:pdf" TargetMode="External"/><Relationship Id="rId4097" Type="http://schemas.openxmlformats.org/officeDocument/2006/relationships/hyperlink" Target="https://chemicalsafety.ilo.org/dyn/icsc/showcard.display?p_card_id=1055&amp;p_lang=en" TargetMode="External"/><Relationship Id="rId5148" Type="http://schemas.openxmlformats.org/officeDocument/2006/relationships/hyperlink" Target="https://chem.echa.europa.eu/substance-search?searchText=1066-33-7" TargetMode="External"/><Relationship Id="rId5562" Type="http://schemas.openxmlformats.org/officeDocument/2006/relationships/hyperlink" Target="https://chemicalsafety.ilo.org/dyn/icsc/showcard.display?p_card_id=1439&amp;p_lang=tr" TargetMode="External"/><Relationship Id="rId6613" Type="http://schemas.openxmlformats.org/officeDocument/2006/relationships/hyperlink" Target="https://chemicalsafety.ilo.org/dyn/icsc/showcard.display?p_card_id=1724&amp;p_lang=en" TargetMode="External"/><Relationship Id="rId1758" Type="http://schemas.openxmlformats.org/officeDocument/2006/relationships/hyperlink" Target="https://chemicalsafety.ilo.org/dyn/icsc/showcard.display?p_card_id=0444&amp;p_lang=tr" TargetMode="External"/><Relationship Id="rId2809" Type="http://schemas.openxmlformats.org/officeDocument/2006/relationships/hyperlink" Target="https://chemicalsafety.ilo.org/dyn/icsc/showcard.display?p_card_id=0723&amp;p_lang=en" TargetMode="External"/><Relationship Id="rId4164" Type="http://schemas.openxmlformats.org/officeDocument/2006/relationships/hyperlink" Target="https://chem.echa.europa.eu/substance-search?searchText=598-31-2" TargetMode="External"/><Relationship Id="rId5215" Type="http://schemas.openxmlformats.org/officeDocument/2006/relationships/hyperlink" Target="https://www.google.com/search?q=77-93-0+SDS+safety+data+sheet+filetype:pdf" TargetMode="External"/><Relationship Id="rId3180" Type="http://schemas.openxmlformats.org/officeDocument/2006/relationships/hyperlink" Target="https://chem.echa.europa.eu/substance-search?searchText=110-12-3" TargetMode="External"/><Relationship Id="rId4231" Type="http://schemas.openxmlformats.org/officeDocument/2006/relationships/hyperlink" Target="https://www.google.com/search?q=62-54-4+SDS+safety+data+sheet+filetype:pdf" TargetMode="External"/><Relationship Id="rId1825" Type="http://schemas.openxmlformats.org/officeDocument/2006/relationships/hyperlink" Target="https://chemicalsafety.ilo.org/dyn/icsc/showcard.display?p_card_id=0463&amp;p_lang=en" TargetMode="External"/><Relationship Id="rId3997" Type="http://schemas.openxmlformats.org/officeDocument/2006/relationships/hyperlink" Target="https://chemicalsafety.ilo.org/dyn/icsc/showcard.display?p_card_id=1030&amp;p_lang=en" TargetMode="External"/><Relationship Id="rId6056" Type="http://schemas.openxmlformats.org/officeDocument/2006/relationships/hyperlink" Target="https://chem.echa.europa.eu/substance-search?searchText=110-71-4" TargetMode="External"/><Relationship Id="rId2599" Type="http://schemas.openxmlformats.org/officeDocument/2006/relationships/hyperlink" Target="https://www.google.com/search?q=91-20-3+SDS+safety+data+sheet+filetype:pdf" TargetMode="External"/><Relationship Id="rId6470" Type="http://schemas.openxmlformats.org/officeDocument/2006/relationships/hyperlink" Target="https://chemicalsafety.ilo.org/dyn/icsc/showcard.display?p_card_id=1683&amp;p_lang=tr" TargetMode="External"/><Relationship Id="rId985" Type="http://schemas.openxmlformats.org/officeDocument/2006/relationships/hyperlink" Target="https://chemicalsafety.ilo.org/dyn/icsc/showcard.display?p_card_id=0248&amp;p_lang=en" TargetMode="External"/><Relationship Id="rId2666" Type="http://schemas.openxmlformats.org/officeDocument/2006/relationships/hyperlink" Target="https://chemicalsafety.ilo.org/dyn/icsc/showcard.display?p_card_id=0686&amp;p_lang=tr" TargetMode="External"/><Relationship Id="rId3717" Type="http://schemas.openxmlformats.org/officeDocument/2006/relationships/hyperlink" Target="https://chemicalsafety.ilo.org/dyn/icsc/showcard.display?p_card_id=0953&amp;p_lang=en" TargetMode="External"/><Relationship Id="rId5072" Type="http://schemas.openxmlformats.org/officeDocument/2006/relationships/hyperlink" Target="https://chem.echa.europa.eu/substance-search?searchText=108-30-5" TargetMode="External"/><Relationship Id="rId6123" Type="http://schemas.openxmlformats.org/officeDocument/2006/relationships/hyperlink" Target="https://www.google.com/search?q=7646-93-7+SDS+safety+data+sheet+filetype:pdf" TargetMode="External"/><Relationship Id="rId638" Type="http://schemas.openxmlformats.org/officeDocument/2006/relationships/hyperlink" Target="https://chemicalsafety.ilo.org/dyn/icsc/showcard.display?p_card_id=0160&amp;p_lang=tr" TargetMode="External"/><Relationship Id="rId1268" Type="http://schemas.openxmlformats.org/officeDocument/2006/relationships/hyperlink" Target="https://chem.echa.europa.eu/substance-search?searchText=9016-00-6" TargetMode="External"/><Relationship Id="rId1682" Type="http://schemas.openxmlformats.org/officeDocument/2006/relationships/hyperlink" Target="https://chemicalsafety.ilo.org/dyn/icsc/showcard.display?p_card_id=0425&amp;p_lang=tr" TargetMode="External"/><Relationship Id="rId2319" Type="http://schemas.openxmlformats.org/officeDocument/2006/relationships/hyperlink" Target="https://www.google.com/search?q=122-20-3+SDS+safety+data+sheet+filetype:pdf" TargetMode="External"/><Relationship Id="rId2733" Type="http://schemas.openxmlformats.org/officeDocument/2006/relationships/hyperlink" Target="https://chemicalsafety.ilo.org/dyn/icsc/showcard.display?p_card_id=0704&amp;p_lang=en" TargetMode="External"/><Relationship Id="rId5889" Type="http://schemas.openxmlformats.org/officeDocument/2006/relationships/hyperlink" Target="https://chemicalsafety.ilo.org/dyn/icsc/showcard.display?p_card_id=1526&amp;p_lang=en" TargetMode="External"/><Relationship Id="rId705" Type="http://schemas.openxmlformats.org/officeDocument/2006/relationships/hyperlink" Target="https://chemicalsafety.ilo.org/dyn/icsc/showcard.display?p_card_id=0177&amp;p_lang=en" TargetMode="External"/><Relationship Id="rId1335" Type="http://schemas.openxmlformats.org/officeDocument/2006/relationships/hyperlink" Target="https://www.google.com/search?q=7696-12-0+SDS+safety+data+sheet+filetype:pdf" TargetMode="External"/><Relationship Id="rId2800" Type="http://schemas.openxmlformats.org/officeDocument/2006/relationships/hyperlink" Target="https://chem.echa.europa.eu/substance-search?searchText=205-99-2" TargetMode="External"/><Relationship Id="rId5956" Type="http://schemas.openxmlformats.org/officeDocument/2006/relationships/hyperlink" Target="https://chem.echa.europa.eu/substance-search?searchText=99-56-9" TargetMode="External"/><Relationship Id="rId41" Type="http://schemas.openxmlformats.org/officeDocument/2006/relationships/hyperlink" Target="https://chemicalsafety.ilo.org/dyn/icsc/showcard.display?p_card_id=0011&amp;p_lang=en" TargetMode="External"/><Relationship Id="rId1402" Type="http://schemas.openxmlformats.org/officeDocument/2006/relationships/hyperlink" Target="https://chemicalsafety.ilo.org/dyn/icsc/showcard.display?p_card_id=0352&amp;p_lang=tr" TargetMode="External"/><Relationship Id="rId4558" Type="http://schemas.openxmlformats.org/officeDocument/2006/relationships/hyperlink" Target="https://chemicalsafety.ilo.org/dyn/icsc/showcard.display?p_card_id=1178&amp;p_lang=tr" TargetMode="External"/><Relationship Id="rId4972" Type="http://schemas.openxmlformats.org/officeDocument/2006/relationships/hyperlink" Target="https://chem.echa.europa.eu/substance-search?searchText=80-51-3" TargetMode="External"/><Relationship Id="rId5609" Type="http://schemas.openxmlformats.org/officeDocument/2006/relationships/hyperlink" Target="https://chemicalsafety.ilo.org/dyn/icsc/showcard.display?p_card_id=1451&amp;p_lang=en" TargetMode="External"/><Relationship Id="rId3574" Type="http://schemas.openxmlformats.org/officeDocument/2006/relationships/hyperlink" Target="https://chemicalsafety.ilo.org/dyn/icsc/showcard.display?p_card_id=0917&amp;p_lang=tr" TargetMode="External"/><Relationship Id="rId4625" Type="http://schemas.openxmlformats.org/officeDocument/2006/relationships/hyperlink" Target="https://chemicalsafety.ilo.org/dyn/icsc/showcard.display?p_card_id=1198&amp;p_lang=en" TargetMode="External"/><Relationship Id="rId495" Type="http://schemas.openxmlformats.org/officeDocument/2006/relationships/hyperlink" Target="https://www.google.com/search?q=6164-98-3+SDS+safety+data+sheet+filetype:pdf" TargetMode="External"/><Relationship Id="rId2176" Type="http://schemas.openxmlformats.org/officeDocument/2006/relationships/hyperlink" Target="https://chem.echa.europa.eu/substance-search?searchText=57-57-8" TargetMode="External"/><Relationship Id="rId2590" Type="http://schemas.openxmlformats.org/officeDocument/2006/relationships/hyperlink" Target="https://chemicalsafety.ilo.org/dyn/icsc/showcard.display?p_card_id=0664&amp;p_lang=tr" TargetMode="External"/><Relationship Id="rId3227" Type="http://schemas.openxmlformats.org/officeDocument/2006/relationships/hyperlink" Target="https://www.google.com/search?q=7727-43-7+SDS+safety+data+sheet+filetype:pdf" TargetMode="External"/><Relationship Id="rId3641" Type="http://schemas.openxmlformats.org/officeDocument/2006/relationships/hyperlink" Target="https://chemicalsafety.ilo.org/dyn/icsc/showcard.display?p_card_id=0934&amp;p_lang=en" TargetMode="External"/><Relationship Id="rId6797" Type="http://schemas.openxmlformats.org/officeDocument/2006/relationships/hyperlink" Target="https://chemicalsafety.ilo.org/dyn/icsc/showcard.display?p_card_id=1772&amp;p_lang=en" TargetMode="External"/><Relationship Id="rId148" Type="http://schemas.openxmlformats.org/officeDocument/2006/relationships/hyperlink" Target="https://chem.echa.europa.eu/substance-search?searchText=106-46-7" TargetMode="External"/><Relationship Id="rId562" Type="http://schemas.openxmlformats.org/officeDocument/2006/relationships/hyperlink" Target="https://chemicalsafety.ilo.org/dyn/icsc/showcard.display?p_card_id=0141&amp;p_lang=tr" TargetMode="External"/><Relationship Id="rId1192" Type="http://schemas.openxmlformats.org/officeDocument/2006/relationships/hyperlink" Target="https://chem.echa.europa.eu/substance-search?searchText=74-93-1" TargetMode="External"/><Relationship Id="rId2243" Type="http://schemas.openxmlformats.org/officeDocument/2006/relationships/hyperlink" Target="https://www.google.com/search?q=8001-58-9+SDS+safety+data+sheet+filetype:pdf" TargetMode="External"/><Relationship Id="rId5399" Type="http://schemas.openxmlformats.org/officeDocument/2006/relationships/hyperlink" Target="https://www.google.com/search?q=10141-05-6+SDS+safety+data+sheet+filetype:pdf" TargetMode="External"/><Relationship Id="rId215" Type="http://schemas.openxmlformats.org/officeDocument/2006/relationships/hyperlink" Target="https://www.google.com/search?q=94-74-6+SDS+safety+data+sheet+filetype:pdf" TargetMode="External"/><Relationship Id="rId2310" Type="http://schemas.openxmlformats.org/officeDocument/2006/relationships/hyperlink" Target="https://chemicalsafety.ilo.org/dyn/icsc/showcard.display?p_card_id=0590&amp;p_lang=tr" TargetMode="External"/><Relationship Id="rId5466" Type="http://schemas.openxmlformats.org/officeDocument/2006/relationships/hyperlink" Target="https://chemicalsafety.ilo.org/dyn/icsc/showcard.display?p_card_id=1415&amp;p_lang=tr" TargetMode="External"/><Relationship Id="rId6517" Type="http://schemas.openxmlformats.org/officeDocument/2006/relationships/hyperlink" Target="https://chemicalsafety.ilo.org/dyn/icsc/showcard.display?p_card_id=1700&amp;p_lang=en" TargetMode="External"/><Relationship Id="rId4068" Type="http://schemas.openxmlformats.org/officeDocument/2006/relationships/hyperlink" Target="https://chem.echa.europa.eu/substance-search?searchText=1313-82-2" TargetMode="External"/><Relationship Id="rId4482" Type="http://schemas.openxmlformats.org/officeDocument/2006/relationships/hyperlink" Target="https://chemicalsafety.ilo.org/dyn/icsc/showcard.display?p_card_id=1159&amp;p_lang=tr" TargetMode="External"/><Relationship Id="rId5119" Type="http://schemas.openxmlformats.org/officeDocument/2006/relationships/hyperlink" Target="https://www.google.com/search?q=7784-18-1+SDS+safety+data+sheet+filetype:pdf" TargetMode="External"/><Relationship Id="rId5880" Type="http://schemas.openxmlformats.org/officeDocument/2006/relationships/hyperlink" Target="https://chem.echa.europa.eu/substance-search?searchText=111-31-9" TargetMode="External"/><Relationship Id="rId3084" Type="http://schemas.openxmlformats.org/officeDocument/2006/relationships/hyperlink" Target="https://chem.echa.europa.eu/substance-search?searchText=101-84-8" TargetMode="External"/><Relationship Id="rId4135" Type="http://schemas.openxmlformats.org/officeDocument/2006/relationships/hyperlink" Target="https://www.google.com/search?q=2698-41-1+SDS+safety+data+sheet+filetype:pdf" TargetMode="External"/><Relationship Id="rId5533" Type="http://schemas.openxmlformats.org/officeDocument/2006/relationships/hyperlink" Target="https://chemicalsafety.ilo.org/dyn/icsc/showcard.display?p_card_id=1432&amp;p_lang=en" TargetMode="External"/><Relationship Id="rId1729" Type="http://schemas.openxmlformats.org/officeDocument/2006/relationships/hyperlink" Target="https://chemicalsafety.ilo.org/dyn/icsc/showcard.display?p_card_id=0437&amp;p_lang=en" TargetMode="External"/><Relationship Id="rId5600" Type="http://schemas.openxmlformats.org/officeDocument/2006/relationships/hyperlink" Target="https://chem.echa.europa.eu/substance-search?searchText=314-40-9" TargetMode="External"/><Relationship Id="rId3151" Type="http://schemas.openxmlformats.org/officeDocument/2006/relationships/hyperlink" Target="https://www.google.com/search?q=14808-60-7+SDS+safety+data+sheet+filetype:pdf" TargetMode="External"/><Relationship Id="rId4202" Type="http://schemas.openxmlformats.org/officeDocument/2006/relationships/hyperlink" Target="https://chemicalsafety.ilo.org/dyn/icsc/showcard.display?p_card_id=1085&amp;p_lang=tr" TargetMode="External"/><Relationship Id="rId3968" Type="http://schemas.openxmlformats.org/officeDocument/2006/relationships/hyperlink" Target="https://chem.echa.europa.eu/substance-search?searchText=105-58-8" TargetMode="External"/><Relationship Id="rId6374" Type="http://schemas.openxmlformats.org/officeDocument/2006/relationships/hyperlink" Target="https://chemicalsafety.ilo.org/dyn/icsc/showcard.display?p_card_id=1658&amp;p_lang=tr" TargetMode="External"/><Relationship Id="rId5" Type="http://schemas.openxmlformats.org/officeDocument/2006/relationships/hyperlink" Target="https://chemicalsafety.ilo.org/dyn/icsc/showcard.display?p_card_id=0002&amp;p_lang=en" TargetMode="External"/><Relationship Id="rId889" Type="http://schemas.openxmlformats.org/officeDocument/2006/relationships/hyperlink" Target="https://chemicalsafety.ilo.org/dyn/icsc/showcard.display?p_card_id=0224&amp;p_lang=en" TargetMode="External"/><Relationship Id="rId5390" Type="http://schemas.openxmlformats.org/officeDocument/2006/relationships/hyperlink" Target="https://chemicalsafety.ilo.org/dyn/icsc/showcard.display?p_card_id=1395&amp;p_lang=tr" TargetMode="External"/><Relationship Id="rId6027" Type="http://schemas.openxmlformats.org/officeDocument/2006/relationships/hyperlink" Target="https://www.google.com/search?q=68476-34-6+SDS+safety+data+sheet+filetype:pdf" TargetMode="External"/><Relationship Id="rId6441" Type="http://schemas.openxmlformats.org/officeDocument/2006/relationships/hyperlink" Target="https://chemicalsafety.ilo.org/dyn/icsc/showcard.display?p_card_id=1676&amp;p_lang=en" TargetMode="External"/><Relationship Id="rId1586" Type="http://schemas.openxmlformats.org/officeDocument/2006/relationships/hyperlink" Target="https://chemicalsafety.ilo.org/dyn/icsc/showcard.display?p_card_id=0400&amp;p_lang=tr" TargetMode="External"/><Relationship Id="rId2984" Type="http://schemas.openxmlformats.org/officeDocument/2006/relationships/hyperlink" Target="https://chem.echa.europa.eu/substance-search?searchText=485-47-2" TargetMode="External"/><Relationship Id="rId5043" Type="http://schemas.openxmlformats.org/officeDocument/2006/relationships/hyperlink" Target="https://www.google.com/search?q=35554-44-0+SDS+safety+data+sheet+filetype:pdf" TargetMode="External"/><Relationship Id="rId609" Type="http://schemas.openxmlformats.org/officeDocument/2006/relationships/hyperlink" Target="https://chemicalsafety.ilo.org/dyn/icsc/showcard.display?p_card_id=0153&amp;p_lang=en" TargetMode="External"/><Relationship Id="rId956" Type="http://schemas.openxmlformats.org/officeDocument/2006/relationships/hyperlink" Target="https://chem.echa.europa.eu/substance-search?searchText=7440-50-8" TargetMode="External"/><Relationship Id="rId1239" Type="http://schemas.openxmlformats.org/officeDocument/2006/relationships/hyperlink" Target="https://www.google.com/search?q=594-42-3+SDS+safety+data+sheet+filetype:pdf" TargetMode="External"/><Relationship Id="rId2637" Type="http://schemas.openxmlformats.org/officeDocument/2006/relationships/hyperlink" Target="https://chemicalsafety.ilo.org/dyn/icsc/showcard.display?p_card_id=0677&amp;p_lang=en" TargetMode="External"/><Relationship Id="rId5110" Type="http://schemas.openxmlformats.org/officeDocument/2006/relationships/hyperlink" Target="https://chemicalsafety.ilo.org/dyn/icsc/showcard.display?p_card_id=1322&amp;p_lang=tr" TargetMode="External"/><Relationship Id="rId1653" Type="http://schemas.openxmlformats.org/officeDocument/2006/relationships/hyperlink" Target="https://chemicalsafety.ilo.org/dyn/icsc/showcard.display?p_card_id=0418&amp;p_lang=en" TargetMode="External"/><Relationship Id="rId2704" Type="http://schemas.openxmlformats.org/officeDocument/2006/relationships/hyperlink" Target="https://chem.echa.europa.eu/substance-search?searchText=7719-12-2" TargetMode="External"/><Relationship Id="rId1306" Type="http://schemas.openxmlformats.org/officeDocument/2006/relationships/hyperlink" Target="https://chemicalsafety.ilo.org/dyn/icsc/showcard.display?p_card_id=0328&amp;p_lang=tr" TargetMode="External"/><Relationship Id="rId1720" Type="http://schemas.openxmlformats.org/officeDocument/2006/relationships/hyperlink" Target="https://chem.echa.europa.eu/substance-search?searchText=594-72-9" TargetMode="External"/><Relationship Id="rId4876" Type="http://schemas.openxmlformats.org/officeDocument/2006/relationships/hyperlink" Target="https://chem.echa.europa.eu/substance-search?searchText=109-92-2" TargetMode="External"/><Relationship Id="rId5927" Type="http://schemas.openxmlformats.org/officeDocument/2006/relationships/hyperlink" Target="https://www.google.com/search?q=7440-31-5+SDS+safety+data+sheet+filetype:pdf" TargetMode="External"/><Relationship Id="rId12" Type="http://schemas.openxmlformats.org/officeDocument/2006/relationships/hyperlink" Target="https://chem.echa.europa.eu/substance-search?searchText=7758-97-6" TargetMode="External"/><Relationship Id="rId3478" Type="http://schemas.openxmlformats.org/officeDocument/2006/relationships/hyperlink" Target="https://chemicalsafety.ilo.org/dyn/icsc/showcard.display?p_card_id=0893&amp;p_lang=tr" TargetMode="External"/><Relationship Id="rId3892" Type="http://schemas.openxmlformats.org/officeDocument/2006/relationships/hyperlink" Target="https://chem.echa.europa.eu/substance-search?searchText=1309-60-0" TargetMode="External"/><Relationship Id="rId4529" Type="http://schemas.openxmlformats.org/officeDocument/2006/relationships/hyperlink" Target="https://chemicalsafety.ilo.org/dyn/icsc/showcard.display?p_card_id=1171&amp;p_lang=en" TargetMode="External"/><Relationship Id="rId4943" Type="http://schemas.openxmlformats.org/officeDocument/2006/relationships/hyperlink" Target="https://www.google.com/search?q=107-66-4+SDS+safety+data+sheet+filetype:pdf" TargetMode="External"/><Relationship Id="rId399" Type="http://schemas.openxmlformats.org/officeDocument/2006/relationships/hyperlink" Target="https://www.google.com/search?q=151-56-4+SDS+safety+data+sheet+filetype:pdf" TargetMode="External"/><Relationship Id="rId2494" Type="http://schemas.openxmlformats.org/officeDocument/2006/relationships/hyperlink" Target="https://chemicalsafety.ilo.org/dyn/icsc/showcard.display?p_card_id=0638&amp;p_lang=tr" TargetMode="External"/><Relationship Id="rId3545" Type="http://schemas.openxmlformats.org/officeDocument/2006/relationships/hyperlink" Target="https://chemicalsafety.ilo.org/dyn/icsc/showcard.display?p_card_id=0910&amp;p_lang=en" TargetMode="External"/><Relationship Id="rId466" Type="http://schemas.openxmlformats.org/officeDocument/2006/relationships/hyperlink" Target="https://chemicalsafety.ilo.org/dyn/icsc/showcard.display?p_card_id=0117&amp;p_lang=tr" TargetMode="External"/><Relationship Id="rId880" Type="http://schemas.openxmlformats.org/officeDocument/2006/relationships/hyperlink" Target="https://chem.echa.europa.eu/substance-search?searchText=7784-34-1" TargetMode="External"/><Relationship Id="rId1096" Type="http://schemas.openxmlformats.org/officeDocument/2006/relationships/hyperlink" Target="https://chem.echa.europa.eu/substance-search?searchText=50-00-0" TargetMode="External"/><Relationship Id="rId2147" Type="http://schemas.openxmlformats.org/officeDocument/2006/relationships/hyperlink" Target="https://www.google.com/search?q=3811-04-9+SDS+safety+data+sheet+filetype:pdf" TargetMode="External"/><Relationship Id="rId2561" Type="http://schemas.openxmlformats.org/officeDocument/2006/relationships/hyperlink" Target="https://chemicalsafety.ilo.org/dyn/icsc/showcard.display?p_card_id=0657&amp;p_lang=en" TargetMode="External"/><Relationship Id="rId119" Type="http://schemas.openxmlformats.org/officeDocument/2006/relationships/hyperlink" Target="https://www.google.com/search?q=95-48-7+SDS+safety+data+sheet+filetype:pdf" TargetMode="External"/><Relationship Id="rId533" Type="http://schemas.openxmlformats.org/officeDocument/2006/relationships/hyperlink" Target="https://chemicalsafety.ilo.org/dyn/icsc/showcard.display?p_card_id=0134&amp;p_lang=en" TargetMode="External"/><Relationship Id="rId1163" Type="http://schemas.openxmlformats.org/officeDocument/2006/relationships/hyperlink" Target="https://www.google.com/search?q=25639-42-3+SDS+safety+data+sheet+filetype:pdf" TargetMode="External"/><Relationship Id="rId2214" Type="http://schemas.openxmlformats.org/officeDocument/2006/relationships/hyperlink" Target="https://chemicalsafety.ilo.org/dyn/icsc/showcard.display?p_card_id=0565&amp;p_lang=tr" TargetMode="External"/><Relationship Id="rId3612" Type="http://schemas.openxmlformats.org/officeDocument/2006/relationships/hyperlink" Target="https://chem.echa.europa.eu/substance-search?searchText=1313-99-1" TargetMode="External"/><Relationship Id="rId6768" Type="http://schemas.openxmlformats.org/officeDocument/2006/relationships/hyperlink" Target="https://chem.echa.europa.eu/substance-search?searchText=68359-37-5" TargetMode="External"/><Relationship Id="rId5784" Type="http://schemas.openxmlformats.org/officeDocument/2006/relationships/hyperlink" Target="https://chem.echa.europa.eu/substance-search?searchText=7705-08-0" TargetMode="External"/><Relationship Id="rId6835" Type="http://schemas.openxmlformats.org/officeDocument/2006/relationships/hyperlink" Target="https://www.google.com/search?q=13463-67-7+SDS+safety+data+sheet+filetype:pdf" TargetMode="External"/><Relationship Id="rId600" Type="http://schemas.openxmlformats.org/officeDocument/2006/relationships/hyperlink" Target="https://chem.echa.europa.eu/substance-search?searchText=108-43-0" TargetMode="External"/><Relationship Id="rId1230" Type="http://schemas.openxmlformats.org/officeDocument/2006/relationships/hyperlink" Target="https://chemicalsafety.ilo.org/dyn/icsc/showcard.display?p_card_id=0309&amp;p_lang=tr" TargetMode="External"/><Relationship Id="rId4386" Type="http://schemas.openxmlformats.org/officeDocument/2006/relationships/hyperlink" Target="https://chemicalsafety.ilo.org/dyn/icsc/showcard.display?p_card_id=1135&amp;p_lang=tr" TargetMode="External"/><Relationship Id="rId5437" Type="http://schemas.openxmlformats.org/officeDocument/2006/relationships/hyperlink" Target="https://chemicalsafety.ilo.org/dyn/icsc/showcard.display?p_card_id=1408&amp;p_lang=en" TargetMode="External"/><Relationship Id="rId5851" Type="http://schemas.openxmlformats.org/officeDocument/2006/relationships/hyperlink" Target="https://www.google.com/search?q=66230-04-4+SDS+safety+data+sheet+filetype:pdf" TargetMode="External"/><Relationship Id="rId4039" Type="http://schemas.openxmlformats.org/officeDocument/2006/relationships/hyperlink" Target="https://www.google.com/search?q=16872-11-0+SDS+safety+data+sheet+filetype:pdf" TargetMode="External"/><Relationship Id="rId4453" Type="http://schemas.openxmlformats.org/officeDocument/2006/relationships/hyperlink" Target="https://chemicalsafety.ilo.org/dyn/icsc/showcard.display?p_card_id=1152&amp;p_lang=en" TargetMode="External"/><Relationship Id="rId5504" Type="http://schemas.openxmlformats.org/officeDocument/2006/relationships/hyperlink" Target="https://chem.echa.europa.eu/substance-search?searchText=638-21-1" TargetMode="External"/><Relationship Id="rId3055" Type="http://schemas.openxmlformats.org/officeDocument/2006/relationships/hyperlink" Target="https://www.google.com/search?q=10026-22-9+SDS+safety+data+sheet+filetype:pdf" TargetMode="External"/><Relationship Id="rId4106" Type="http://schemas.openxmlformats.org/officeDocument/2006/relationships/hyperlink" Target="https://chemicalsafety.ilo.org/dyn/icsc/showcard.display?p_card_id=1057&amp;p_lang=tr" TargetMode="External"/><Relationship Id="rId4520" Type="http://schemas.openxmlformats.org/officeDocument/2006/relationships/hyperlink" Target="https://chem.echa.europa.eu/substance-search?searchText=431-03-8" TargetMode="External"/><Relationship Id="rId390" Type="http://schemas.openxmlformats.org/officeDocument/2006/relationships/hyperlink" Target="https://chemicalsafety.ilo.org/dyn/icsc/showcard.display?p_card_id=0098&amp;p_lang=tr" TargetMode="External"/><Relationship Id="rId2071" Type="http://schemas.openxmlformats.org/officeDocument/2006/relationships/hyperlink" Target="https://www.google.com/search?q=20816-12-0+SDS+safety+data+sheet+filetype:pdf" TargetMode="External"/><Relationship Id="rId3122" Type="http://schemas.openxmlformats.org/officeDocument/2006/relationships/hyperlink" Target="https://chemicalsafety.ilo.org/dyn/icsc/showcard.display?p_card_id=0801&amp;p_lang=tr" TargetMode="External"/><Relationship Id="rId6278" Type="http://schemas.openxmlformats.org/officeDocument/2006/relationships/hyperlink" Target="https://chemicalsafety.ilo.org/dyn/icsc/showcard.display?p_card_id=1625&amp;p_lang=tr" TargetMode="External"/><Relationship Id="rId6692" Type="http://schemas.openxmlformats.org/officeDocument/2006/relationships/hyperlink" Target="https://chem.echa.europa.eu/substance-search?searchText=15630-89-4" TargetMode="External"/><Relationship Id="rId5294" Type="http://schemas.openxmlformats.org/officeDocument/2006/relationships/hyperlink" Target="https://chemicalsafety.ilo.org/dyn/icsc/showcard.display?p_card_id=1370&amp;p_lang=tr" TargetMode="External"/><Relationship Id="rId6345" Type="http://schemas.openxmlformats.org/officeDocument/2006/relationships/hyperlink" Target="https://chemicalsafety.ilo.org/dyn/icsc/showcard.display?p_card_id=1644&amp;p_lang=en" TargetMode="External"/><Relationship Id="rId110" Type="http://schemas.openxmlformats.org/officeDocument/2006/relationships/hyperlink" Target="https://chemicalsafety.ilo.org/dyn/icsc/showcard.display?p_card_id=0028&amp;p_lang=tr" TargetMode="External"/><Relationship Id="rId2888" Type="http://schemas.openxmlformats.org/officeDocument/2006/relationships/hyperlink" Target="https://chem.echa.europa.eu/substance-search?searchText=115-29-7" TargetMode="External"/><Relationship Id="rId3939" Type="http://schemas.openxmlformats.org/officeDocument/2006/relationships/hyperlink" Target="https://www.google.com/search?q=98-88-4+SDS+safety+data+sheet+filetype:pdf" TargetMode="External"/><Relationship Id="rId2955" Type="http://schemas.openxmlformats.org/officeDocument/2006/relationships/hyperlink" Target="https://www.google.com/search?q=92-67-1+SDS+safety+data+sheet+filetype:pdf" TargetMode="External"/><Relationship Id="rId5361" Type="http://schemas.openxmlformats.org/officeDocument/2006/relationships/hyperlink" Target="https://chemicalsafety.ilo.org/dyn/icsc/showcard.display?p_card_id=1388&amp;p_lang=en" TargetMode="External"/><Relationship Id="rId6412" Type="http://schemas.openxmlformats.org/officeDocument/2006/relationships/hyperlink" Target="https://chem.echa.europa.eu/substance-search?searchText=3033-77-0" TargetMode="External"/><Relationship Id="rId927" Type="http://schemas.openxmlformats.org/officeDocument/2006/relationships/hyperlink" Target="https://www.google.com/search?q=60-35-5+SDS+safety+data+sheet+filetype:pdf" TargetMode="External"/><Relationship Id="rId1557" Type="http://schemas.openxmlformats.org/officeDocument/2006/relationships/hyperlink" Target="https://chemicalsafety.ilo.org/dyn/icsc/showcard.display?p_card_id=0392&amp;p_lang=en" TargetMode="External"/><Relationship Id="rId1971" Type="http://schemas.openxmlformats.org/officeDocument/2006/relationships/hyperlink" Target="https://www.google.com/search?q=4098-71-9+SDS+safety+data+sheet+filetype:pdf" TargetMode="External"/><Relationship Id="rId2608" Type="http://schemas.openxmlformats.org/officeDocument/2006/relationships/hyperlink" Target="https://chem.echa.europa.eu/substance-search?searchText=90-43-7" TargetMode="External"/><Relationship Id="rId5014" Type="http://schemas.openxmlformats.org/officeDocument/2006/relationships/hyperlink" Target="https://chemicalsafety.ilo.org/dyn/icsc/showcard.display?p_card_id=1296&amp;p_lang=tr" TargetMode="External"/><Relationship Id="rId1624" Type="http://schemas.openxmlformats.org/officeDocument/2006/relationships/hyperlink" Target="https://chem.echa.europa.eu/substance-search?searchText=1305-78-8" TargetMode="External"/><Relationship Id="rId4030" Type="http://schemas.openxmlformats.org/officeDocument/2006/relationships/hyperlink" Target="https://chemicalsafety.ilo.org/dyn/icsc/showcard.display?p_card_id=1038&amp;p_lang=tr" TargetMode="External"/><Relationship Id="rId3796" Type="http://schemas.openxmlformats.org/officeDocument/2006/relationships/hyperlink" Target="https://chem.echa.europa.eu/substance-search?searchText=86-88-4" TargetMode="External"/><Relationship Id="rId2398" Type="http://schemas.openxmlformats.org/officeDocument/2006/relationships/hyperlink" Target="https://chemicalsafety.ilo.org/dyn/icsc/showcard.display?p_card_id=0614&amp;p_lang=tr" TargetMode="External"/><Relationship Id="rId3449" Type="http://schemas.openxmlformats.org/officeDocument/2006/relationships/hyperlink" Target="https://chemicalsafety.ilo.org/dyn/icsc/showcard.display?p_card_id=0886&amp;p_lang=en" TargetMode="External"/><Relationship Id="rId4847" Type="http://schemas.openxmlformats.org/officeDocument/2006/relationships/hyperlink" Target="https://www.google.com/search?q=10192-30-0+SDS+safety+data+sheet+filetype:pdf" TargetMode="External"/><Relationship Id="rId3863" Type="http://schemas.openxmlformats.org/officeDocument/2006/relationships/hyperlink" Target="https://www.google.com/search?q=10043-35-3+SDS+safety+data+sheet+filetype:pdf" TargetMode="External"/><Relationship Id="rId4914" Type="http://schemas.openxmlformats.org/officeDocument/2006/relationships/hyperlink" Target="https://chemicalsafety.ilo.org/dyn/icsc/showcard.display?p_card_id=1271&amp;p_lang=tr" TargetMode="External"/><Relationship Id="rId784" Type="http://schemas.openxmlformats.org/officeDocument/2006/relationships/hyperlink" Target="https://chem.echa.europa.eu/substance-search?searchText=7789-38-0" TargetMode="External"/><Relationship Id="rId1067" Type="http://schemas.openxmlformats.org/officeDocument/2006/relationships/hyperlink" Target="https://www.google.com/search?q=100-41-4+SDS+safety+data+sheet+filetype:pdf" TargetMode="External"/><Relationship Id="rId2465" Type="http://schemas.openxmlformats.org/officeDocument/2006/relationships/hyperlink" Target="https://chemicalsafety.ilo.org/dyn/icsc/showcard.display?p_card_id=0631&amp;p_lang=en" TargetMode="External"/><Relationship Id="rId3516" Type="http://schemas.openxmlformats.org/officeDocument/2006/relationships/hyperlink" Target="https://chem.echa.europa.eu/substance-search?searchText=78-84-2" TargetMode="External"/><Relationship Id="rId3930" Type="http://schemas.openxmlformats.org/officeDocument/2006/relationships/hyperlink" Target="https://chemicalsafety.ilo.org/dyn/icsc/showcard.display?p_card_id=1013&amp;p_lang=tr" TargetMode="External"/><Relationship Id="rId437" Type="http://schemas.openxmlformats.org/officeDocument/2006/relationships/hyperlink" Target="https://chemicalsafety.ilo.org/dyn/icsc/showcard.display?p_card_id=0110&amp;p_lang=en" TargetMode="External"/><Relationship Id="rId851" Type="http://schemas.openxmlformats.org/officeDocument/2006/relationships/hyperlink" Target="https://www.google.com/search?q=504-29-0+SDS+safety+data+sheet+filetype:pdf" TargetMode="External"/><Relationship Id="rId1481" Type="http://schemas.openxmlformats.org/officeDocument/2006/relationships/hyperlink" Target="https://chemicalsafety.ilo.org/dyn/icsc/showcard.display?p_card_id=0373&amp;p_lang=en" TargetMode="External"/><Relationship Id="rId2118" Type="http://schemas.openxmlformats.org/officeDocument/2006/relationships/hyperlink" Target="https://chemicalsafety.ilo.org/dyn/icsc/showcard.display?p_card_id=0540&amp;p_lang=tr" TargetMode="External"/><Relationship Id="rId2532" Type="http://schemas.openxmlformats.org/officeDocument/2006/relationships/hyperlink" Target="https://chem.echa.europa.eu/substance-search?searchText=76-14-2" TargetMode="External"/><Relationship Id="rId5688" Type="http://schemas.openxmlformats.org/officeDocument/2006/relationships/hyperlink" Target="https://chem.echa.europa.eu/substance-search?searchText=693-21-0" TargetMode="External"/><Relationship Id="rId6739" Type="http://schemas.openxmlformats.org/officeDocument/2006/relationships/hyperlink" Target="https://www.google.com/search?q=82-66-6+SDS+safety+data+sheet+filetype:pdf" TargetMode="External"/><Relationship Id="rId504" Type="http://schemas.openxmlformats.org/officeDocument/2006/relationships/hyperlink" Target="https://chem.echa.europa.eu/substance-search?searchText=7782-50-5" TargetMode="External"/><Relationship Id="rId1134" Type="http://schemas.openxmlformats.org/officeDocument/2006/relationships/hyperlink" Target="https://chemicalsafety.ilo.org/dyn/icsc/showcard.display?p_card_id=0285&amp;p_lang=tr" TargetMode="External"/><Relationship Id="rId5755" Type="http://schemas.openxmlformats.org/officeDocument/2006/relationships/hyperlink" Target="https://www.google.com/search?q=107-03-9+SDS+safety+data+sheet+filetype:pdf" TargetMode="External"/><Relationship Id="rId6806" Type="http://schemas.openxmlformats.org/officeDocument/2006/relationships/hyperlink" Target="https://chemicalsafety.ilo.org/dyn/icsc/showcard.display?p_card_id=1774&amp;p_lang=tr" TargetMode="External"/><Relationship Id="rId1201" Type="http://schemas.openxmlformats.org/officeDocument/2006/relationships/hyperlink" Target="https://chemicalsafety.ilo.org/dyn/icsc/showcard.display?p_card_id=0302&amp;p_lang=en" TargetMode="External"/><Relationship Id="rId4357" Type="http://schemas.openxmlformats.org/officeDocument/2006/relationships/hyperlink" Target="https://chemicalsafety.ilo.org/dyn/icsc/showcard.display?p_card_id=1127&amp;p_lang=en" TargetMode="External"/><Relationship Id="rId4771" Type="http://schemas.openxmlformats.org/officeDocument/2006/relationships/hyperlink" Target="https://www.google.com/search?q=79-27-6+SDS+safety+data+sheet+filetype:pdf" TargetMode="External"/><Relationship Id="rId5408" Type="http://schemas.openxmlformats.org/officeDocument/2006/relationships/hyperlink" Target="https://chem.echa.europa.eu/substance-search?searchText=86290-81-5" TargetMode="External"/><Relationship Id="rId3373" Type="http://schemas.openxmlformats.org/officeDocument/2006/relationships/hyperlink" Target="https://chemicalsafety.ilo.org/dyn/icsc/showcard.display?p_card_id=0867&amp;p_lang=en" TargetMode="External"/><Relationship Id="rId4424" Type="http://schemas.openxmlformats.org/officeDocument/2006/relationships/hyperlink" Target="https://chem.echa.europa.eu/substance-search?searchText=1332-58-7" TargetMode="External"/><Relationship Id="rId5822" Type="http://schemas.openxmlformats.org/officeDocument/2006/relationships/hyperlink" Target="https://chemicalsafety.ilo.org/dyn/icsc/showcard.display?p_card_id=1509&amp;p_lang=tr" TargetMode="External"/><Relationship Id="rId294" Type="http://schemas.openxmlformats.org/officeDocument/2006/relationships/hyperlink" Target="https://chemicalsafety.ilo.org/dyn/icsc/showcard.display?p_card_id=0074&amp;p_lang=tr" TargetMode="External"/><Relationship Id="rId3026" Type="http://schemas.openxmlformats.org/officeDocument/2006/relationships/hyperlink" Target="https://chemicalsafety.ilo.org/dyn/icsc/showcard.display?p_card_id=0777&amp;p_lang=tr" TargetMode="External"/><Relationship Id="rId361" Type="http://schemas.openxmlformats.org/officeDocument/2006/relationships/hyperlink" Target="https://chemicalsafety.ilo.org/dyn/icsc/showcard.display?p_card_id=0091&amp;p_lang=en" TargetMode="External"/><Relationship Id="rId2042" Type="http://schemas.openxmlformats.org/officeDocument/2006/relationships/hyperlink" Target="https://chemicalsafety.ilo.org/dyn/icsc/showcard.display?p_card_id=0520&amp;p_lang=tr" TargetMode="External"/><Relationship Id="rId3440" Type="http://schemas.openxmlformats.org/officeDocument/2006/relationships/hyperlink" Target="https://chem.echa.europa.eu/substance-search?searchText=78-34-2" TargetMode="External"/><Relationship Id="rId5198" Type="http://schemas.openxmlformats.org/officeDocument/2006/relationships/hyperlink" Target="https://chemicalsafety.ilo.org/dyn/icsc/showcard.display?p_card_id=1346&amp;p_lang=tr" TargetMode="External"/><Relationship Id="rId6596" Type="http://schemas.openxmlformats.org/officeDocument/2006/relationships/hyperlink" Target="https://chem.echa.europa.eu/substance-search?searchText=115-18-4" TargetMode="External"/><Relationship Id="rId6249" Type="http://schemas.openxmlformats.org/officeDocument/2006/relationships/hyperlink" Target="https://chemicalsafety.ilo.org/dyn/icsc/showcard.display?p_card_id=1617&amp;p_lang=en" TargetMode="External"/><Relationship Id="rId6663" Type="http://schemas.openxmlformats.org/officeDocument/2006/relationships/hyperlink" Target="https://www.google.com/search?q=527-07-1+SDS+safety+data+sheet+filetype:pdf" TargetMode="External"/><Relationship Id="rId2859" Type="http://schemas.openxmlformats.org/officeDocument/2006/relationships/hyperlink" Target="https://www.google.com/search?q=622-97-9+SDS+safety+data+sheet+filetype:pdf" TargetMode="External"/><Relationship Id="rId5265" Type="http://schemas.openxmlformats.org/officeDocument/2006/relationships/hyperlink" Target="https://chemicalsafety.ilo.org/dyn/icsc/showcard.display?p_card_id=1363&amp;p_lang=en" TargetMode="External"/><Relationship Id="rId6316" Type="http://schemas.openxmlformats.org/officeDocument/2006/relationships/hyperlink" Target="https://chem.echa.europa.eu/substance-search?searchText=793-24-8" TargetMode="External"/><Relationship Id="rId6730" Type="http://schemas.openxmlformats.org/officeDocument/2006/relationships/hyperlink" Target="https://chemicalsafety.ilo.org/dyn/icsc/showcard.display?p_card_id=1755&amp;p_lang=tr" TargetMode="External"/><Relationship Id="rId1875" Type="http://schemas.openxmlformats.org/officeDocument/2006/relationships/hyperlink" Target="https://www.google.com/search?q=74-85-1+SDS+safety+data+sheet+filetype:pdf" TargetMode="External"/><Relationship Id="rId4281" Type="http://schemas.openxmlformats.org/officeDocument/2006/relationships/hyperlink" Target="https://chemicalsafety.ilo.org/dyn/icsc/showcard.display?p_card_id=1108&amp;p_lang=en" TargetMode="External"/><Relationship Id="rId5332" Type="http://schemas.openxmlformats.org/officeDocument/2006/relationships/hyperlink" Target="https://chem.echa.europa.eu/substance-search?searchText=64742-47-8" TargetMode="External"/><Relationship Id="rId1528" Type="http://schemas.openxmlformats.org/officeDocument/2006/relationships/hyperlink" Target="https://chem.echa.europa.eu/substance-search?searchText=1302-78-9" TargetMode="External"/><Relationship Id="rId2926" Type="http://schemas.openxmlformats.org/officeDocument/2006/relationships/hyperlink" Target="https://chemicalsafety.ilo.org/dyn/icsc/showcard.display?p_card_id=0752&amp;p_lang=tr" TargetMode="External"/><Relationship Id="rId1942" Type="http://schemas.openxmlformats.org/officeDocument/2006/relationships/hyperlink" Target="https://chemicalsafety.ilo.org/dyn/icsc/showcard.display?p_card_id=0492&amp;p_lang=tr" TargetMode="External"/><Relationship Id="rId4001" Type="http://schemas.openxmlformats.org/officeDocument/2006/relationships/hyperlink" Target="https://chemicalsafety.ilo.org/dyn/icsc/showcard.display?p_card_id=1031&amp;p_lang=en" TargetMode="External"/><Relationship Id="rId6173" Type="http://schemas.openxmlformats.org/officeDocument/2006/relationships/hyperlink" Target="https://chemicalsafety.ilo.org/dyn/icsc/showcard.display?p_card_id=1598&amp;p_lang=en" TargetMode="External"/><Relationship Id="rId3767" Type="http://schemas.openxmlformats.org/officeDocument/2006/relationships/hyperlink" Target="https://www.google.com/search?q=143-22-6+SDS+safety+data+sheet+filetype:pdf" TargetMode="External"/><Relationship Id="rId4818" Type="http://schemas.openxmlformats.org/officeDocument/2006/relationships/hyperlink" Target="https://chemicalsafety.ilo.org/dyn/icsc/showcard.display?p_card_id=1247&amp;p_lang=tr" TargetMode="External"/><Relationship Id="rId688" Type="http://schemas.openxmlformats.org/officeDocument/2006/relationships/hyperlink" Target="https://chem.echa.europa.eu/substance-search?searchText=121-75-5" TargetMode="External"/><Relationship Id="rId2369" Type="http://schemas.openxmlformats.org/officeDocument/2006/relationships/hyperlink" Target="https://chemicalsafety.ilo.org/dyn/icsc/showcard.display?p_card_id=0607&amp;p_lang=en" TargetMode="External"/><Relationship Id="rId2783" Type="http://schemas.openxmlformats.org/officeDocument/2006/relationships/hyperlink" Target="https://www.google.com/search?q=7440-09-7+SDS+safety+data+sheet+filetype:pdf" TargetMode="External"/><Relationship Id="rId3834" Type="http://schemas.openxmlformats.org/officeDocument/2006/relationships/hyperlink" Target="https://chemicalsafety.ilo.org/dyn/icsc/showcard.display?p_card_id=0983&amp;p_lang=tr" TargetMode="External"/><Relationship Id="rId6240" Type="http://schemas.openxmlformats.org/officeDocument/2006/relationships/hyperlink" Target="https://chem.echa.europa.eu/substance-search?searchText=5131-66-8" TargetMode="External"/><Relationship Id="rId755" Type="http://schemas.openxmlformats.org/officeDocument/2006/relationships/hyperlink" Target="https://www.google.com/search?q=13171-21-6+SDS+safety+data+sheet+filetype:pdf" TargetMode="External"/><Relationship Id="rId1385" Type="http://schemas.openxmlformats.org/officeDocument/2006/relationships/hyperlink" Target="https://chemicalsafety.ilo.org/dyn/icsc/showcard.display?p_card_id=0348&amp;p_lang=en" TargetMode="External"/><Relationship Id="rId2436" Type="http://schemas.openxmlformats.org/officeDocument/2006/relationships/hyperlink" Target="https://chem.echa.europa.eu/substance-search?searchText=109-94-4" TargetMode="External"/><Relationship Id="rId2850" Type="http://schemas.openxmlformats.org/officeDocument/2006/relationships/hyperlink" Target="https://chemicalsafety.ilo.org/dyn/icsc/showcard.display?p_card_id=0733&amp;p_lang=tr" TargetMode="External"/><Relationship Id="rId91" Type="http://schemas.openxmlformats.org/officeDocument/2006/relationships/hyperlink" Target="https://www.google.com/search?q=630-08-0+SDS+safety+data+sheet+filetype:pdf" TargetMode="External"/><Relationship Id="rId408" Type="http://schemas.openxmlformats.org/officeDocument/2006/relationships/hyperlink" Target="https://chem.echa.europa.eu/substance-search?searchText=100-52-7" TargetMode="External"/><Relationship Id="rId822" Type="http://schemas.openxmlformats.org/officeDocument/2006/relationships/hyperlink" Target="https://chemicalsafety.ilo.org/dyn/icsc/showcard.display?p_card_id=0206&amp;p_lang=tr" TargetMode="External"/><Relationship Id="rId1038" Type="http://schemas.openxmlformats.org/officeDocument/2006/relationships/hyperlink" Target="https://chemicalsafety.ilo.org/dyn/icsc/showcard.display?p_card_id=0261&amp;p_lang=tr" TargetMode="External"/><Relationship Id="rId1452" Type="http://schemas.openxmlformats.org/officeDocument/2006/relationships/hyperlink" Target="https://chem.echa.europa.eu/substance-search?searchText=111-15-9" TargetMode="External"/><Relationship Id="rId2503" Type="http://schemas.openxmlformats.org/officeDocument/2006/relationships/hyperlink" Target="https://www.google.com/search?q=89-98-5+SDS+safety+data+sheet+filetype:pdf" TargetMode="External"/><Relationship Id="rId3901" Type="http://schemas.openxmlformats.org/officeDocument/2006/relationships/hyperlink" Target="https://chemicalsafety.ilo.org/dyn/icsc/showcard.display?p_card_id=1005&amp;p_lang=en" TargetMode="External"/><Relationship Id="rId5659" Type="http://schemas.openxmlformats.org/officeDocument/2006/relationships/hyperlink" Target="https://www.google.com/search?q=109-77-3+SDS+safety+data+sheet+filetype:pdf" TargetMode="External"/><Relationship Id="rId1105" Type="http://schemas.openxmlformats.org/officeDocument/2006/relationships/hyperlink" Target="https://chemicalsafety.ilo.org/dyn/icsc/showcard.display?p_card_id=0278&amp;p_lang=en" TargetMode="External"/><Relationship Id="rId3277" Type="http://schemas.openxmlformats.org/officeDocument/2006/relationships/hyperlink" Target="https://chemicalsafety.ilo.org/dyn/icsc/showcard.display?p_card_id=0842&amp;p_lang=en" TargetMode="External"/><Relationship Id="rId4675" Type="http://schemas.openxmlformats.org/officeDocument/2006/relationships/hyperlink" Target="https://www.google.com/search?q=10290-12-7+SDS+safety+data+sheet+filetype:pdf" TargetMode="External"/><Relationship Id="rId5726" Type="http://schemas.openxmlformats.org/officeDocument/2006/relationships/hyperlink" Target="https://chemicalsafety.ilo.org/dyn/icsc/showcard.display?p_card_id=1485&amp;p_lang=tr" TargetMode="External"/><Relationship Id="rId198" Type="http://schemas.openxmlformats.org/officeDocument/2006/relationships/hyperlink" Target="https://chemicalsafety.ilo.org/dyn/icsc/showcard.display?p_card_id=0050&amp;p_lang=tr" TargetMode="External"/><Relationship Id="rId3691" Type="http://schemas.openxmlformats.org/officeDocument/2006/relationships/hyperlink" Target="https://www.google.com/search?q=7446-08-4+SDS+safety+data+sheet+filetype:pdf" TargetMode="External"/><Relationship Id="rId4328" Type="http://schemas.openxmlformats.org/officeDocument/2006/relationships/hyperlink" Target="https://chem.echa.europa.eu/substance-search?searchText=7681-52-9" TargetMode="External"/><Relationship Id="rId4742" Type="http://schemas.openxmlformats.org/officeDocument/2006/relationships/hyperlink" Target="https://chemicalsafety.ilo.org/dyn/icsc/showcard.display?p_card_id=1228&amp;p_lang=tr" TargetMode="External"/><Relationship Id="rId2293" Type="http://schemas.openxmlformats.org/officeDocument/2006/relationships/hyperlink" Target="https://chemicalsafety.ilo.org/dyn/icsc/showcard.display?p_card_id=0586&amp;p_lang=en" TargetMode="External"/><Relationship Id="rId3344" Type="http://schemas.openxmlformats.org/officeDocument/2006/relationships/hyperlink" Target="https://chem.echa.europa.eu/substance-search?searchText=68085-85-8" TargetMode="External"/><Relationship Id="rId265" Type="http://schemas.openxmlformats.org/officeDocument/2006/relationships/hyperlink" Target="https://chemicalsafety.ilo.org/dyn/icsc/showcard.display?p_card_id=0067&amp;p_lang=en" TargetMode="External"/><Relationship Id="rId2360" Type="http://schemas.openxmlformats.org/officeDocument/2006/relationships/hyperlink" Target="https://chem.echa.europa.eu/substance-search?searchText=7440-59-7" TargetMode="External"/><Relationship Id="rId3411" Type="http://schemas.openxmlformats.org/officeDocument/2006/relationships/hyperlink" Target="https://www.google.com/search?q=27554-26-3+SDS+safety+data+sheet+filetype:pdf" TargetMode="External"/><Relationship Id="rId6567" Type="http://schemas.openxmlformats.org/officeDocument/2006/relationships/hyperlink" Target="https://www.google.com/search?q=1717-00-6+SDS+safety+data+sheet+filetype:pdf" TargetMode="External"/><Relationship Id="rId332" Type="http://schemas.openxmlformats.org/officeDocument/2006/relationships/hyperlink" Target="https://chem.echa.europa.eu/substance-search?searchText=75-35-4" TargetMode="External"/><Relationship Id="rId2013" Type="http://schemas.openxmlformats.org/officeDocument/2006/relationships/hyperlink" Target="https://chemicalsafety.ilo.org/dyn/icsc/showcard.display?p_card_id=0511&amp;p_lang=en" TargetMode="External"/><Relationship Id="rId5169" Type="http://schemas.openxmlformats.org/officeDocument/2006/relationships/hyperlink" Target="https://chemicalsafety.ilo.org/dyn/icsc/showcard.display?p_card_id=1339&amp;p_lang=en" TargetMode="External"/><Relationship Id="rId5583" Type="http://schemas.openxmlformats.org/officeDocument/2006/relationships/hyperlink" Target="https://www.google.com/search?q=98-94-2+SDS+safety+data+sheet+filetype:pdf" TargetMode="External"/><Relationship Id="rId6634" Type="http://schemas.openxmlformats.org/officeDocument/2006/relationships/hyperlink" Target="https://chemicalsafety.ilo.org/dyn/icsc/showcard.display?p_card_id=1730&amp;p_lang=tr" TargetMode="External"/><Relationship Id="rId4185" Type="http://schemas.openxmlformats.org/officeDocument/2006/relationships/hyperlink" Target="https://chemicalsafety.ilo.org/dyn/icsc/showcard.display?p_card_id=1081&amp;p_lang=en" TargetMode="External"/><Relationship Id="rId5236" Type="http://schemas.openxmlformats.org/officeDocument/2006/relationships/hyperlink" Target="https://chem.echa.europa.eu/substance-search?searchText=7787-49-7" TargetMode="External"/><Relationship Id="rId1779" Type="http://schemas.openxmlformats.org/officeDocument/2006/relationships/hyperlink" Target="https://www.google.com/search?q=108-18-9+SDS+safety+data+sheet+filetype:pdf" TargetMode="External"/><Relationship Id="rId4252" Type="http://schemas.openxmlformats.org/officeDocument/2006/relationships/hyperlink" Target="https://chem.echa.europa.eu/substance-search?searchText=107-70-0" TargetMode="External"/><Relationship Id="rId5650" Type="http://schemas.openxmlformats.org/officeDocument/2006/relationships/hyperlink" Target="https://chemicalsafety.ilo.org/dyn/icsc/showcard.display?p_card_id=1464&amp;p_lang=tr" TargetMode="External"/><Relationship Id="rId6701" Type="http://schemas.openxmlformats.org/officeDocument/2006/relationships/hyperlink" Target="https://chemicalsafety.ilo.org/dyn/icsc/showcard.display?p_card_id=1747&amp;p_lang=en" TargetMode="External"/><Relationship Id="rId1846" Type="http://schemas.openxmlformats.org/officeDocument/2006/relationships/hyperlink" Target="https://chemicalsafety.ilo.org/dyn/icsc/showcard.display?p_card_id=0468&amp;p_lang=tr" TargetMode="External"/><Relationship Id="rId5303" Type="http://schemas.openxmlformats.org/officeDocument/2006/relationships/hyperlink" Target="https://www.google.com/search?q=85-43-8+SDS+safety+data+sheet+filetype:pdf" TargetMode="External"/><Relationship Id="rId1913" Type="http://schemas.openxmlformats.org/officeDocument/2006/relationships/hyperlink" Target="https://chemicalsafety.ilo.org/dyn/icsc/showcard.display?p_card_id=0485&amp;p_lang=en" TargetMode="External"/><Relationship Id="rId6077" Type="http://schemas.openxmlformats.org/officeDocument/2006/relationships/hyperlink" Target="https://chemicalsafety.ilo.org/dyn/icsc/showcard.display?p_card_id=1574&amp;p_lang=en" TargetMode="External"/><Relationship Id="rId6491" Type="http://schemas.openxmlformats.org/officeDocument/2006/relationships/hyperlink" Target="https://www.google.com/search?q=64-02-8+SDS+safety+data+sheet+filetype:pdf" TargetMode="External"/><Relationship Id="rId2687" Type="http://schemas.openxmlformats.org/officeDocument/2006/relationships/hyperlink" Target="https://www.google.com/search?q=99-65-0+SDS+safety+data+sheet+filetype:pdf" TargetMode="External"/><Relationship Id="rId3738" Type="http://schemas.openxmlformats.org/officeDocument/2006/relationships/hyperlink" Target="https://chemicalsafety.ilo.org/dyn/icsc/showcard.display?p_card_id=0958&amp;p_lang=tr" TargetMode="External"/><Relationship Id="rId5093" Type="http://schemas.openxmlformats.org/officeDocument/2006/relationships/hyperlink" Target="https://chemicalsafety.ilo.org/dyn/icsc/showcard.display?p_card_id=1318&amp;p_lang=en" TargetMode="External"/><Relationship Id="rId6144" Type="http://schemas.openxmlformats.org/officeDocument/2006/relationships/hyperlink" Target="https://chem.echa.europa.eu/substance-search?searchText=15978-77-5" TargetMode="External"/><Relationship Id="rId659" Type="http://schemas.openxmlformats.org/officeDocument/2006/relationships/hyperlink" Target="https://www.google.com/search?q=7783-06-4+SDS+safety+data+sheet+filetype:pdf" TargetMode="External"/><Relationship Id="rId1289" Type="http://schemas.openxmlformats.org/officeDocument/2006/relationships/hyperlink" Target="https://chemicalsafety.ilo.org/dyn/icsc/showcard.display?p_card_id=0324&amp;p_lang=en" TargetMode="External"/><Relationship Id="rId5160" Type="http://schemas.openxmlformats.org/officeDocument/2006/relationships/hyperlink" Target="https://chem.echa.europa.eu/substance-search?searchText=109-83-1" TargetMode="External"/><Relationship Id="rId6211" Type="http://schemas.openxmlformats.org/officeDocument/2006/relationships/hyperlink" Target="https://www.google.com/search?q=10294-40-3+SDS+safety+data+sheet+filetype:pdf" TargetMode="External"/><Relationship Id="rId1356" Type="http://schemas.openxmlformats.org/officeDocument/2006/relationships/hyperlink" Target="https://chem.echa.europa.eu/substance-search?searchText=823-40-5" TargetMode="External"/><Relationship Id="rId2754" Type="http://schemas.openxmlformats.org/officeDocument/2006/relationships/hyperlink" Target="https://chemicalsafety.ilo.org/dyn/icsc/showcard.display?p_card_id=0709&amp;p_lang=tr" TargetMode="External"/><Relationship Id="rId3805" Type="http://schemas.openxmlformats.org/officeDocument/2006/relationships/hyperlink" Target="https://chemicalsafety.ilo.org/dyn/icsc/showcard.display?p_card_id=0976&amp;p_lang=en" TargetMode="External"/><Relationship Id="rId726" Type="http://schemas.openxmlformats.org/officeDocument/2006/relationships/hyperlink" Target="https://chemicalsafety.ilo.org/dyn/icsc/showcard.display?p_card_id=0182&amp;p_lang=tr" TargetMode="External"/><Relationship Id="rId1009" Type="http://schemas.openxmlformats.org/officeDocument/2006/relationships/hyperlink" Target="https://chemicalsafety.ilo.org/dyn/icsc/showcard.display?p_card_id=0254&amp;p_lang=en" TargetMode="External"/><Relationship Id="rId1770" Type="http://schemas.openxmlformats.org/officeDocument/2006/relationships/hyperlink" Target="https://chemicalsafety.ilo.org/dyn/icsc/showcard.display?p_card_id=0447&amp;p_lang=tr" TargetMode="External"/><Relationship Id="rId2407" Type="http://schemas.openxmlformats.org/officeDocument/2006/relationships/hyperlink" Target="https://www.google.com/search?q=10294-34-5+SDS+safety+data+sheet+filetype:pdf" TargetMode="External"/><Relationship Id="rId2821" Type="http://schemas.openxmlformats.org/officeDocument/2006/relationships/hyperlink" Target="https://chemicalsafety.ilo.org/dyn/icsc/showcard.display?p_card_id=0726&amp;p_lang=en" TargetMode="External"/><Relationship Id="rId5977" Type="http://schemas.openxmlformats.org/officeDocument/2006/relationships/hyperlink" Target="https://chemicalsafety.ilo.org/dyn/icsc/showcard.display?p_card_id=1549&amp;p_lang=en" TargetMode="External"/><Relationship Id="rId62" Type="http://schemas.openxmlformats.org/officeDocument/2006/relationships/hyperlink" Target="https://chemicalsafety.ilo.org/dyn/icsc/showcard.display?p_card_id=0016&amp;p_lang=tr" TargetMode="External"/><Relationship Id="rId1423" Type="http://schemas.openxmlformats.org/officeDocument/2006/relationships/hyperlink" Target="https://www.google.com/search?q=1310-58-3+SDS+safety+data+sheet+filetype:pdf" TargetMode="External"/><Relationship Id="rId4579" Type="http://schemas.openxmlformats.org/officeDocument/2006/relationships/hyperlink" Target="https://www.google.com/search?q=149-30-4+SDS+safety+data+sheet+filetype:pdf" TargetMode="External"/><Relationship Id="rId4993" Type="http://schemas.openxmlformats.org/officeDocument/2006/relationships/hyperlink" Target="https://chemicalsafety.ilo.org/dyn/icsc/showcard.display?p_card_id=1291&amp;p_lang=en" TargetMode="External"/><Relationship Id="rId3595" Type="http://schemas.openxmlformats.org/officeDocument/2006/relationships/hyperlink" Target="https://www.google.com/search?q=563-80-4+SDS+safety+data+sheet+filetype:pdf" TargetMode="External"/><Relationship Id="rId4646" Type="http://schemas.openxmlformats.org/officeDocument/2006/relationships/hyperlink" Target="https://chemicalsafety.ilo.org/dyn/icsc/showcard.display?p_card_id=1203&amp;p_lang=tr" TargetMode="External"/><Relationship Id="rId2197" Type="http://schemas.openxmlformats.org/officeDocument/2006/relationships/hyperlink" Target="https://chemicalsafety.ilo.org/dyn/icsc/showcard.display?p_card_id=0561&amp;p_lang=en" TargetMode="External"/><Relationship Id="rId3248" Type="http://schemas.openxmlformats.org/officeDocument/2006/relationships/hyperlink" Target="https://chem.echa.europa.eu/substance-search?searchText=100-51-6" TargetMode="External"/><Relationship Id="rId3662" Type="http://schemas.openxmlformats.org/officeDocument/2006/relationships/hyperlink" Target="https://chemicalsafety.ilo.org/dyn/icsc/showcard.display?p_card_id=0939&amp;p_lang=tr" TargetMode="External"/><Relationship Id="rId4713" Type="http://schemas.openxmlformats.org/officeDocument/2006/relationships/hyperlink" Target="https://chemicalsafety.ilo.org/dyn/icsc/showcard.display?p_card_id=1221&amp;p_lang=en" TargetMode="External"/><Relationship Id="rId169" Type="http://schemas.openxmlformats.org/officeDocument/2006/relationships/hyperlink" Target="https://chemicalsafety.ilo.org/dyn/icsc/showcard.display?p_card_id=0043&amp;p_lang=en" TargetMode="External"/><Relationship Id="rId583" Type="http://schemas.openxmlformats.org/officeDocument/2006/relationships/hyperlink" Target="https://www.google.com/search?q=4206-61-5+SDS+safety+data+sheet+filetype:pdf" TargetMode="External"/><Relationship Id="rId2264" Type="http://schemas.openxmlformats.org/officeDocument/2006/relationships/hyperlink" Target="https://chem.echa.europa.eu/substance-search?searchText=75-46-7" TargetMode="External"/><Relationship Id="rId3315" Type="http://schemas.openxmlformats.org/officeDocument/2006/relationships/hyperlink" Target="https://www.google.com/search?q=2921-88-2+SDS+safety+data+sheet+filetype:pdf" TargetMode="External"/><Relationship Id="rId236" Type="http://schemas.openxmlformats.org/officeDocument/2006/relationships/hyperlink" Target="https://chem.echa.europa.eu/substance-search?searchText=111-76-2" TargetMode="External"/><Relationship Id="rId650" Type="http://schemas.openxmlformats.org/officeDocument/2006/relationships/hyperlink" Target="https://chemicalsafety.ilo.org/dyn/icsc/showcard.display?p_card_id=0163&amp;p_lang=tr" TargetMode="External"/><Relationship Id="rId1280" Type="http://schemas.openxmlformats.org/officeDocument/2006/relationships/hyperlink" Target="https://chem.echa.europa.eu/substance-search?searchText=57-55-6" TargetMode="External"/><Relationship Id="rId2331" Type="http://schemas.openxmlformats.org/officeDocument/2006/relationships/hyperlink" Target="https://www.google.com/search?q=57-13-6+SDS+safety+data+sheet+filetype:pdf" TargetMode="External"/><Relationship Id="rId5487" Type="http://schemas.openxmlformats.org/officeDocument/2006/relationships/hyperlink" Target="https://www.google.com/search?q=76-11-9+SDS+safety+data+sheet+filetype:pdf" TargetMode="External"/><Relationship Id="rId303" Type="http://schemas.openxmlformats.org/officeDocument/2006/relationships/hyperlink" Target="https://www.google.com/search?q=127-18-4+SDS+safety+data+sheet+filetype:pdf" TargetMode="External"/><Relationship Id="rId4089" Type="http://schemas.openxmlformats.org/officeDocument/2006/relationships/hyperlink" Target="https://chemicalsafety.ilo.org/dyn/icsc/showcard.display?p_card_id=1053&amp;p_lang=en" TargetMode="External"/><Relationship Id="rId6538" Type="http://schemas.openxmlformats.org/officeDocument/2006/relationships/hyperlink" Target="https://chemicalsafety.ilo.org/dyn/icsc/showcard.display?p_card_id=1705&amp;p_lang=tr" TargetMode="External"/><Relationship Id="rId5554" Type="http://schemas.openxmlformats.org/officeDocument/2006/relationships/hyperlink" Target="https://chemicalsafety.ilo.org/dyn/icsc/showcard.display?p_card_id=1437&amp;p_lang=tr" TargetMode="External"/><Relationship Id="rId6605" Type="http://schemas.openxmlformats.org/officeDocument/2006/relationships/hyperlink" Target="https://chemicalsafety.ilo.org/dyn/icsc/showcard.display?p_card_id=1722&amp;p_lang=en" TargetMode="External"/><Relationship Id="rId1000" Type="http://schemas.openxmlformats.org/officeDocument/2006/relationships/hyperlink" Target="https://chem.echa.europa.eu/substance-search?searchText=3209-22-1" TargetMode="External"/><Relationship Id="rId4156" Type="http://schemas.openxmlformats.org/officeDocument/2006/relationships/hyperlink" Target="https://chem.echa.europa.eu/substance-search?searchText=557-40-4" TargetMode="External"/><Relationship Id="rId4570" Type="http://schemas.openxmlformats.org/officeDocument/2006/relationships/hyperlink" Target="https://chemicalsafety.ilo.org/dyn/icsc/showcard.display?p_card_id=1181&amp;p_lang=tr" TargetMode="External"/><Relationship Id="rId5207" Type="http://schemas.openxmlformats.org/officeDocument/2006/relationships/hyperlink" Target="https://www.google.com/search?q=24800-44-0+SDS+safety+data+sheet+filetype:pdf" TargetMode="External"/><Relationship Id="rId5621" Type="http://schemas.openxmlformats.org/officeDocument/2006/relationships/hyperlink" Target="https://chemicalsafety.ilo.org/dyn/icsc/showcard.display?p_card_id=1454&amp;p_lang=en" TargetMode="External"/><Relationship Id="rId1817" Type="http://schemas.openxmlformats.org/officeDocument/2006/relationships/hyperlink" Target="https://chemicalsafety.ilo.org/dyn/icsc/showcard.display?p_card_id=0460&amp;p_lang=en" TargetMode="External"/><Relationship Id="rId3172" Type="http://schemas.openxmlformats.org/officeDocument/2006/relationships/hyperlink" Target="https://chem.echa.europa.eu/substance-search?searchText=7580-67-8" TargetMode="External"/><Relationship Id="rId4223" Type="http://schemas.openxmlformats.org/officeDocument/2006/relationships/hyperlink" Target="https://www.google.com/search?q=78-67-1+SDS+safety+data+sheet+filetype:pdf" TargetMode="External"/><Relationship Id="rId6395" Type="http://schemas.openxmlformats.org/officeDocument/2006/relationships/hyperlink" Target="https://www.google.com/search?q=96-24-2+SDS+safety+data+sheet+filetype:pdf" TargetMode="External"/><Relationship Id="rId160" Type="http://schemas.openxmlformats.org/officeDocument/2006/relationships/hyperlink" Target="https://chem.echa.europa.eu/substance-search?searchText=111-77-3" TargetMode="External"/><Relationship Id="rId3989" Type="http://schemas.openxmlformats.org/officeDocument/2006/relationships/hyperlink" Target="https://chemicalsafety.ilo.org/dyn/icsc/showcard.display?p_card_id=1028&amp;p_lang=en" TargetMode="External"/><Relationship Id="rId6048" Type="http://schemas.openxmlformats.org/officeDocument/2006/relationships/hyperlink" Target="https://chem.echa.europa.eu/substance-search?searchText=1120-36-1" TargetMode="External"/><Relationship Id="rId6462" Type="http://schemas.openxmlformats.org/officeDocument/2006/relationships/hyperlink" Target="https://chemicalsafety.ilo.org/dyn/icsc/showcard.display?p_card_id=1681&amp;p_lang=tr" TargetMode="External"/><Relationship Id="rId5064" Type="http://schemas.openxmlformats.org/officeDocument/2006/relationships/hyperlink" Target="https://chem.echa.europa.eu/substance-search?searchText=12018-01-8" TargetMode="External"/><Relationship Id="rId6115" Type="http://schemas.openxmlformats.org/officeDocument/2006/relationships/hyperlink" Target="https://www.google.com/search?q=626-17-5+SDS+safety+data+sheet+filetype:pdf" TargetMode="External"/><Relationship Id="rId977" Type="http://schemas.openxmlformats.org/officeDocument/2006/relationships/hyperlink" Target="https://chemicalsafety.ilo.org/dyn/icsc/showcard.display?p_card_id=0246&amp;p_lang=en" TargetMode="External"/><Relationship Id="rId2658" Type="http://schemas.openxmlformats.org/officeDocument/2006/relationships/hyperlink" Target="https://chemicalsafety.ilo.org/dyn/icsc/showcard.display?p_card_id=0684&amp;p_lang=tr" TargetMode="External"/><Relationship Id="rId3709" Type="http://schemas.openxmlformats.org/officeDocument/2006/relationships/hyperlink" Target="https://chemicalsafety.ilo.org/dyn/icsc/showcard.display?p_card_id=0951&amp;p_lang=en" TargetMode="External"/><Relationship Id="rId4080" Type="http://schemas.openxmlformats.org/officeDocument/2006/relationships/hyperlink" Target="https://chem.echa.europa.eu/substance-search?searchText=108-03-2" TargetMode="External"/><Relationship Id="rId1674" Type="http://schemas.openxmlformats.org/officeDocument/2006/relationships/hyperlink" Target="https://chemicalsafety.ilo.org/dyn/icsc/showcard.display?p_card_id=0423&amp;p_lang=tr" TargetMode="External"/><Relationship Id="rId2725" Type="http://schemas.openxmlformats.org/officeDocument/2006/relationships/hyperlink" Target="https://chemicalsafety.ilo.org/dyn/icsc/showcard.display?p_card_id=0702&amp;p_lang=en" TargetMode="External"/><Relationship Id="rId5131" Type="http://schemas.openxmlformats.org/officeDocument/2006/relationships/hyperlink" Target="https://www.google.com/search?q=15545-48-9+SDS+safety+data+sheet+filetype:pdf" TargetMode="External"/><Relationship Id="rId1327" Type="http://schemas.openxmlformats.org/officeDocument/2006/relationships/hyperlink" Target="https://www.google.com/search?q=78-10-4+SDS+safety+data+sheet+filetype:pdf" TargetMode="External"/><Relationship Id="rId1741" Type="http://schemas.openxmlformats.org/officeDocument/2006/relationships/hyperlink" Target="https://chemicalsafety.ilo.org/dyn/icsc/showcard.display?p_card_id=0440&amp;p_lang=en" TargetMode="External"/><Relationship Id="rId4897" Type="http://schemas.openxmlformats.org/officeDocument/2006/relationships/hyperlink" Target="https://chemicalsafety.ilo.org/dyn/icsc/showcard.display?p_card_id=1267&amp;p_lang=en" TargetMode="External"/><Relationship Id="rId5948" Type="http://schemas.openxmlformats.org/officeDocument/2006/relationships/hyperlink" Target="https://chem.echa.europa.eu/substance-search?searchText=5160-02-1" TargetMode="External"/><Relationship Id="rId33" Type="http://schemas.openxmlformats.org/officeDocument/2006/relationships/hyperlink" Target="https://chemicalsafety.ilo.org/dyn/icsc/showcard.display?p_card_id=0009&amp;p_lang=en" TargetMode="External"/><Relationship Id="rId3499" Type="http://schemas.openxmlformats.org/officeDocument/2006/relationships/hyperlink" Target="https://www.google.com/search?q=10039-54-0+SDS+safety+data+sheet+filetype:pdf" TargetMode="External"/><Relationship Id="rId3566" Type="http://schemas.openxmlformats.org/officeDocument/2006/relationships/hyperlink" Target="https://chemicalsafety.ilo.org/dyn/icsc/showcard.display?p_card_id=0915&amp;p_lang=tr" TargetMode="External"/><Relationship Id="rId4964" Type="http://schemas.openxmlformats.org/officeDocument/2006/relationships/hyperlink" Target="https://chem.echa.europa.eu/substance-search?searchText=76-87-9" TargetMode="External"/><Relationship Id="rId487" Type="http://schemas.openxmlformats.org/officeDocument/2006/relationships/hyperlink" Target="https://www.google.com/search?q=1563-66-2+SDS+safety+data+sheet+filetype:pdf" TargetMode="External"/><Relationship Id="rId2168" Type="http://schemas.openxmlformats.org/officeDocument/2006/relationships/hyperlink" Target="https://chem.echa.europa.eu/substance-search?searchText=71-23-8" TargetMode="External"/><Relationship Id="rId3219" Type="http://schemas.openxmlformats.org/officeDocument/2006/relationships/hyperlink" Target="https://www.google.com/search?q=120-12-7+SDS+safety+data+sheet+filetype:pdf" TargetMode="External"/><Relationship Id="rId3980" Type="http://schemas.openxmlformats.org/officeDocument/2006/relationships/hyperlink" Target="https://chem.echa.europa.eu/substance-search?searchText=541-41-3" TargetMode="External"/><Relationship Id="rId4617" Type="http://schemas.openxmlformats.org/officeDocument/2006/relationships/hyperlink" Target="https://chemicalsafety.ilo.org/dyn/icsc/showcard.display?p_card_id=1194&amp;p_lang=en" TargetMode="External"/><Relationship Id="rId1184" Type="http://schemas.openxmlformats.org/officeDocument/2006/relationships/hyperlink" Target="https://chem.echa.europa.eu/substance-search?searchText=75-54-7" TargetMode="External"/><Relationship Id="rId2582" Type="http://schemas.openxmlformats.org/officeDocument/2006/relationships/hyperlink" Target="https://chemicalsafety.ilo.org/dyn/icsc/showcard.display?p_card_id=0662&amp;p_lang=tr" TargetMode="External"/><Relationship Id="rId3633" Type="http://schemas.openxmlformats.org/officeDocument/2006/relationships/hyperlink" Target="https://chemicalsafety.ilo.org/dyn/icsc/showcard.display?p_card_id=0932&amp;p_lang=en" TargetMode="External"/><Relationship Id="rId6789" Type="http://schemas.openxmlformats.org/officeDocument/2006/relationships/hyperlink" Target="https://chemicalsafety.ilo.org/dyn/icsc/showcard.display?p_card_id=1770&amp;p_lang=en" TargetMode="External"/><Relationship Id="rId554" Type="http://schemas.openxmlformats.org/officeDocument/2006/relationships/hyperlink" Target="https://chemicalsafety.ilo.org/dyn/icsc/showcard.display?p_card_id=0139&amp;p_lang=tr" TargetMode="External"/><Relationship Id="rId2235" Type="http://schemas.openxmlformats.org/officeDocument/2006/relationships/hyperlink" Target="https://www.google.com/search?q=64-67-5+SDS+safety+data+sheet+filetype:pdf" TargetMode="External"/><Relationship Id="rId3700" Type="http://schemas.openxmlformats.org/officeDocument/2006/relationships/hyperlink" Target="https://chem.echa.europa.eu/substance-search?searchText=7791-23-3" TargetMode="External"/><Relationship Id="rId207" Type="http://schemas.openxmlformats.org/officeDocument/2006/relationships/hyperlink" Target="https://www.google.com/search?q=7439-92-1+SDS+safety+data+sheet+filetype:pdf" TargetMode="External"/><Relationship Id="rId621" Type="http://schemas.openxmlformats.org/officeDocument/2006/relationships/hyperlink" Target="https://chemicalsafety.ilo.org/dyn/icsc/showcard.display?p_card_id=0156&amp;p_lang=en" TargetMode="External"/><Relationship Id="rId1251" Type="http://schemas.openxmlformats.org/officeDocument/2006/relationships/hyperlink" Target="https://www.google.com/search?q=51-79-6+SDS+safety+data+sheet+filetype:pdf" TargetMode="External"/><Relationship Id="rId2302" Type="http://schemas.openxmlformats.org/officeDocument/2006/relationships/hyperlink" Target="https://chemicalsafety.ilo.org/dyn/icsc/showcard.display?p_card_id=0588&amp;p_lang=tr" TargetMode="External"/><Relationship Id="rId5458" Type="http://schemas.openxmlformats.org/officeDocument/2006/relationships/hyperlink" Target="https://chemicalsafety.ilo.org/dyn/icsc/showcard.display?p_card_id=1413&amp;p_lang=tr" TargetMode="External"/><Relationship Id="rId5872" Type="http://schemas.openxmlformats.org/officeDocument/2006/relationships/hyperlink" Target="https://chem.echa.europa.eu/substance-search?searchText=110-66-7" TargetMode="External"/><Relationship Id="rId6509" Type="http://schemas.openxmlformats.org/officeDocument/2006/relationships/hyperlink" Target="https://chemicalsafety.ilo.org/dyn/icsc/showcard.display?p_card_id=1698&amp;p_lang=en" TargetMode="External"/><Relationship Id="rId4474" Type="http://schemas.openxmlformats.org/officeDocument/2006/relationships/hyperlink" Target="https://chemicalsafety.ilo.org/dyn/icsc/showcard.display?p_card_id=1157&amp;p_lang=tr" TargetMode="External"/><Relationship Id="rId5525" Type="http://schemas.openxmlformats.org/officeDocument/2006/relationships/hyperlink" Target="https://chemicalsafety.ilo.org/dyn/icsc/showcard.display?p_card_id=1430&amp;p_lang=en" TargetMode="External"/><Relationship Id="rId3076" Type="http://schemas.openxmlformats.org/officeDocument/2006/relationships/hyperlink" Target="https://chem.echa.europa.eu/substance-search?searchText=124-17-4" TargetMode="External"/><Relationship Id="rId3490" Type="http://schemas.openxmlformats.org/officeDocument/2006/relationships/hyperlink" Target="https://chemicalsafety.ilo.org/dyn/icsc/showcard.display?p_card_id=0896&amp;p_lang=tr" TargetMode="External"/><Relationship Id="rId4127" Type="http://schemas.openxmlformats.org/officeDocument/2006/relationships/hyperlink" Target="https://www.google.com/search?q=8006-64-2+SDS+safety+data+sheet+filetype:pdf" TargetMode="External"/><Relationship Id="rId4541" Type="http://schemas.openxmlformats.org/officeDocument/2006/relationships/hyperlink" Target="https://chemicalsafety.ilo.org/dyn/icsc/showcard.display?p_card_id=1174&amp;p_lang=en" TargetMode="External"/><Relationship Id="rId2092" Type="http://schemas.openxmlformats.org/officeDocument/2006/relationships/hyperlink" Target="https://chem.echa.europa.eu/substance-search?searchText=123-54-6" TargetMode="External"/><Relationship Id="rId3143" Type="http://schemas.openxmlformats.org/officeDocument/2006/relationships/hyperlink" Target="https://www.google.com/search?q=79-09-4+SDS+safety+data+sheet+filetype:pdf" TargetMode="External"/><Relationship Id="rId6299" Type="http://schemas.openxmlformats.org/officeDocument/2006/relationships/hyperlink" Target="https://www.google.com/search?q=131-74-8+SDS+safety+data+sheet+filetype:pdf" TargetMode="External"/><Relationship Id="rId131" Type="http://schemas.openxmlformats.org/officeDocument/2006/relationships/hyperlink" Target="https://www.google.com/search?q=94-75-7+SDS+safety+data+sheet+filetype:pdf" TargetMode="External"/><Relationship Id="rId3210" Type="http://schemas.openxmlformats.org/officeDocument/2006/relationships/hyperlink" Target="https://chemicalsafety.ilo.org/dyn/icsc/showcard.display?p_card_id=0823&amp;p_lang=tr" TargetMode="External"/><Relationship Id="rId6366" Type="http://schemas.openxmlformats.org/officeDocument/2006/relationships/hyperlink" Target="https://chemicalsafety.ilo.org/dyn/icsc/showcard.display?p_card_id=1654&amp;p_lang=tr" TargetMode="External"/><Relationship Id="rId6780" Type="http://schemas.openxmlformats.org/officeDocument/2006/relationships/hyperlink" Target="https://chem.echa.europa.eu/substance-search?searchText=96182-53-5" TargetMode="External"/><Relationship Id="rId2976" Type="http://schemas.openxmlformats.org/officeDocument/2006/relationships/hyperlink" Target="https://chem.echa.europa.eu/substance-search?searchText=7786-30-3" TargetMode="External"/><Relationship Id="rId5382" Type="http://schemas.openxmlformats.org/officeDocument/2006/relationships/hyperlink" Target="https://chemicalsafety.ilo.org/dyn/icsc/showcard.display?p_card_id=1393&amp;p_lang=tr" TargetMode="External"/><Relationship Id="rId6019" Type="http://schemas.openxmlformats.org/officeDocument/2006/relationships/hyperlink" Target="https://www.google.com/search?q=9004-62-0+SDS+safety+data+sheet+filetype:pdf" TargetMode="External"/><Relationship Id="rId6433" Type="http://schemas.openxmlformats.org/officeDocument/2006/relationships/hyperlink" Target="https://chemicalsafety.ilo.org/dyn/icsc/showcard.display?p_card_id=1674&amp;p_lang=en" TargetMode="External"/><Relationship Id="rId948" Type="http://schemas.openxmlformats.org/officeDocument/2006/relationships/hyperlink" Target="https://chem.echa.europa.eu/substance-search?searchText=107-30-2" TargetMode="External"/><Relationship Id="rId1578" Type="http://schemas.openxmlformats.org/officeDocument/2006/relationships/hyperlink" Target="https://chemicalsafety.ilo.org/dyn/icsc/showcard.display?p_card_id=0398&amp;p_lang=tr" TargetMode="External"/><Relationship Id="rId1992" Type="http://schemas.openxmlformats.org/officeDocument/2006/relationships/hyperlink" Target="https://chem.echa.europa.eu/substance-search?searchText=1309-48-4" TargetMode="External"/><Relationship Id="rId2629" Type="http://schemas.openxmlformats.org/officeDocument/2006/relationships/hyperlink" Target="https://chemicalsafety.ilo.org/dyn/icsc/showcard.display?p_card_id=0675&amp;p_lang=en" TargetMode="External"/><Relationship Id="rId5035" Type="http://schemas.openxmlformats.org/officeDocument/2006/relationships/hyperlink" Target="https://www.google.com/search?q=26471-62-5+SDS+safety+data+sheet+filetype:pdf" TargetMode="External"/><Relationship Id="rId6500" Type="http://schemas.openxmlformats.org/officeDocument/2006/relationships/hyperlink" Target="https://chem.echa.europa.eu/substance-search?searchText=1633-05-2" TargetMode="External"/><Relationship Id="rId1645" Type="http://schemas.openxmlformats.org/officeDocument/2006/relationships/hyperlink" Target="https://chemicalsafety.ilo.org/dyn/icsc/showcard.display?p_card_id=0416&amp;p_lang=en" TargetMode="External"/><Relationship Id="rId4051" Type="http://schemas.openxmlformats.org/officeDocument/2006/relationships/hyperlink" Target="https://www.google.com/search?q=9003-53-6+SDS+safety+data+sheet+filetype:pdf" TargetMode="External"/><Relationship Id="rId5102" Type="http://schemas.openxmlformats.org/officeDocument/2006/relationships/hyperlink" Target="https://chemicalsafety.ilo.org/dyn/icsc/showcard.display?p_card_id=1320&amp;p_lang=tr" TargetMode="External"/><Relationship Id="rId1712" Type="http://schemas.openxmlformats.org/officeDocument/2006/relationships/hyperlink" Target="https://chem.echa.europa.eu/substance-search?searchText=19287-45-7" TargetMode="External"/><Relationship Id="rId4868" Type="http://schemas.openxmlformats.org/officeDocument/2006/relationships/hyperlink" Target="https://chem.echa.europa.eu/substance-search?searchText=78-85-3" TargetMode="External"/><Relationship Id="rId5919" Type="http://schemas.openxmlformats.org/officeDocument/2006/relationships/hyperlink" Target="https://www.google.com/search?q=1189-85-1+SDS+safety+data+sheet+filetype:pdf" TargetMode="External"/><Relationship Id="rId6290" Type="http://schemas.openxmlformats.org/officeDocument/2006/relationships/hyperlink" Target="https://chemicalsafety.ilo.org/dyn/icsc/showcard.display?p_card_id=1628&amp;p_lang=tr" TargetMode="External"/><Relationship Id="rId3884" Type="http://schemas.openxmlformats.org/officeDocument/2006/relationships/hyperlink" Target="https://chem.echa.europa.eu/substance-search?searchText=598-63-0" TargetMode="External"/><Relationship Id="rId4935" Type="http://schemas.openxmlformats.org/officeDocument/2006/relationships/hyperlink" Target="https://www.google.com/search?q=91-57-6+SDS+safety+data+sheet+filetype:pdf" TargetMode="External"/><Relationship Id="rId2486" Type="http://schemas.openxmlformats.org/officeDocument/2006/relationships/hyperlink" Target="https://chemicalsafety.ilo.org/dyn/icsc/showcard.display?p_card_id=0636&amp;p_lang=tr" TargetMode="External"/><Relationship Id="rId3537" Type="http://schemas.openxmlformats.org/officeDocument/2006/relationships/hyperlink" Target="https://chemicalsafety.ilo.org/dyn/icsc/showcard.display?p_card_id=0908&amp;p_lang=en" TargetMode="External"/><Relationship Id="rId3951" Type="http://schemas.openxmlformats.org/officeDocument/2006/relationships/hyperlink" Target="https://www.google.com/search?q=97-88-1+SDS+safety+data+sheet+filetype:pdf" TargetMode="External"/><Relationship Id="rId458" Type="http://schemas.openxmlformats.org/officeDocument/2006/relationships/hyperlink" Target="https://chemicalsafety.ilo.org/dyn/icsc/showcard.display?p_card_id=0115&amp;p_lang=tr" TargetMode="External"/><Relationship Id="rId872" Type="http://schemas.openxmlformats.org/officeDocument/2006/relationships/hyperlink" Target="https://chem.echa.europa.eu/substance-search?searchText=626-38-0" TargetMode="External"/><Relationship Id="rId1088" Type="http://schemas.openxmlformats.org/officeDocument/2006/relationships/hyperlink" Target="https://chem.echa.europa.eu/substance-search?searchText=51630-58-1" TargetMode="External"/><Relationship Id="rId2139" Type="http://schemas.openxmlformats.org/officeDocument/2006/relationships/hyperlink" Target="https://www.google.com/search?q=1314-56-3+SDS+safety+data+sheet+filetype:pdf" TargetMode="External"/><Relationship Id="rId2553" Type="http://schemas.openxmlformats.org/officeDocument/2006/relationships/hyperlink" Target="https://chemicalsafety.ilo.org/dyn/icsc/showcard.display?p_card_id=0655&amp;p_lang=en" TargetMode="External"/><Relationship Id="rId3604" Type="http://schemas.openxmlformats.org/officeDocument/2006/relationships/hyperlink" Target="https://chem.echa.europa.eu/substance-search?searchText=7786-34-7" TargetMode="External"/><Relationship Id="rId6010" Type="http://schemas.openxmlformats.org/officeDocument/2006/relationships/hyperlink" Target="https://chemicalsafety.ilo.org/dyn/icsc/showcard.display?p_card_id=1557&amp;p_lang=tr" TargetMode="External"/><Relationship Id="rId525" Type="http://schemas.openxmlformats.org/officeDocument/2006/relationships/hyperlink" Target="https://chemicalsafety.ilo.org/dyn/icsc/showcard.display?p_card_id=0132&amp;p_lang=en" TargetMode="External"/><Relationship Id="rId1155" Type="http://schemas.openxmlformats.org/officeDocument/2006/relationships/hyperlink" Target="https://www.google.com/search?q=10034-96-5+SDS+safety+data+sheet+filetype:pdf" TargetMode="External"/><Relationship Id="rId2206" Type="http://schemas.openxmlformats.org/officeDocument/2006/relationships/hyperlink" Target="https://chemicalsafety.ilo.org/dyn/icsc/showcard.display?p_card_id=0563&amp;p_lang=tr" TargetMode="External"/><Relationship Id="rId2620" Type="http://schemas.openxmlformats.org/officeDocument/2006/relationships/hyperlink" Target="https://chem.echa.europa.eu/substance-search?searchText=7722-64-7" TargetMode="External"/><Relationship Id="rId5776" Type="http://schemas.openxmlformats.org/officeDocument/2006/relationships/hyperlink" Target="https://chem.echa.europa.eu/substance-search?searchText=110-61-2" TargetMode="External"/><Relationship Id="rId1222" Type="http://schemas.openxmlformats.org/officeDocument/2006/relationships/hyperlink" Target="https://chemicalsafety.ilo.org/dyn/icsc/showcard.display?p_card_id=0307&amp;p_lang=tr" TargetMode="External"/><Relationship Id="rId4378" Type="http://schemas.openxmlformats.org/officeDocument/2006/relationships/hyperlink" Target="https://chemicalsafety.ilo.org/dyn/icsc/showcard.display?p_card_id=1133&amp;p_lang=tr" TargetMode="External"/><Relationship Id="rId5429" Type="http://schemas.openxmlformats.org/officeDocument/2006/relationships/hyperlink" Target="https://chemicalsafety.ilo.org/dyn/icsc/showcard.display?p_card_id=1406&amp;p_lang=en" TargetMode="External"/><Relationship Id="rId6827" Type="http://schemas.openxmlformats.org/officeDocument/2006/relationships/hyperlink" Target="https://www.google.com/search?q=116-14-3+SDS+safety+data+sheet+filetype:pdf" TargetMode="External"/><Relationship Id="rId3394" Type="http://schemas.openxmlformats.org/officeDocument/2006/relationships/hyperlink" Target="https://chemicalsafety.ilo.org/dyn/icsc/showcard.display?p_card_id=0872&amp;p_lang=tr" TargetMode="External"/><Relationship Id="rId4792" Type="http://schemas.openxmlformats.org/officeDocument/2006/relationships/hyperlink" Target="https://chem.echa.europa.eu/substance-search?searchText=5064-31-3" TargetMode="External"/><Relationship Id="rId5843" Type="http://schemas.openxmlformats.org/officeDocument/2006/relationships/hyperlink" Target="https://www.google.com/search?q=1300-72-7+SDS+safety+data+sheet+filetype:pdf" TargetMode="External"/><Relationship Id="rId3047" Type="http://schemas.openxmlformats.org/officeDocument/2006/relationships/hyperlink" Target="https://www.google.com/search?q=7440-48-4+SDS+safety+data+sheet+filetype:pdf" TargetMode="External"/><Relationship Id="rId4445" Type="http://schemas.openxmlformats.org/officeDocument/2006/relationships/hyperlink" Target="https://chemicalsafety.ilo.org/dyn/icsc/showcard.display?p_card_id=1150&amp;p_lang=en" TargetMode="External"/><Relationship Id="rId5910" Type="http://schemas.openxmlformats.org/officeDocument/2006/relationships/hyperlink" Target="https://chemicalsafety.ilo.org/dyn/icsc/showcard.display?p_card_id=1531&amp;p_lang=tr" TargetMode="External"/><Relationship Id="rId3461" Type="http://schemas.openxmlformats.org/officeDocument/2006/relationships/hyperlink" Target="https://chemicalsafety.ilo.org/dyn/icsc/showcard.display?p_card_id=0889&amp;p_lang=en" TargetMode="External"/><Relationship Id="rId4512" Type="http://schemas.openxmlformats.org/officeDocument/2006/relationships/hyperlink" Target="https://chem.echa.europa.eu/substance-search?searchText=7704-34-9" TargetMode="External"/><Relationship Id="rId382" Type="http://schemas.openxmlformats.org/officeDocument/2006/relationships/hyperlink" Target="https://chemicalsafety.ilo.org/dyn/icsc/showcard.display?p_card_id=0096&amp;p_lang=tr" TargetMode="External"/><Relationship Id="rId2063" Type="http://schemas.openxmlformats.org/officeDocument/2006/relationships/hyperlink" Target="https://www.google.com/search?q=86-30-6+SDS+safety+data+sheet+filetype:pdf" TargetMode="External"/><Relationship Id="rId3114" Type="http://schemas.openxmlformats.org/officeDocument/2006/relationships/hyperlink" Target="https://chemicalsafety.ilo.org/dyn/icsc/showcard.display?p_card_id=0799&amp;p_lang=tr" TargetMode="External"/><Relationship Id="rId6684" Type="http://schemas.openxmlformats.org/officeDocument/2006/relationships/hyperlink" Target="https://chem.echa.europa.eu/substance-search?searchText=25584-83-2" TargetMode="External"/><Relationship Id="rId2130" Type="http://schemas.openxmlformats.org/officeDocument/2006/relationships/hyperlink" Target="https://chemicalsafety.ilo.org/dyn/icsc/showcard.display?p_card_id=0543&amp;p_lang=tr" TargetMode="External"/><Relationship Id="rId5286" Type="http://schemas.openxmlformats.org/officeDocument/2006/relationships/hyperlink" Target="https://chemicalsafety.ilo.org/dyn/icsc/showcard.display?p_card_id=1368&amp;p_lang=tr" TargetMode="External"/><Relationship Id="rId6337" Type="http://schemas.openxmlformats.org/officeDocument/2006/relationships/hyperlink" Target="https://chemicalsafety.ilo.org/dyn/icsc/showcard.display?p_card_id=1642&amp;p_lang=en" TargetMode="External"/><Relationship Id="rId6751" Type="http://schemas.openxmlformats.org/officeDocument/2006/relationships/hyperlink" Target="https://www.google.com/search?q=556-82-1+SDS+safety+data+sheet+filetype:pdf" TargetMode="External"/><Relationship Id="rId102" Type="http://schemas.openxmlformats.org/officeDocument/2006/relationships/hyperlink" Target="https://chemicalsafety.ilo.org/dyn/icsc/showcard.display?p_card_id=0026&amp;p_lang=tr" TargetMode="External"/><Relationship Id="rId5353" Type="http://schemas.openxmlformats.org/officeDocument/2006/relationships/hyperlink" Target="https://chemicalsafety.ilo.org/dyn/icsc/showcard.display?p_card_id=1386&amp;p_lang=en" TargetMode="External"/><Relationship Id="rId6404" Type="http://schemas.openxmlformats.org/officeDocument/2006/relationships/hyperlink" Target="https://chem.echa.europa.eu/substance-search?searchText=91-95-2" TargetMode="External"/><Relationship Id="rId1896" Type="http://schemas.openxmlformats.org/officeDocument/2006/relationships/hyperlink" Target="https://chem.echa.europa.eu/substance-search?searchText=100-74-3" TargetMode="External"/><Relationship Id="rId2947" Type="http://schemas.openxmlformats.org/officeDocument/2006/relationships/hyperlink" Target="https://www.google.com/search?q=137-26-8+SDS+safety+data+sheet+filetype:pdf" TargetMode="External"/><Relationship Id="rId5006" Type="http://schemas.openxmlformats.org/officeDocument/2006/relationships/hyperlink" Target="https://chemicalsafety.ilo.org/dyn/icsc/showcard.display?p_card_id=1294&amp;p_lang=tr" TargetMode="External"/><Relationship Id="rId919" Type="http://schemas.openxmlformats.org/officeDocument/2006/relationships/hyperlink" Target="https://www.google.com/search?q=7637-07-2+SDS+safety+data+sheet+filetype:pdf" TargetMode="External"/><Relationship Id="rId1549" Type="http://schemas.openxmlformats.org/officeDocument/2006/relationships/hyperlink" Target="https://chemicalsafety.ilo.org/dyn/icsc/showcard.display?p_card_id=0390&amp;p_lang=en" TargetMode="External"/><Relationship Id="rId1963" Type="http://schemas.openxmlformats.org/officeDocument/2006/relationships/hyperlink" Target="https://www.google.com/search?q=26952-21-6+SDS+safety+data+sheet+filetype:pdf" TargetMode="External"/><Relationship Id="rId4022" Type="http://schemas.openxmlformats.org/officeDocument/2006/relationships/hyperlink" Target="https://chemicalsafety.ilo.org/dyn/icsc/showcard.display?p_card_id=1036&amp;p_lang=tr" TargetMode="External"/><Relationship Id="rId5420" Type="http://schemas.openxmlformats.org/officeDocument/2006/relationships/hyperlink" Target="https://chem.echa.europa.eu/substance-search?searchText=557-04-0" TargetMode="External"/><Relationship Id="rId1616" Type="http://schemas.openxmlformats.org/officeDocument/2006/relationships/hyperlink" Target="https://chem.echa.europa.eu/substance-search?searchText=592-01-8" TargetMode="External"/><Relationship Id="rId3788" Type="http://schemas.openxmlformats.org/officeDocument/2006/relationships/hyperlink" Target="https://chem.echa.europa.eu/substance-search?searchText=90-04-0" TargetMode="External"/><Relationship Id="rId4839" Type="http://schemas.openxmlformats.org/officeDocument/2006/relationships/hyperlink" Target="https://www.google.com/search?q=99387-89-0+SDS+safety+data+sheet+filetype:pdf" TargetMode="External"/><Relationship Id="rId6194" Type="http://schemas.openxmlformats.org/officeDocument/2006/relationships/hyperlink" Target="https://chemicalsafety.ilo.org/dyn/icsc/showcard.display?p_card_id=1603&amp;p_lang=tr" TargetMode="External"/><Relationship Id="rId3855" Type="http://schemas.openxmlformats.org/officeDocument/2006/relationships/hyperlink" Target="https://www.google.com/search?q=7429-90-5+SDS+safety+data+sheet+filetype:pdf" TargetMode="External"/><Relationship Id="rId6261" Type="http://schemas.openxmlformats.org/officeDocument/2006/relationships/hyperlink" Target="https://chemicalsafety.ilo.org/dyn/icsc/showcard.display?p_card_id=1620&amp;p_lang=en" TargetMode="External"/><Relationship Id="rId776" Type="http://schemas.openxmlformats.org/officeDocument/2006/relationships/hyperlink" Target="https://chem.echa.europa.eu/substance-search?searchText=ROCK+WOOL" TargetMode="External"/><Relationship Id="rId2457" Type="http://schemas.openxmlformats.org/officeDocument/2006/relationships/hyperlink" Target="https://chemicalsafety.ilo.org/dyn/icsc/showcard.display?p_card_id=0629&amp;p_lang=en" TargetMode="External"/><Relationship Id="rId3508" Type="http://schemas.openxmlformats.org/officeDocument/2006/relationships/hyperlink" Target="https://chem.echa.europa.eu/substance-search?searchText=1689-83-4" TargetMode="External"/><Relationship Id="rId4906" Type="http://schemas.openxmlformats.org/officeDocument/2006/relationships/hyperlink" Target="https://chemicalsafety.ilo.org/dyn/icsc/showcard.display?p_card_id=1269&amp;p_lang=tr" TargetMode="External"/><Relationship Id="rId429" Type="http://schemas.openxmlformats.org/officeDocument/2006/relationships/hyperlink" Target="https://chemicalsafety.ilo.org/dyn/icsc/showcard.display?p_card_id=0108&amp;p_lang=en" TargetMode="External"/><Relationship Id="rId1059" Type="http://schemas.openxmlformats.org/officeDocument/2006/relationships/hyperlink" Target="https://www.google.com/search?q=74-84-0+SDS+safety+data+sheet+filetype:pdf" TargetMode="External"/><Relationship Id="rId1473" Type="http://schemas.openxmlformats.org/officeDocument/2006/relationships/hyperlink" Target="https://chemicalsafety.ilo.org/dyn/icsc/showcard.display?p_card_id=0371&amp;p_lang=en" TargetMode="External"/><Relationship Id="rId2871" Type="http://schemas.openxmlformats.org/officeDocument/2006/relationships/hyperlink" Target="https://www.google.com/search?q=10025-69-1+SDS+safety+data+sheet+filetype:pdf" TargetMode="External"/><Relationship Id="rId3922" Type="http://schemas.openxmlformats.org/officeDocument/2006/relationships/hyperlink" Target="https://chemicalsafety.ilo.org/dyn/icsc/showcard.display?p_card_id=1010&amp;p_lang=tr" TargetMode="External"/><Relationship Id="rId843" Type="http://schemas.openxmlformats.org/officeDocument/2006/relationships/hyperlink" Target="https://www.google.com/search?q=584-79-2+SDS+safety+data+sheet+filetype:pdf" TargetMode="External"/><Relationship Id="rId1126" Type="http://schemas.openxmlformats.org/officeDocument/2006/relationships/hyperlink" Target="https://chemicalsafety.ilo.org/dyn/icsc/showcard.display?p_card_id=0283&amp;p_lang=tr" TargetMode="External"/><Relationship Id="rId2524" Type="http://schemas.openxmlformats.org/officeDocument/2006/relationships/hyperlink" Target="https://chem.echa.europa.eu/substance-search?searchText=123-42-2" TargetMode="External"/><Relationship Id="rId910" Type="http://schemas.openxmlformats.org/officeDocument/2006/relationships/hyperlink" Target="https://chemicalsafety.ilo.org/dyn/icsc/showcard.display?p_card_id=0229&amp;p_lang=tr" TargetMode="External"/><Relationship Id="rId1540" Type="http://schemas.openxmlformats.org/officeDocument/2006/relationships/hyperlink" Target="https://chem.echa.europa.eu/substance-search?searchText=121-54-0" TargetMode="External"/><Relationship Id="rId4696" Type="http://schemas.openxmlformats.org/officeDocument/2006/relationships/hyperlink" Target="https://chem.echa.europa.eu/substance-search?searchText=382-21-8" TargetMode="External"/><Relationship Id="rId5747" Type="http://schemas.openxmlformats.org/officeDocument/2006/relationships/hyperlink" Target="https://www.google.com/search?q=112-30-1+SDS+safety+data+sheet+filetype:pdf" TargetMode="External"/><Relationship Id="rId3298" Type="http://schemas.openxmlformats.org/officeDocument/2006/relationships/hyperlink" Target="https://chemicalsafety.ilo.org/dyn/icsc/showcard.display?p_card_id=0847&amp;p_lang=tr" TargetMode="External"/><Relationship Id="rId4349" Type="http://schemas.openxmlformats.org/officeDocument/2006/relationships/hyperlink" Target="https://chemicalsafety.ilo.org/dyn/icsc/showcard.display?p_card_id=1125&amp;p_lang=en" TargetMode="External"/><Relationship Id="rId4763" Type="http://schemas.openxmlformats.org/officeDocument/2006/relationships/hyperlink" Target="https://www.google.com/search?q=16961-83-4+SDS+safety+data+sheet+filetype:pdf" TargetMode="External"/><Relationship Id="rId5814" Type="http://schemas.openxmlformats.org/officeDocument/2006/relationships/hyperlink" Target="https://chemicalsafety.ilo.org/dyn/icsc/showcard.display?p_card_id=1507&amp;p_lang=tr" TargetMode="External"/><Relationship Id="rId3365" Type="http://schemas.openxmlformats.org/officeDocument/2006/relationships/hyperlink" Target="https://chemicalsafety.ilo.org/dyn/icsc/showcard.display?p_card_id=0865&amp;p_lang=en" TargetMode="External"/><Relationship Id="rId4416" Type="http://schemas.openxmlformats.org/officeDocument/2006/relationships/hyperlink" Target="https://chem.echa.europa.eu/substance-search?searchText=136-78-7" TargetMode="External"/><Relationship Id="rId4830" Type="http://schemas.openxmlformats.org/officeDocument/2006/relationships/hyperlink" Target="https://chemicalsafety.ilo.org/dyn/icsc/showcard.display?p_card_id=1250&amp;p_lang=tr" TargetMode="External"/><Relationship Id="rId286" Type="http://schemas.openxmlformats.org/officeDocument/2006/relationships/hyperlink" Target="https://chemicalsafety.ilo.org/dyn/icsc/showcard.display?p_card_id=0072&amp;p_lang=tr" TargetMode="External"/><Relationship Id="rId2381" Type="http://schemas.openxmlformats.org/officeDocument/2006/relationships/hyperlink" Target="https://chemicalsafety.ilo.org/dyn/icsc/showcard.display?p_card_id=0610&amp;p_lang=en" TargetMode="External"/><Relationship Id="rId3018" Type="http://schemas.openxmlformats.org/officeDocument/2006/relationships/hyperlink" Target="https://chemicalsafety.ilo.org/dyn/icsc/showcard.display?p_card_id=0775&amp;p_lang=tr" TargetMode="External"/><Relationship Id="rId3432" Type="http://schemas.openxmlformats.org/officeDocument/2006/relationships/hyperlink" Target="https://chem.echa.europa.eu/substance-search?searchText=39300-45-3" TargetMode="External"/><Relationship Id="rId6588" Type="http://schemas.openxmlformats.org/officeDocument/2006/relationships/hyperlink" Target="https://chem.echa.europa.eu/substance-search?searchText=7775-14-6" TargetMode="External"/><Relationship Id="rId353" Type="http://schemas.openxmlformats.org/officeDocument/2006/relationships/hyperlink" Target="https://chemicalsafety.ilo.org/dyn/icsc/showcard.display?p_card_id=0089&amp;p_lang=en" TargetMode="External"/><Relationship Id="rId2034" Type="http://schemas.openxmlformats.org/officeDocument/2006/relationships/hyperlink" Target="https://chemicalsafety.ilo.org/dyn/icsc/showcard.display?p_card_id=0518&amp;p_lang=tr" TargetMode="External"/><Relationship Id="rId420" Type="http://schemas.openxmlformats.org/officeDocument/2006/relationships/hyperlink" Target="https://chem.echa.europa.eu/substance-search?searchText=98-07-7" TargetMode="External"/><Relationship Id="rId1050" Type="http://schemas.openxmlformats.org/officeDocument/2006/relationships/hyperlink" Target="https://chemicalsafety.ilo.org/dyn/icsc/showcard.display?p_card_id=0264&amp;p_lang=tr" TargetMode="External"/><Relationship Id="rId2101" Type="http://schemas.openxmlformats.org/officeDocument/2006/relationships/hyperlink" Target="https://chemicalsafety.ilo.org/dyn/icsc/showcard.display?p_card_id=0536&amp;p_lang=en" TargetMode="External"/><Relationship Id="rId5257" Type="http://schemas.openxmlformats.org/officeDocument/2006/relationships/hyperlink" Target="https://chemicalsafety.ilo.org/dyn/icsc/showcard.display?p_card_id=1361&amp;p_lang=en" TargetMode="External"/><Relationship Id="rId6655" Type="http://schemas.openxmlformats.org/officeDocument/2006/relationships/hyperlink" Target="https://www.google.com/search?q=25339-53-1+SDS+safety+data+sheet+filetype:pdf" TargetMode="External"/><Relationship Id="rId5671" Type="http://schemas.openxmlformats.org/officeDocument/2006/relationships/hyperlink" Target="https://www.google.com/search?q=7758-29-4+SDS+safety+data+sheet+filetype:pdf" TargetMode="External"/><Relationship Id="rId6308" Type="http://schemas.openxmlformats.org/officeDocument/2006/relationships/hyperlink" Target="https://chem.echa.europa.eu/substance-search?searchText=121-73-3" TargetMode="External"/><Relationship Id="rId6722" Type="http://schemas.openxmlformats.org/officeDocument/2006/relationships/hyperlink" Target="https://chemicalsafety.ilo.org/dyn/icsc/showcard.display?p_card_id=1752&amp;p_lang=tr" TargetMode="External"/><Relationship Id="rId1867" Type="http://schemas.openxmlformats.org/officeDocument/2006/relationships/hyperlink" Target="https://www.google.com/search?q=16219-75-3+SDS+safety+data+sheet+filetype:pdf" TargetMode="External"/><Relationship Id="rId2918" Type="http://schemas.openxmlformats.org/officeDocument/2006/relationships/hyperlink" Target="https://chemicalsafety.ilo.org/dyn/icsc/showcard.display?p_card_id=0750&amp;p_lang=tr" TargetMode="External"/><Relationship Id="rId4273" Type="http://schemas.openxmlformats.org/officeDocument/2006/relationships/hyperlink" Target="https://chemicalsafety.ilo.org/dyn/icsc/showcard.display?p_card_id=1106&amp;p_lang=en" TargetMode="External"/><Relationship Id="rId5324" Type="http://schemas.openxmlformats.org/officeDocument/2006/relationships/hyperlink" Target="https://chem.echa.europa.eu/substance-search?searchText=10025-82-8" TargetMode="External"/><Relationship Id="rId1934" Type="http://schemas.openxmlformats.org/officeDocument/2006/relationships/hyperlink" Target="https://chemicalsafety.ilo.org/dyn/icsc/showcard.display?p_card_id=0490&amp;p_lang=tr" TargetMode="External"/><Relationship Id="rId4340" Type="http://schemas.openxmlformats.org/officeDocument/2006/relationships/hyperlink" Target="https://chem.echa.europa.eu/substance-search?searchText=88-06-2" TargetMode="External"/><Relationship Id="rId6098" Type="http://schemas.openxmlformats.org/officeDocument/2006/relationships/hyperlink" Target="https://chemicalsafety.ilo.org/dyn/icsc/showcard.display?p_card_id=1579&amp;p_lang=tr" TargetMode="External"/><Relationship Id="rId6165" Type="http://schemas.openxmlformats.org/officeDocument/2006/relationships/hyperlink" Target="https://chemicalsafety.ilo.org/dyn/icsc/showcard.display?p_card_id=1596&amp;p_lang=en" TargetMode="External"/><Relationship Id="rId3759" Type="http://schemas.openxmlformats.org/officeDocument/2006/relationships/hyperlink" Target="https://www.google.com/search?q=64700-56-7+SDS+safety+data+sheet+filetype:pdf" TargetMode="External"/><Relationship Id="rId5181" Type="http://schemas.openxmlformats.org/officeDocument/2006/relationships/hyperlink" Target="https://chemicalsafety.ilo.org/dyn/icsc/showcard.display?p_card_id=1342&amp;p_lang=en" TargetMode="External"/><Relationship Id="rId6232" Type="http://schemas.openxmlformats.org/officeDocument/2006/relationships/hyperlink" Target="https://chem.echa.europa.eu/substance-search?searchText=32534-81-9" TargetMode="External"/><Relationship Id="rId2775" Type="http://schemas.openxmlformats.org/officeDocument/2006/relationships/hyperlink" Target="https://www.google.com/search?q=7778-74-7+SDS+safety+data+sheet+filetype:pdf" TargetMode="External"/><Relationship Id="rId3826" Type="http://schemas.openxmlformats.org/officeDocument/2006/relationships/hyperlink" Target="https://chemicalsafety.ilo.org/dyn/icsc/showcard.display?p_card_id=0981&amp;p_lang=tr" TargetMode="External"/><Relationship Id="rId747" Type="http://schemas.openxmlformats.org/officeDocument/2006/relationships/hyperlink" Target="https://www.google.com/search?q=79-46-9+SDS+safety+data+sheet+filetype:pdf" TargetMode="External"/><Relationship Id="rId1377" Type="http://schemas.openxmlformats.org/officeDocument/2006/relationships/hyperlink" Target="https://chemicalsafety.ilo.org/dyn/icsc/showcard.display?p_card_id=0346&amp;p_lang=en" TargetMode="External"/><Relationship Id="rId1791" Type="http://schemas.openxmlformats.org/officeDocument/2006/relationships/hyperlink" Target="https://www.google.com/search?q=95-64-7+SDS+safety+data+sheet+filetype:pdf" TargetMode="External"/><Relationship Id="rId2428" Type="http://schemas.openxmlformats.org/officeDocument/2006/relationships/hyperlink" Target="https://chem.echa.europa.eu/substance-search?searchText=123-05-7" TargetMode="External"/><Relationship Id="rId2842" Type="http://schemas.openxmlformats.org/officeDocument/2006/relationships/hyperlink" Target="https://chemicalsafety.ilo.org/dyn/icsc/showcard.display?p_card_id=0731&amp;p_lang=tr" TargetMode="External"/><Relationship Id="rId5998" Type="http://schemas.openxmlformats.org/officeDocument/2006/relationships/hyperlink" Target="https://chemicalsafety.ilo.org/dyn/icsc/showcard.display?p_card_id=1554&amp;p_lang=tr" TargetMode="External"/><Relationship Id="rId83" Type="http://schemas.openxmlformats.org/officeDocument/2006/relationships/hyperlink" Target="https://www.google.com/search?q=124-38-9+SDS+safety+data+sheet+filetype:pdf" TargetMode="External"/><Relationship Id="rId814" Type="http://schemas.openxmlformats.org/officeDocument/2006/relationships/hyperlink" Target="https://chemicalsafety.ilo.org/dyn/icsc/showcard.display?p_card_id=0204&amp;p_lang=tr" TargetMode="External"/><Relationship Id="rId1444" Type="http://schemas.openxmlformats.org/officeDocument/2006/relationships/hyperlink" Target="https://chem.echa.europa.eu/substance-search?searchText=7664-93-9" TargetMode="External"/><Relationship Id="rId1511" Type="http://schemas.openxmlformats.org/officeDocument/2006/relationships/hyperlink" Target="https://www.google.com/search?q=123-77-3+SDS+safety+data+sheet+filetype:pdf" TargetMode="External"/><Relationship Id="rId4667" Type="http://schemas.openxmlformats.org/officeDocument/2006/relationships/hyperlink" Target="https://www.google.com/search?q=10103-50-1+SDS+safety+data+sheet+filetype:pdf" TargetMode="External"/><Relationship Id="rId5718" Type="http://schemas.openxmlformats.org/officeDocument/2006/relationships/hyperlink" Target="https://chemicalsafety.ilo.org/dyn/icsc/showcard.display?p_card_id=1483&amp;p_lang=tr" TargetMode="External"/><Relationship Id="rId3269" Type="http://schemas.openxmlformats.org/officeDocument/2006/relationships/hyperlink" Target="https://chemicalsafety.ilo.org/dyn/icsc/showcard.display?p_card_id=0840&amp;p_lang=en" TargetMode="External"/><Relationship Id="rId3683" Type="http://schemas.openxmlformats.org/officeDocument/2006/relationships/hyperlink" Target="https://www.google.com/search?q=83-79-4+SDS+safety+data+sheet+filetype:pdf" TargetMode="External"/><Relationship Id="rId2285" Type="http://schemas.openxmlformats.org/officeDocument/2006/relationships/hyperlink" Target="https://chemicalsafety.ilo.org/dyn/icsc/showcard.display?p_card_id=0584&amp;p_lang=en" TargetMode="External"/><Relationship Id="rId3336" Type="http://schemas.openxmlformats.org/officeDocument/2006/relationships/hyperlink" Target="https://chem.echa.europa.eu/substance-search?searchText=3173-53-3" TargetMode="External"/><Relationship Id="rId4734" Type="http://schemas.openxmlformats.org/officeDocument/2006/relationships/hyperlink" Target="https://chemicalsafety.ilo.org/dyn/icsc/showcard.display?p_card_id=1226&amp;p_lang=tr" TargetMode="External"/><Relationship Id="rId257" Type="http://schemas.openxmlformats.org/officeDocument/2006/relationships/hyperlink" Target="https://chemicalsafety.ilo.org/dyn/icsc/showcard.display?p_card_id=0065&amp;p_lang=en" TargetMode="External"/><Relationship Id="rId3750" Type="http://schemas.openxmlformats.org/officeDocument/2006/relationships/hyperlink" Target="https://chemicalsafety.ilo.org/dyn/icsc/showcard.display?p_card_id=0961&amp;p_lang=tr" TargetMode="External"/><Relationship Id="rId4801" Type="http://schemas.openxmlformats.org/officeDocument/2006/relationships/hyperlink" Target="https://chemicalsafety.ilo.org/dyn/icsc/showcard.display?p_card_id=1243&amp;p_lang=en" TargetMode="External"/><Relationship Id="rId671" Type="http://schemas.openxmlformats.org/officeDocument/2006/relationships/hyperlink" Target="https://www.google.com/search?q=13463-40-6+SDS+safety+data+sheet+filetype:pdf" TargetMode="External"/><Relationship Id="rId2352" Type="http://schemas.openxmlformats.org/officeDocument/2006/relationships/hyperlink" Target="https://chem.echa.europa.eu/substance-search?searchText=1300-71-6" TargetMode="External"/><Relationship Id="rId3403" Type="http://schemas.openxmlformats.org/officeDocument/2006/relationships/hyperlink" Target="https://www.google.com/search?q=96-22-0+SDS+safety+data+sheet+filetype:pdf" TargetMode="External"/><Relationship Id="rId6559" Type="http://schemas.openxmlformats.org/officeDocument/2006/relationships/hyperlink" Target="https://www.google.com/search?q=16721-80-5+SDS+safety+data+sheet+filetype:pdf" TargetMode="External"/><Relationship Id="rId324" Type="http://schemas.openxmlformats.org/officeDocument/2006/relationships/hyperlink" Target="https://chem.echa.europa.eu/substance-search?searchText=79-01-6" TargetMode="External"/><Relationship Id="rId2005" Type="http://schemas.openxmlformats.org/officeDocument/2006/relationships/hyperlink" Target="https://chemicalsafety.ilo.org/dyn/icsc/showcard.display?p_card_id=0508&amp;p_lang=en" TargetMode="External"/><Relationship Id="rId5575" Type="http://schemas.openxmlformats.org/officeDocument/2006/relationships/hyperlink" Target="https://www.google.com/search?q=110-96-3+SDS+safety+data+sheet+filetype:pdf" TargetMode="External"/><Relationship Id="rId6626" Type="http://schemas.openxmlformats.org/officeDocument/2006/relationships/hyperlink" Target="https://chemicalsafety.ilo.org/dyn/icsc/showcard.display?p_card_id=1728&amp;p_lang=tr" TargetMode="External"/><Relationship Id="rId1021" Type="http://schemas.openxmlformats.org/officeDocument/2006/relationships/hyperlink" Target="https://chemicalsafety.ilo.org/dyn/icsc/showcard.display?p_card_id=0257&amp;p_lang=en" TargetMode="External"/><Relationship Id="rId4177" Type="http://schemas.openxmlformats.org/officeDocument/2006/relationships/hyperlink" Target="https://chemicalsafety.ilo.org/dyn/icsc/showcard.display?p_card_id=1079&amp;p_lang=en" TargetMode="External"/><Relationship Id="rId4591" Type="http://schemas.openxmlformats.org/officeDocument/2006/relationships/hyperlink" Target="https://www.google.com/search?q=93-58-3+SDS+safety+data+sheet+filetype:pdf" TargetMode="External"/><Relationship Id="rId5228" Type="http://schemas.openxmlformats.org/officeDocument/2006/relationships/hyperlink" Target="https://chem.echa.europa.eu/substance-search?searchText=66104-24-3" TargetMode="External"/><Relationship Id="rId5642" Type="http://schemas.openxmlformats.org/officeDocument/2006/relationships/hyperlink" Target="https://chemicalsafety.ilo.org/dyn/icsc/showcard.display?p_card_id=1461&amp;p_lang=tr" TargetMode="External"/><Relationship Id="rId3193" Type="http://schemas.openxmlformats.org/officeDocument/2006/relationships/hyperlink" Target="https://chemicalsafety.ilo.org/dyn/icsc/showcard.display?p_card_id=0819&amp;p_lang=en" TargetMode="External"/><Relationship Id="rId4244" Type="http://schemas.openxmlformats.org/officeDocument/2006/relationships/hyperlink" Target="https://chem.echa.europa.eu/substance-search?searchText=77-47-4" TargetMode="External"/><Relationship Id="rId1838" Type="http://schemas.openxmlformats.org/officeDocument/2006/relationships/hyperlink" Target="https://chemicalsafety.ilo.org/dyn/icsc/showcard.display?p_card_id=0466&amp;p_lang=tr" TargetMode="External"/><Relationship Id="rId3260" Type="http://schemas.openxmlformats.org/officeDocument/2006/relationships/hyperlink" Target="https://chem.echa.europa.eu/substance-search?searchText=1303-86-2" TargetMode="External"/><Relationship Id="rId4311" Type="http://schemas.openxmlformats.org/officeDocument/2006/relationships/hyperlink" Target="https://www.google.com/search?q=7758-01-2+SDS+safety+data+sheet+filetype:pdf" TargetMode="External"/><Relationship Id="rId181" Type="http://schemas.openxmlformats.org/officeDocument/2006/relationships/hyperlink" Target="https://chemicalsafety.ilo.org/dyn/icsc/showcard.display?p_card_id=0046&amp;p_lang=en" TargetMode="External"/><Relationship Id="rId1905" Type="http://schemas.openxmlformats.org/officeDocument/2006/relationships/hyperlink" Target="https://chemicalsafety.ilo.org/dyn/icsc/showcard.display?p_card_id=0483&amp;p_lang=en" TargetMode="External"/><Relationship Id="rId6069" Type="http://schemas.openxmlformats.org/officeDocument/2006/relationships/hyperlink" Target="https://chemicalsafety.ilo.org/dyn/icsc/showcard.display?p_card_id=1572&amp;p_lang=en" TargetMode="External"/><Relationship Id="rId5085" Type="http://schemas.openxmlformats.org/officeDocument/2006/relationships/hyperlink" Target="https://chemicalsafety.ilo.org/dyn/icsc/showcard.display?p_card_id=1316&amp;p_lang=en" TargetMode="External"/><Relationship Id="rId6483" Type="http://schemas.openxmlformats.org/officeDocument/2006/relationships/hyperlink" Target="https://www.google.com/search?q=95-78-3+SDS+safety+data+sheet+filetype:pdf" TargetMode="External"/><Relationship Id="rId998" Type="http://schemas.openxmlformats.org/officeDocument/2006/relationships/hyperlink" Target="https://chemicalsafety.ilo.org/dyn/icsc/showcard.display?p_card_id=0251&amp;p_lang=tr" TargetMode="External"/><Relationship Id="rId2679" Type="http://schemas.openxmlformats.org/officeDocument/2006/relationships/hyperlink" Target="https://www.google.com/search?q=50-18-0+SDS+safety+data+sheet+filetype:pdf" TargetMode="External"/><Relationship Id="rId6136" Type="http://schemas.openxmlformats.org/officeDocument/2006/relationships/hyperlink" Target="https://chem.echa.europa.eu/substance-search?searchText=584-08-7" TargetMode="External"/><Relationship Id="rId6550" Type="http://schemas.openxmlformats.org/officeDocument/2006/relationships/hyperlink" Target="https://chemicalsafety.ilo.org/dyn/icsc/showcard.display?p_card_id=1708&amp;p_lang=tr" TargetMode="External"/><Relationship Id="rId1695" Type="http://schemas.openxmlformats.org/officeDocument/2006/relationships/hyperlink" Target="https://www.google.com/search?q=124-18-5+SDS+safety+data+sheet+filetype:pdf" TargetMode="External"/><Relationship Id="rId2746" Type="http://schemas.openxmlformats.org/officeDocument/2006/relationships/hyperlink" Target="https://chemicalsafety.ilo.org/dyn/icsc/showcard.display?p_card_id=0707&amp;p_lang=tr" TargetMode="External"/><Relationship Id="rId5152" Type="http://schemas.openxmlformats.org/officeDocument/2006/relationships/hyperlink" Target="https://chem.echa.europa.eu/substance-search?searchText=107-92-6" TargetMode="External"/><Relationship Id="rId6203" Type="http://schemas.openxmlformats.org/officeDocument/2006/relationships/hyperlink" Target="https://www.google.com/search?q=84-65-1+SDS+safety+data+sheet+filetype:pdf" TargetMode="External"/><Relationship Id="rId718" Type="http://schemas.openxmlformats.org/officeDocument/2006/relationships/hyperlink" Target="https://chemicalsafety.ilo.org/dyn/icsc/showcard.display?p_card_id=0180&amp;p_lang=tr" TargetMode="External"/><Relationship Id="rId1348" Type="http://schemas.openxmlformats.org/officeDocument/2006/relationships/hyperlink" Target="https://chem.echa.europa.eu/substance-search?searchText=13463-67-7" TargetMode="External"/><Relationship Id="rId1762" Type="http://schemas.openxmlformats.org/officeDocument/2006/relationships/hyperlink" Target="https://chemicalsafety.ilo.org/dyn/icsc/showcard.display?p_card_id=0445&amp;p_lang=tr" TargetMode="External"/><Relationship Id="rId1415" Type="http://schemas.openxmlformats.org/officeDocument/2006/relationships/hyperlink" Target="https://www.google.com/search?q=60-29-7+SDS+safety+data+sheet+filetype:pdf" TargetMode="External"/><Relationship Id="rId2813" Type="http://schemas.openxmlformats.org/officeDocument/2006/relationships/hyperlink" Target="https://chemicalsafety.ilo.org/dyn/icsc/showcard.display?p_card_id=0724&amp;p_lang=en" TargetMode="External"/><Relationship Id="rId5969" Type="http://schemas.openxmlformats.org/officeDocument/2006/relationships/hyperlink" Target="https://chemicalsafety.ilo.org/dyn/icsc/showcard.display?p_card_id=1547&amp;p_lang=en" TargetMode="External"/><Relationship Id="rId54" Type="http://schemas.openxmlformats.org/officeDocument/2006/relationships/hyperlink" Target="https://chemicalsafety.ilo.org/dyn/icsc/showcard.display?p_card_id=0014&amp;p_lang=tr" TargetMode="External"/><Relationship Id="rId4985" Type="http://schemas.openxmlformats.org/officeDocument/2006/relationships/hyperlink" Target="https://chemicalsafety.ilo.org/dyn/icsc/showcard.display?p_card_id=1289&amp;p_lang=en" TargetMode="External"/><Relationship Id="rId2189" Type="http://schemas.openxmlformats.org/officeDocument/2006/relationships/hyperlink" Target="https://chemicalsafety.ilo.org/dyn/icsc/showcard.display?p_card_id=0559&amp;p_lang=en" TargetMode="External"/><Relationship Id="rId3587" Type="http://schemas.openxmlformats.org/officeDocument/2006/relationships/hyperlink" Target="https://www.google.com/search?q=110-43-0+SDS+safety+data+sheet+filetype:pdf" TargetMode="External"/><Relationship Id="rId4638" Type="http://schemas.openxmlformats.org/officeDocument/2006/relationships/hyperlink" Target="https://chemicalsafety.ilo.org/dyn/icsc/showcard.display?p_card_id=1201&amp;p_lang=tr" TargetMode="External"/><Relationship Id="rId6060" Type="http://schemas.openxmlformats.org/officeDocument/2006/relationships/hyperlink" Target="https://chem.echa.europa.eu/substance-search?searchText=629-14-1" TargetMode="External"/><Relationship Id="rId3654" Type="http://schemas.openxmlformats.org/officeDocument/2006/relationships/hyperlink" Target="https://chemicalsafety.ilo.org/dyn/icsc/showcard.display?p_card_id=0937&amp;p_lang=tr" TargetMode="External"/><Relationship Id="rId4705" Type="http://schemas.openxmlformats.org/officeDocument/2006/relationships/hyperlink" Target="https://chemicalsafety.ilo.org/dyn/icsc/showcard.display?p_card_id=1219&amp;p_lang=en" TargetMode="External"/><Relationship Id="rId575" Type="http://schemas.openxmlformats.org/officeDocument/2006/relationships/hyperlink" Target="https://www.google.com/search?q=95-76-1+SDS+safety+data+sheet+filetype:pdf" TargetMode="External"/><Relationship Id="rId2256" Type="http://schemas.openxmlformats.org/officeDocument/2006/relationships/hyperlink" Target="https://chem.echa.europa.eu/substance-search?searchText=75-73-0" TargetMode="External"/><Relationship Id="rId2670" Type="http://schemas.openxmlformats.org/officeDocument/2006/relationships/hyperlink" Target="https://chemicalsafety.ilo.org/dyn/icsc/showcard.display?p_card_id=0687&amp;p_lang=tr" TargetMode="External"/><Relationship Id="rId3307" Type="http://schemas.openxmlformats.org/officeDocument/2006/relationships/hyperlink" Target="https://www.google.com/search?q=95-57-8+SDS+safety+data+sheet+filetype:pdf" TargetMode="External"/><Relationship Id="rId3721" Type="http://schemas.openxmlformats.org/officeDocument/2006/relationships/hyperlink" Target="https://chemicalsafety.ilo.org/dyn/icsc/showcard.display?p_card_id=0954&amp;p_lang=en" TargetMode="External"/><Relationship Id="rId228" Type="http://schemas.openxmlformats.org/officeDocument/2006/relationships/hyperlink" Target="https://chem.echa.europa.eu/substance-search?searchText=67-56-1" TargetMode="External"/><Relationship Id="rId642" Type="http://schemas.openxmlformats.org/officeDocument/2006/relationships/hyperlink" Target="https://chemicalsafety.ilo.org/dyn/icsc/showcard.display?p_card_id=0161&amp;p_lang=tr" TargetMode="External"/><Relationship Id="rId1272" Type="http://schemas.openxmlformats.org/officeDocument/2006/relationships/hyperlink" Target="https://chem.echa.europa.eu/substance-search?searchText=74-98-6" TargetMode="External"/><Relationship Id="rId2323" Type="http://schemas.openxmlformats.org/officeDocument/2006/relationships/hyperlink" Target="https://www.google.com/search?q=121-43-7+SDS+safety+data+sheet+filetype:pdf" TargetMode="External"/><Relationship Id="rId5479" Type="http://schemas.openxmlformats.org/officeDocument/2006/relationships/hyperlink" Target="https://www.google.com/search?q=102-81-8+SDS+safety+data+sheet+filetype:pdf" TargetMode="External"/><Relationship Id="rId5893" Type="http://schemas.openxmlformats.org/officeDocument/2006/relationships/hyperlink" Target="https://chemicalsafety.ilo.org/dyn/icsc/showcard.display?p_card_id=1527&amp;p_lang=en" TargetMode="External"/><Relationship Id="rId4495" Type="http://schemas.openxmlformats.org/officeDocument/2006/relationships/hyperlink" Target="https://www.google.com/search?q=107-22-2+SDS+safety+data+sheet+filetype:pdf" TargetMode="External"/><Relationship Id="rId5546" Type="http://schemas.openxmlformats.org/officeDocument/2006/relationships/hyperlink" Target="https://chemicalsafety.ilo.org/dyn/icsc/showcard.display?p_card_id=1435&amp;p_lang=tr" TargetMode="External"/><Relationship Id="rId3097" Type="http://schemas.openxmlformats.org/officeDocument/2006/relationships/hyperlink" Target="https://chemicalsafety.ilo.org/dyn/icsc/showcard.display?p_card_id=0795&amp;p_lang=en" TargetMode="External"/><Relationship Id="rId4148" Type="http://schemas.openxmlformats.org/officeDocument/2006/relationships/hyperlink" Target="https://chem.echa.europa.eu/substance-search?searchText=7758-09-0" TargetMode="External"/><Relationship Id="rId5960" Type="http://schemas.openxmlformats.org/officeDocument/2006/relationships/hyperlink" Target="https://chem.echa.europa.eu/substance-search?searchText=615-50-9" TargetMode="External"/><Relationship Id="rId3164" Type="http://schemas.openxmlformats.org/officeDocument/2006/relationships/hyperlink" Target="https://chem.echa.europa.eu/substance-search?searchText=13530-65-9" TargetMode="External"/><Relationship Id="rId4562" Type="http://schemas.openxmlformats.org/officeDocument/2006/relationships/hyperlink" Target="https://chemicalsafety.ilo.org/dyn/icsc/showcard.display?p_card_id=1179&amp;p_lang=tr" TargetMode="External"/><Relationship Id="rId5613" Type="http://schemas.openxmlformats.org/officeDocument/2006/relationships/hyperlink" Target="https://chemicalsafety.ilo.org/dyn/icsc/showcard.display?p_card_id=1452&amp;p_lang=en" TargetMode="External"/><Relationship Id="rId1809" Type="http://schemas.openxmlformats.org/officeDocument/2006/relationships/hyperlink" Target="https://chemicalsafety.ilo.org/dyn/icsc/showcard.display?p_card_id=0458&amp;p_lang=en" TargetMode="External"/><Relationship Id="rId4215" Type="http://schemas.openxmlformats.org/officeDocument/2006/relationships/hyperlink" Target="https://www.google.com/search?q=333-20-0+SDS+safety+data+sheet+filetype:pdf" TargetMode="External"/><Relationship Id="rId2180" Type="http://schemas.openxmlformats.org/officeDocument/2006/relationships/hyperlink" Target="https://chem.echa.europa.eu/substance-search?searchText=590-01-2" TargetMode="External"/><Relationship Id="rId3231" Type="http://schemas.openxmlformats.org/officeDocument/2006/relationships/hyperlink" Target="https://www.google.com/search?q=25057-89-0+SDS+safety+data+sheet+filetype:pdf" TargetMode="External"/><Relationship Id="rId6387" Type="http://schemas.openxmlformats.org/officeDocument/2006/relationships/hyperlink" Target="https://www.google.com/search?q=10545-99-0+SDS+safety+data+sheet+filetype:pdf" TargetMode="External"/><Relationship Id="rId152" Type="http://schemas.openxmlformats.org/officeDocument/2006/relationships/hyperlink" Target="https://chem.echa.europa.eu/substance-search?searchText=120-36-5" TargetMode="External"/><Relationship Id="rId2997" Type="http://schemas.openxmlformats.org/officeDocument/2006/relationships/hyperlink" Target="https://chemicalsafety.ilo.org/dyn/icsc/showcard.display?p_card_id=0770&amp;p_lang=en" TargetMode="External"/><Relationship Id="rId6454" Type="http://schemas.openxmlformats.org/officeDocument/2006/relationships/hyperlink" Target="https://chemicalsafety.ilo.org/dyn/icsc/showcard.display?p_card_id=1679&amp;p_lang=tr" TargetMode="External"/><Relationship Id="rId969" Type="http://schemas.openxmlformats.org/officeDocument/2006/relationships/hyperlink" Target="https://chemicalsafety.ilo.org/dyn/icsc/showcard.display?p_card_id=0244&amp;p_lang=en" TargetMode="External"/><Relationship Id="rId1599" Type="http://schemas.openxmlformats.org/officeDocument/2006/relationships/hyperlink" Target="https://www.google.com/search?q=123-72-8+SDS+safety+data+sheet+filetype:pdf" TargetMode="External"/><Relationship Id="rId5056" Type="http://schemas.openxmlformats.org/officeDocument/2006/relationships/hyperlink" Target="https://chem.echa.europa.eu/substance-search?searchText=72-43-5" TargetMode="External"/><Relationship Id="rId5470" Type="http://schemas.openxmlformats.org/officeDocument/2006/relationships/hyperlink" Target="https://chemicalsafety.ilo.org/dyn/icsc/showcard.display?p_card_id=1416&amp;p_lang=tr" TargetMode="External"/><Relationship Id="rId6107" Type="http://schemas.openxmlformats.org/officeDocument/2006/relationships/hyperlink" Target="https://www.google.com/search?q=88-19-7+SDS+safety+data+sheet+filetype:pdf" TargetMode="External"/><Relationship Id="rId6521" Type="http://schemas.openxmlformats.org/officeDocument/2006/relationships/hyperlink" Target="https://chemicalsafety.ilo.org/dyn/icsc/showcard.display?p_card_id=1701&amp;p_lang=en" TargetMode="External"/><Relationship Id="rId4072" Type="http://schemas.openxmlformats.org/officeDocument/2006/relationships/hyperlink" Target="https://chem.echa.europa.eu/substance-search?searchText=102-82-9" TargetMode="External"/><Relationship Id="rId5123" Type="http://schemas.openxmlformats.org/officeDocument/2006/relationships/hyperlink" Target="https://www.google.com/search?q=1304-56-9+SDS+safety+data+sheet+filetype:pdf" TargetMode="External"/><Relationship Id="rId1666" Type="http://schemas.openxmlformats.org/officeDocument/2006/relationships/hyperlink" Target="https://chemicalsafety.ilo.org/dyn/icsc/showcard.display?p_card_id=0421&amp;p_lang=tr" TargetMode="External"/><Relationship Id="rId2717" Type="http://schemas.openxmlformats.org/officeDocument/2006/relationships/hyperlink" Target="https://chemicalsafety.ilo.org/dyn/icsc/showcard.display?p_card_id=0700&amp;p_lang=en" TargetMode="External"/><Relationship Id="rId1319" Type="http://schemas.openxmlformats.org/officeDocument/2006/relationships/hyperlink" Target="https://www.google.com/search?q=100-20-9+SDS+safety+data+sheet+filetype:pdf" TargetMode="External"/><Relationship Id="rId1733" Type="http://schemas.openxmlformats.org/officeDocument/2006/relationships/hyperlink" Target="https://chemicalsafety.ilo.org/dyn/icsc/showcard.display?p_card_id=0438&amp;p_lang=en" TargetMode="External"/><Relationship Id="rId4889" Type="http://schemas.openxmlformats.org/officeDocument/2006/relationships/hyperlink" Target="https://chemicalsafety.ilo.org/dyn/icsc/showcard.display?p_card_id=1265&amp;p_lang=en" TargetMode="External"/><Relationship Id="rId25" Type="http://schemas.openxmlformats.org/officeDocument/2006/relationships/hyperlink" Target="https://chemicalsafety.ilo.org/dyn/icsc/showcard.display?p_card_id=0007&amp;p_lang=en" TargetMode="External"/><Relationship Id="rId1800" Type="http://schemas.openxmlformats.org/officeDocument/2006/relationships/hyperlink" Target="https://chem.echa.europa.eu/substance-search?searchText=1314-34-7" TargetMode="External"/><Relationship Id="rId4956" Type="http://schemas.openxmlformats.org/officeDocument/2006/relationships/hyperlink" Target="https://chem.echa.europa.eu/substance-search?searchText=811-97-2" TargetMode="External"/><Relationship Id="rId3558" Type="http://schemas.openxmlformats.org/officeDocument/2006/relationships/hyperlink" Target="https://chemicalsafety.ilo.org/dyn/icsc/showcard.display?p_card_id=0913&amp;p_lang=tr" TargetMode="External"/><Relationship Id="rId3972" Type="http://schemas.openxmlformats.org/officeDocument/2006/relationships/hyperlink" Target="https://chem.echa.europa.eu/substance-search?searchText=72-20-8" TargetMode="External"/><Relationship Id="rId4609" Type="http://schemas.openxmlformats.org/officeDocument/2006/relationships/hyperlink" Target="https://chemicalsafety.ilo.org/dyn/icsc/showcard.display?p_card_id=1192&amp;p_lang=en" TargetMode="External"/><Relationship Id="rId479" Type="http://schemas.openxmlformats.org/officeDocument/2006/relationships/hyperlink" Target="https://www.google.com/search?q=133-06-2+SDS+safety+data+sheet+filetype:pdf" TargetMode="External"/><Relationship Id="rId893" Type="http://schemas.openxmlformats.org/officeDocument/2006/relationships/hyperlink" Target="https://chemicalsafety.ilo.org/dyn/icsc/showcard.display?p_card_id=0225&amp;p_lang=en" TargetMode="External"/><Relationship Id="rId2574" Type="http://schemas.openxmlformats.org/officeDocument/2006/relationships/hyperlink" Target="https://chemicalsafety.ilo.org/dyn/icsc/showcard.display?p_card_id=0660&amp;p_lang=tr" TargetMode="External"/><Relationship Id="rId3625" Type="http://schemas.openxmlformats.org/officeDocument/2006/relationships/hyperlink" Target="https://chemicalsafety.ilo.org/dyn/icsc/showcard.display?p_card_id=0930&amp;p_lang=en" TargetMode="External"/><Relationship Id="rId6031" Type="http://schemas.openxmlformats.org/officeDocument/2006/relationships/hyperlink" Target="https://www.google.com/search?q=95-68-1+SDS+safety+data+sheet+filetype:pdf" TargetMode="External"/><Relationship Id="rId546" Type="http://schemas.openxmlformats.org/officeDocument/2006/relationships/hyperlink" Target="https://chemicalsafety.ilo.org/dyn/icsc/showcard.display?p_card_id=0137&amp;p_lang=tr" TargetMode="External"/><Relationship Id="rId1176" Type="http://schemas.openxmlformats.org/officeDocument/2006/relationships/hyperlink" Target="https://chem.echa.europa.eu/substance-search?searchText=591-23-1" TargetMode="External"/><Relationship Id="rId2227" Type="http://schemas.openxmlformats.org/officeDocument/2006/relationships/hyperlink" Target="https://www.google.com/search?q=57-11-4+SDS+safety+data+sheet+filetype:pdf" TargetMode="External"/><Relationship Id="rId960" Type="http://schemas.openxmlformats.org/officeDocument/2006/relationships/hyperlink" Target="https://chem.echa.europa.eu/substance-search?searchText=4170-30-3" TargetMode="External"/><Relationship Id="rId1243" Type="http://schemas.openxmlformats.org/officeDocument/2006/relationships/hyperlink" Target="https://www.google.com/search?q=52645-53-1+SDS+safety+data+sheet+filetype:pdf" TargetMode="External"/><Relationship Id="rId1590" Type="http://schemas.openxmlformats.org/officeDocument/2006/relationships/hyperlink" Target="https://chemicalsafety.ilo.org/dyn/icsc/showcard.display?p_card_id=0401&amp;p_lang=tr" TargetMode="External"/><Relationship Id="rId2641" Type="http://schemas.openxmlformats.org/officeDocument/2006/relationships/hyperlink" Target="https://chemicalsafety.ilo.org/dyn/icsc/showcard.display?p_card_id=0678&amp;p_lang=en" TargetMode="External"/><Relationship Id="rId4399" Type="http://schemas.openxmlformats.org/officeDocument/2006/relationships/hyperlink" Target="https://www.google.com/search?q=7772-98-7+SDS+safety+data+sheet+filetype:pdf" TargetMode="External"/><Relationship Id="rId5797" Type="http://schemas.openxmlformats.org/officeDocument/2006/relationships/hyperlink" Target="https://chemicalsafety.ilo.org/dyn/icsc/showcard.display?p_card_id=1503&amp;p_lang=en" TargetMode="External"/><Relationship Id="rId6848" Type="http://schemas.openxmlformats.org/officeDocument/2006/relationships/hyperlink" Target="https://chem.echa.europa.eu/substance-search?searchText=51580-86-0" TargetMode="External"/><Relationship Id="rId613" Type="http://schemas.openxmlformats.org/officeDocument/2006/relationships/hyperlink" Target="https://chemicalsafety.ilo.org/dyn/icsc/showcard.display?p_card_id=0154&amp;p_lang=en" TargetMode="External"/><Relationship Id="rId5864" Type="http://schemas.openxmlformats.org/officeDocument/2006/relationships/hyperlink" Target="https://chem.echa.europa.eu/substance-search?searchText=87-62-7" TargetMode="External"/><Relationship Id="rId1310" Type="http://schemas.openxmlformats.org/officeDocument/2006/relationships/hyperlink" Target="https://chemicalsafety.ilo.org/dyn/icsc/showcard.display?p_card_id=0329&amp;p_lang=tr" TargetMode="External"/><Relationship Id="rId4466" Type="http://schemas.openxmlformats.org/officeDocument/2006/relationships/hyperlink" Target="https://chemicalsafety.ilo.org/dyn/icsc/showcard.display?p_card_id=1155&amp;p_lang=tr" TargetMode="External"/><Relationship Id="rId4880" Type="http://schemas.openxmlformats.org/officeDocument/2006/relationships/hyperlink" Target="https://chem.echa.europa.eu/substance-search?searchText=107-83-5" TargetMode="External"/><Relationship Id="rId5517" Type="http://schemas.openxmlformats.org/officeDocument/2006/relationships/hyperlink" Target="https://chemicalsafety.ilo.org/dyn/icsc/showcard.display?p_card_id=1428&amp;p_lang=en" TargetMode="External"/><Relationship Id="rId5931" Type="http://schemas.openxmlformats.org/officeDocument/2006/relationships/hyperlink" Target="https://www.google.com/search?q=532-32-1+SDS+safety+data+sheet+filetype:pdf" TargetMode="External"/><Relationship Id="rId3068" Type="http://schemas.openxmlformats.org/officeDocument/2006/relationships/hyperlink" Target="https://chem.echa.europa.eu/substance-search?searchText=60-57-1" TargetMode="External"/><Relationship Id="rId3482" Type="http://schemas.openxmlformats.org/officeDocument/2006/relationships/hyperlink" Target="https://chemicalsafety.ilo.org/dyn/icsc/showcard.display?p_card_id=0894&amp;p_lang=tr" TargetMode="External"/><Relationship Id="rId4119" Type="http://schemas.openxmlformats.org/officeDocument/2006/relationships/hyperlink" Target="https://www.google.com/search?q=409-21-2+SDS+safety+data+sheet+filetype:pdf" TargetMode="External"/><Relationship Id="rId4533" Type="http://schemas.openxmlformats.org/officeDocument/2006/relationships/hyperlink" Target="https://chemicalsafety.ilo.org/dyn/icsc/showcard.display?p_card_id=1172&amp;p_lang=en" TargetMode="External"/><Relationship Id="rId2084" Type="http://schemas.openxmlformats.org/officeDocument/2006/relationships/hyperlink" Target="https://chem.echa.europa.eu/substance-search?searchText=608-93-5" TargetMode="External"/><Relationship Id="rId3135" Type="http://schemas.openxmlformats.org/officeDocument/2006/relationships/hyperlink" Target="https://www.google.com/search?q=836-30-6+SDS+safety+data+sheet+filetype:pdf" TargetMode="External"/><Relationship Id="rId4600" Type="http://schemas.openxmlformats.org/officeDocument/2006/relationships/hyperlink" Target="https://chem.echa.europa.eu/substance-search?searchText=25155-30-0" TargetMode="External"/><Relationship Id="rId470" Type="http://schemas.openxmlformats.org/officeDocument/2006/relationships/hyperlink" Target="https://chemicalsafety.ilo.org/dyn/icsc/showcard.display?p_card_id=0118&amp;p_lang=tr" TargetMode="External"/><Relationship Id="rId2151" Type="http://schemas.openxmlformats.org/officeDocument/2006/relationships/hyperlink" Target="https://www.google.com/search?q=1312-73-8+SDS+safety+data+sheet+filetype:pdf" TargetMode="External"/><Relationship Id="rId3202" Type="http://schemas.openxmlformats.org/officeDocument/2006/relationships/hyperlink" Target="https://chemicalsafety.ilo.org/dyn/icsc/showcard.display?p_card_id=0821&amp;p_lang=tr" TargetMode="External"/><Relationship Id="rId6358" Type="http://schemas.openxmlformats.org/officeDocument/2006/relationships/hyperlink" Target="https://chemicalsafety.ilo.org/dyn/icsc/showcard.display?p_card_id=1652&amp;p_lang=tr" TargetMode="External"/><Relationship Id="rId123" Type="http://schemas.openxmlformats.org/officeDocument/2006/relationships/hyperlink" Target="https://www.google.com/search?q=106-44-5+SDS+safety+data+sheet+filetype:pdf" TargetMode="External"/><Relationship Id="rId5374" Type="http://schemas.openxmlformats.org/officeDocument/2006/relationships/hyperlink" Target="https://chemicalsafety.ilo.org/dyn/icsc/showcard.display?p_card_id=1391&amp;p_lang=tr" TargetMode="External"/><Relationship Id="rId6772" Type="http://schemas.openxmlformats.org/officeDocument/2006/relationships/hyperlink" Target="https://chem.echa.europa.eu/substance-search?searchText=112-53-8" TargetMode="External"/><Relationship Id="rId2968" Type="http://schemas.openxmlformats.org/officeDocument/2006/relationships/hyperlink" Target="https://chem.echa.europa.eu/substance-search?searchText=592-57-4" TargetMode="External"/><Relationship Id="rId5027" Type="http://schemas.openxmlformats.org/officeDocument/2006/relationships/hyperlink" Target="https://www.google.com/search?q=75-88-7+SDS+safety+data+sheet+filetype:pdf" TargetMode="External"/><Relationship Id="rId6425" Type="http://schemas.openxmlformats.org/officeDocument/2006/relationships/hyperlink" Target="https://chemicalsafety.ilo.org/dyn/icsc/showcard.display?p_card_id=1672&amp;p_lang=en" TargetMode="External"/><Relationship Id="rId1984" Type="http://schemas.openxmlformats.org/officeDocument/2006/relationships/hyperlink" Target="https://chem.echa.europa.eu/substance-search?searchText=151-21-3" TargetMode="External"/><Relationship Id="rId4390" Type="http://schemas.openxmlformats.org/officeDocument/2006/relationships/hyperlink" Target="https://chemicalsafety.ilo.org/dyn/icsc/showcard.display?p_card_id=1136&amp;p_lang=tr" TargetMode="External"/><Relationship Id="rId5441" Type="http://schemas.openxmlformats.org/officeDocument/2006/relationships/hyperlink" Target="https://chemicalsafety.ilo.org/dyn/icsc/showcard.display?p_card_id=1409&amp;p_lang=en" TargetMode="External"/><Relationship Id="rId1637" Type="http://schemas.openxmlformats.org/officeDocument/2006/relationships/hyperlink" Target="https://chemicalsafety.ilo.org/dyn/icsc/showcard.display?p_card_id=0414&amp;p_lang=en" TargetMode="External"/><Relationship Id="rId4043" Type="http://schemas.openxmlformats.org/officeDocument/2006/relationships/hyperlink" Target="https://www.google.com/search?q=10377-60-3+SDS+safety+data+sheet+filetype:pdf" TargetMode="External"/><Relationship Id="rId1704" Type="http://schemas.openxmlformats.org/officeDocument/2006/relationships/hyperlink" Target="https://chem.echa.europa.eu/substance-search?searchText=131-17-9" TargetMode="External"/><Relationship Id="rId4110" Type="http://schemas.openxmlformats.org/officeDocument/2006/relationships/hyperlink" Target="https://chemicalsafety.ilo.org/dyn/icsc/showcard.display?p_card_id=1059&amp;p_lang=tr" TargetMode="External"/><Relationship Id="rId6282" Type="http://schemas.openxmlformats.org/officeDocument/2006/relationships/hyperlink" Target="https://chemicalsafety.ilo.org/dyn/icsc/showcard.display?p_card_id=1626&amp;p_lang=tr" TargetMode="External"/><Relationship Id="rId797" Type="http://schemas.openxmlformats.org/officeDocument/2006/relationships/hyperlink" Target="https://chemicalsafety.ilo.org/dyn/icsc/showcard.display?p_card_id=0200&amp;p_lang=en" TargetMode="External"/><Relationship Id="rId2478" Type="http://schemas.openxmlformats.org/officeDocument/2006/relationships/hyperlink" Target="https://chemicalsafety.ilo.org/dyn/icsc/showcard.display?p_card_id=0634&amp;p_lang=tr" TargetMode="External"/><Relationship Id="rId3876" Type="http://schemas.openxmlformats.org/officeDocument/2006/relationships/hyperlink" Target="https://chem.echa.europa.eu/substance-search?searchText=7789-21-1" TargetMode="External"/><Relationship Id="rId4927" Type="http://schemas.openxmlformats.org/officeDocument/2006/relationships/hyperlink" Target="https://www.google.com/search?q=2451-62-9+SDS+safety+data+sheet+filetype:pdf" TargetMode="External"/><Relationship Id="rId2892" Type="http://schemas.openxmlformats.org/officeDocument/2006/relationships/hyperlink" Target="https://chem.echa.europa.eu/substance-search?searchText=76-44-8" TargetMode="External"/><Relationship Id="rId3529" Type="http://schemas.openxmlformats.org/officeDocument/2006/relationships/hyperlink" Target="https://chemicalsafety.ilo.org/dyn/icsc/showcard.display?p_card_id=0906&amp;p_lang=en" TargetMode="External"/><Relationship Id="rId3943" Type="http://schemas.openxmlformats.org/officeDocument/2006/relationships/hyperlink" Target="https://www.google.com/search?q=108-86-1+SDS+safety+data+sheet+filetype:pdf" TargetMode="External"/><Relationship Id="rId6002" Type="http://schemas.openxmlformats.org/officeDocument/2006/relationships/hyperlink" Target="https://chemicalsafety.ilo.org/dyn/icsc/showcard.display?p_card_id=1555&amp;p_lang=tr" TargetMode="External"/><Relationship Id="rId864" Type="http://schemas.openxmlformats.org/officeDocument/2006/relationships/hyperlink" Target="https://chem.echa.europa.eu/substance-search?searchText=7783-28-0" TargetMode="External"/><Relationship Id="rId1494" Type="http://schemas.openxmlformats.org/officeDocument/2006/relationships/hyperlink" Target="https://chemicalsafety.ilo.org/dyn/icsc/showcard.display?p_card_id=0376&amp;p_lang=tr" TargetMode="External"/><Relationship Id="rId2545" Type="http://schemas.openxmlformats.org/officeDocument/2006/relationships/hyperlink" Target="https://chemicalsafety.ilo.org/dyn/icsc/showcard.display?p_card_id=0653&amp;p_lang=en" TargetMode="External"/><Relationship Id="rId517" Type="http://schemas.openxmlformats.org/officeDocument/2006/relationships/hyperlink" Target="https://chemicalsafety.ilo.org/dyn/icsc/showcard.display?p_card_id=0130&amp;p_lang=en" TargetMode="External"/><Relationship Id="rId931" Type="http://schemas.openxmlformats.org/officeDocument/2006/relationships/hyperlink" Target="https://www.google.com/search?q=302-17-0+SDS+safety+data+sheet+filetype:pdf" TargetMode="External"/><Relationship Id="rId1147" Type="http://schemas.openxmlformats.org/officeDocument/2006/relationships/hyperlink" Target="https://www.google.com/search?q=1317-36-8+SDS+safety+data+sheet+filetype:pdf" TargetMode="External"/><Relationship Id="rId1561" Type="http://schemas.openxmlformats.org/officeDocument/2006/relationships/hyperlink" Target="https://chemicalsafety.ilo.org/dyn/icsc/showcard.display?p_card_id=0393&amp;p_lang=en" TargetMode="External"/><Relationship Id="rId2612" Type="http://schemas.openxmlformats.org/officeDocument/2006/relationships/hyperlink" Target="https://chem.echa.europa.eu/substance-search?searchText=91-15-6" TargetMode="External"/><Relationship Id="rId5768" Type="http://schemas.openxmlformats.org/officeDocument/2006/relationships/hyperlink" Target="https://chem.echa.europa.eu/substance-search?searchText=78-94-4" TargetMode="External"/><Relationship Id="rId6819" Type="http://schemas.openxmlformats.org/officeDocument/2006/relationships/hyperlink" Target="https://www.google.com/search?q=7664-39-3+SDS+safety+data+sheet+filetype:pdf" TargetMode="External"/><Relationship Id="rId1214" Type="http://schemas.openxmlformats.org/officeDocument/2006/relationships/hyperlink" Target="https://chemicalsafety.ilo.org/dyn/icsc/showcard.display?p_card_id=0305&amp;p_lang=tr" TargetMode="External"/><Relationship Id="rId4784" Type="http://schemas.openxmlformats.org/officeDocument/2006/relationships/hyperlink" Target="https://chem.echa.europa.eu/substance-search?searchText=139-13-9" TargetMode="External"/><Relationship Id="rId5835" Type="http://schemas.openxmlformats.org/officeDocument/2006/relationships/hyperlink" Target="https://www.google.com/search?q=102-54-5+SDS+safety+data+sheet+filetype:pdf" TargetMode="External"/><Relationship Id="rId3386" Type="http://schemas.openxmlformats.org/officeDocument/2006/relationships/hyperlink" Target="https://chemicalsafety.ilo.org/dyn/icsc/showcard.display?p_card_id=0870&amp;p_lang=tr" TargetMode="External"/><Relationship Id="rId4437" Type="http://schemas.openxmlformats.org/officeDocument/2006/relationships/hyperlink" Target="https://chemicalsafety.ilo.org/dyn/icsc/showcard.display?p_card_id=1148&amp;p_lang=en" TargetMode="External"/><Relationship Id="rId3039" Type="http://schemas.openxmlformats.org/officeDocument/2006/relationships/hyperlink" Target="https://www.google.com/search?q=118-75-2+SDS+safety+data+sheet+filetype:pdf" TargetMode="External"/><Relationship Id="rId3453" Type="http://schemas.openxmlformats.org/officeDocument/2006/relationships/hyperlink" Target="https://chemicalsafety.ilo.org/dyn/icsc/showcard.display?p_card_id=0887&amp;p_lang=en" TargetMode="External"/><Relationship Id="rId4851" Type="http://schemas.openxmlformats.org/officeDocument/2006/relationships/hyperlink" Target="https://www.google.com/search?q=7790-98-9+SDS+safety+data+sheet+filetype:pdf" TargetMode="External"/><Relationship Id="rId5902" Type="http://schemas.openxmlformats.org/officeDocument/2006/relationships/hyperlink" Target="https://chemicalsafety.ilo.org/dyn/icsc/showcard.display?p_card_id=1529&amp;p_lang=tr" TargetMode="External"/><Relationship Id="rId374" Type="http://schemas.openxmlformats.org/officeDocument/2006/relationships/hyperlink" Target="https://chemicalsafety.ilo.org/dyn/icsc/showcard.display?p_card_id=0094&amp;p_lang=tr" TargetMode="External"/><Relationship Id="rId2055" Type="http://schemas.openxmlformats.org/officeDocument/2006/relationships/hyperlink" Target="https://www.google.com/search?q=88-75-5+SDS+safety+data+sheet+filetype:pdf" TargetMode="External"/><Relationship Id="rId3106" Type="http://schemas.openxmlformats.org/officeDocument/2006/relationships/hyperlink" Target="https://chemicalsafety.ilo.org/dyn/icsc/showcard.display?p_card_id=0797&amp;p_lang=tr" TargetMode="External"/><Relationship Id="rId4504" Type="http://schemas.openxmlformats.org/officeDocument/2006/relationships/hyperlink" Target="https://chem.echa.europa.eu/substance-search?searchText=1634-04-4" TargetMode="External"/><Relationship Id="rId3520" Type="http://schemas.openxmlformats.org/officeDocument/2006/relationships/hyperlink" Target="https://chem.echa.europa.eu/substance-search?searchText=79-31-2" TargetMode="External"/><Relationship Id="rId6676" Type="http://schemas.openxmlformats.org/officeDocument/2006/relationships/hyperlink" Target="https://chem.echa.europa.eu/substance-search?searchText=121-33-5" TargetMode="External"/><Relationship Id="rId441" Type="http://schemas.openxmlformats.org/officeDocument/2006/relationships/hyperlink" Target="https://chemicalsafety.ilo.org/dyn/icsc/showcard.display?p_card_id=0111&amp;p_lang=en" TargetMode="External"/><Relationship Id="rId1071" Type="http://schemas.openxmlformats.org/officeDocument/2006/relationships/hyperlink" Target="https://www.google.com/search?q=107-15-3+SDS+safety+data+sheet+filetype:pdf" TargetMode="External"/><Relationship Id="rId2122" Type="http://schemas.openxmlformats.org/officeDocument/2006/relationships/hyperlink" Target="https://chemicalsafety.ilo.org/dyn/icsc/showcard.display?p_card_id=0541&amp;p_lang=tr" TargetMode="External"/><Relationship Id="rId5278" Type="http://schemas.openxmlformats.org/officeDocument/2006/relationships/hyperlink" Target="https://chemicalsafety.ilo.org/dyn/icsc/showcard.display?p_card_id=1366&amp;p_lang=tr" TargetMode="External"/><Relationship Id="rId5692" Type="http://schemas.openxmlformats.org/officeDocument/2006/relationships/hyperlink" Target="https://chem.echa.europa.eu/substance-search?searchText=129-00-0" TargetMode="External"/><Relationship Id="rId6329" Type="http://schemas.openxmlformats.org/officeDocument/2006/relationships/hyperlink" Target="https://chemicalsafety.ilo.org/dyn/icsc/showcard.display?p_card_id=1639&amp;p_lang=en" TargetMode="External"/><Relationship Id="rId6743" Type="http://schemas.openxmlformats.org/officeDocument/2006/relationships/hyperlink" Target="https://www.google.com/search?q=2079-00-7+SDS+safety+data+sheet+filetype:pdf" TargetMode="External"/><Relationship Id="rId1888" Type="http://schemas.openxmlformats.org/officeDocument/2006/relationships/hyperlink" Target="https://chem.echa.europa.eu/substance-search?searchText=103-11-7" TargetMode="External"/><Relationship Id="rId2939" Type="http://schemas.openxmlformats.org/officeDocument/2006/relationships/hyperlink" Target="https://www.google.com/search?q=124-58-3+SDS+safety+data+sheet+filetype:pdf" TargetMode="External"/><Relationship Id="rId4294" Type="http://schemas.openxmlformats.org/officeDocument/2006/relationships/hyperlink" Target="https://chemicalsafety.ilo.org/dyn/icsc/showcard.display?p_card_id=1111&amp;p_lang=tr" TargetMode="External"/><Relationship Id="rId5345" Type="http://schemas.openxmlformats.org/officeDocument/2006/relationships/hyperlink" Target="https://chemicalsafety.ilo.org/dyn/icsc/showcard.display?p_card_id=1383&amp;p_lang=en" TargetMode="External"/><Relationship Id="rId6810" Type="http://schemas.openxmlformats.org/officeDocument/2006/relationships/hyperlink" Target="https://chemicalsafety.ilo.org/dyn/icsc/showcard.display?p_card_id=1775&amp;p_lang=tr" TargetMode="External"/><Relationship Id="rId4361" Type="http://schemas.openxmlformats.org/officeDocument/2006/relationships/hyperlink" Target="https://chemicalsafety.ilo.org/dyn/icsc/showcard.display?p_card_id=1128&amp;p_lang=en" TargetMode="External"/><Relationship Id="rId5412" Type="http://schemas.openxmlformats.org/officeDocument/2006/relationships/hyperlink" Target="https://chem.echa.europa.eu/substance-search?searchText=1344-95-2" TargetMode="External"/><Relationship Id="rId1955" Type="http://schemas.openxmlformats.org/officeDocument/2006/relationships/hyperlink" Target="https://www.google.com/search?q=25339-17-7+SDS+safety+data+sheet+filetype:pdf" TargetMode="External"/><Relationship Id="rId4014" Type="http://schemas.openxmlformats.org/officeDocument/2006/relationships/hyperlink" Target="https://chemicalsafety.ilo.org/dyn/icsc/showcard.display?p_card_id=1034&amp;p_lang=tr" TargetMode="External"/><Relationship Id="rId1608" Type="http://schemas.openxmlformats.org/officeDocument/2006/relationships/hyperlink" Target="https://chem.echa.europa.eu/substance-search?searchText=58-08-2" TargetMode="External"/><Relationship Id="rId3030" Type="http://schemas.openxmlformats.org/officeDocument/2006/relationships/hyperlink" Target="https://chemicalsafety.ilo.org/dyn/icsc/showcard.display?p_card_id=0778&amp;p_lang=tr" TargetMode="External"/><Relationship Id="rId6186" Type="http://schemas.openxmlformats.org/officeDocument/2006/relationships/hyperlink" Target="https://chemicalsafety.ilo.org/dyn/icsc/showcard.display?p_card_id=1601&amp;p_lang=tr" TargetMode="External"/><Relationship Id="rId2796" Type="http://schemas.openxmlformats.org/officeDocument/2006/relationships/hyperlink" Target="https://chem.echa.europa.eu/substance-search?searchText=135-19-3" TargetMode="External"/><Relationship Id="rId3847" Type="http://schemas.openxmlformats.org/officeDocument/2006/relationships/hyperlink" Target="https://www.google.com/search?q=13494-80-9+SDS+safety+data+sheet+filetype:pdf" TargetMode="External"/><Relationship Id="rId6253" Type="http://schemas.openxmlformats.org/officeDocument/2006/relationships/hyperlink" Target="https://chemicalsafety.ilo.org/dyn/icsc/showcard.display?p_card_id=1618&amp;p_lang=en" TargetMode="External"/><Relationship Id="rId768" Type="http://schemas.openxmlformats.org/officeDocument/2006/relationships/hyperlink" Target="https://chem.echa.europa.eu/substance-search?searchText=75-56-9" TargetMode="External"/><Relationship Id="rId1398" Type="http://schemas.openxmlformats.org/officeDocument/2006/relationships/hyperlink" Target="https://chemicalsafety.ilo.org/dyn/icsc/showcard.display?p_card_id=0351&amp;p_lang=tr" TargetMode="External"/><Relationship Id="rId2449" Type="http://schemas.openxmlformats.org/officeDocument/2006/relationships/hyperlink" Target="https://chemicalsafety.ilo.org/dyn/icsc/showcard.display?p_card_id=0627&amp;p_lang=en" TargetMode="External"/><Relationship Id="rId2863" Type="http://schemas.openxmlformats.org/officeDocument/2006/relationships/hyperlink" Target="https://www.google.com/search?q=873-66-5+SDS+safety+data+sheet+filetype:pdf" TargetMode="External"/><Relationship Id="rId3914" Type="http://schemas.openxmlformats.org/officeDocument/2006/relationships/hyperlink" Target="https://chemicalsafety.ilo.org/dyn/icsc/showcard.display?p_card_id=1008&amp;p_lang=tr" TargetMode="External"/><Relationship Id="rId6320" Type="http://schemas.openxmlformats.org/officeDocument/2006/relationships/hyperlink" Target="https://chem.echa.europa.eu/substance-search?searchText=76-38-0" TargetMode="External"/><Relationship Id="rId835" Type="http://schemas.openxmlformats.org/officeDocument/2006/relationships/hyperlink" Target="https://www.google.com/search?q=75-36-5+SDS+safety+data+sheet+filetype:pdf" TargetMode="External"/><Relationship Id="rId1465" Type="http://schemas.openxmlformats.org/officeDocument/2006/relationships/hyperlink" Target="https://chemicalsafety.ilo.org/dyn/icsc/showcard.display?p_card_id=0368&amp;p_lang=en" TargetMode="External"/><Relationship Id="rId2516" Type="http://schemas.openxmlformats.org/officeDocument/2006/relationships/hyperlink" Target="https://chem.echa.europa.eu/substance-search?searchText=598-78-7" TargetMode="External"/><Relationship Id="rId1118" Type="http://schemas.openxmlformats.org/officeDocument/2006/relationships/hyperlink" Target="https://chemicalsafety.ilo.org/dyn/icsc/showcard.display?p_card_id=0281&amp;p_lang=tr" TargetMode="External"/><Relationship Id="rId1532" Type="http://schemas.openxmlformats.org/officeDocument/2006/relationships/hyperlink" Target="https://chem.echa.europa.eu/substance-search?searchText=56-55-3" TargetMode="External"/><Relationship Id="rId2930" Type="http://schemas.openxmlformats.org/officeDocument/2006/relationships/hyperlink" Target="https://chemicalsafety.ilo.org/dyn/icsc/showcard.display?p_card_id=0753&amp;p_lang=tr" TargetMode="External"/><Relationship Id="rId4688" Type="http://schemas.openxmlformats.org/officeDocument/2006/relationships/hyperlink" Target="https://chem.echa.europa.eu/substance-search?searchText=119-53-9" TargetMode="External"/><Relationship Id="rId902" Type="http://schemas.openxmlformats.org/officeDocument/2006/relationships/hyperlink" Target="https://chemicalsafety.ilo.org/dyn/icsc/showcard.display?p_card_id=0227&amp;p_lang=tr" TargetMode="External"/><Relationship Id="rId5739" Type="http://schemas.openxmlformats.org/officeDocument/2006/relationships/hyperlink" Target="https://www.google.com/search?q=9002-88-4+SDS+safety+data+sheet+filetype:pdf" TargetMode="External"/><Relationship Id="rId4755" Type="http://schemas.openxmlformats.org/officeDocument/2006/relationships/hyperlink" Target="https://www.google.com/search?q=108-77-0+SDS+safety+data+sheet+filetype:pdf" TargetMode="External"/><Relationship Id="rId5806" Type="http://schemas.openxmlformats.org/officeDocument/2006/relationships/hyperlink" Target="https://chemicalsafety.ilo.org/dyn/icsc/showcard.display?p_card_id=1505&amp;p_lang=tr" TargetMode="External"/><Relationship Id="rId278" Type="http://schemas.openxmlformats.org/officeDocument/2006/relationships/hyperlink" Target="https://chemicalsafety.ilo.org/dyn/icsc/showcard.display?p_card_id=0070&amp;p_lang=tr" TargetMode="External"/><Relationship Id="rId3357" Type="http://schemas.openxmlformats.org/officeDocument/2006/relationships/hyperlink" Target="https://chemicalsafety.ilo.org/dyn/icsc/showcard.display?p_card_id=0862&amp;p_lang=en" TargetMode="External"/><Relationship Id="rId3771" Type="http://schemas.openxmlformats.org/officeDocument/2006/relationships/hyperlink" Target="https://www.google.com/search?q=75-77-4+SDS+safety+data+sheet+filetype:pdf" TargetMode="External"/><Relationship Id="rId4408" Type="http://schemas.openxmlformats.org/officeDocument/2006/relationships/hyperlink" Target="https://chem.echa.europa.eu/substance-search?searchText=7722-88-5" TargetMode="External"/><Relationship Id="rId4822" Type="http://schemas.openxmlformats.org/officeDocument/2006/relationships/hyperlink" Target="https://chemicalsafety.ilo.org/dyn/icsc/showcard.display?p_card_id=1248&amp;p_lang=tr" TargetMode="External"/><Relationship Id="rId692" Type="http://schemas.openxmlformats.org/officeDocument/2006/relationships/hyperlink" Target="https://chem.echa.europa.eu/substance-search?searchText=12427-38-2" TargetMode="External"/><Relationship Id="rId2373" Type="http://schemas.openxmlformats.org/officeDocument/2006/relationships/hyperlink" Target="https://chemicalsafety.ilo.org/dyn/icsc/showcard.display?p_card_id=0608&amp;p_lang=en" TargetMode="External"/><Relationship Id="rId3424" Type="http://schemas.openxmlformats.org/officeDocument/2006/relationships/hyperlink" Target="https://chem.echa.europa.eu/substance-search?searchText=95-95-4" TargetMode="External"/><Relationship Id="rId345" Type="http://schemas.openxmlformats.org/officeDocument/2006/relationships/hyperlink" Target="https://chemicalsafety.ilo.org/dyn/icsc/showcard.display?p_card_id=0087&amp;p_lang=en" TargetMode="External"/><Relationship Id="rId2026" Type="http://schemas.openxmlformats.org/officeDocument/2006/relationships/hyperlink" Target="https://chemicalsafety.ilo.org/dyn/icsc/showcard.display?p_card_id=0515&amp;p_lang=tr" TargetMode="External"/><Relationship Id="rId2440" Type="http://schemas.openxmlformats.org/officeDocument/2006/relationships/hyperlink" Target="https://chem.echa.europa.eu/substance-search?searchText=56-81-5" TargetMode="External"/><Relationship Id="rId5596" Type="http://schemas.openxmlformats.org/officeDocument/2006/relationships/hyperlink" Target="https://chem.echa.europa.eu/substance-search?searchText=8014-95-7" TargetMode="External"/><Relationship Id="rId6647" Type="http://schemas.openxmlformats.org/officeDocument/2006/relationships/hyperlink" Target="https://www.google.com/search?q=110-65-6+SDS+safety+data+sheet+filetype:pdf" TargetMode="External"/><Relationship Id="rId412" Type="http://schemas.openxmlformats.org/officeDocument/2006/relationships/hyperlink" Target="https://chem.echa.europa.eu/substance-search?searchText=65-85-0" TargetMode="External"/><Relationship Id="rId1042" Type="http://schemas.openxmlformats.org/officeDocument/2006/relationships/hyperlink" Target="https://chemicalsafety.ilo.org/dyn/icsc/showcard.display?p_card_id=0262&amp;p_lang=tr" TargetMode="External"/><Relationship Id="rId4198" Type="http://schemas.openxmlformats.org/officeDocument/2006/relationships/hyperlink" Target="https://chemicalsafety.ilo.org/dyn/icsc/showcard.display?p_card_id=1084&amp;p_lang=tr" TargetMode="External"/><Relationship Id="rId5249" Type="http://schemas.openxmlformats.org/officeDocument/2006/relationships/hyperlink" Target="https://chemicalsafety.ilo.org/dyn/icsc/showcard.display?p_card_id=1359&amp;p_lang=en" TargetMode="External"/><Relationship Id="rId5663" Type="http://schemas.openxmlformats.org/officeDocument/2006/relationships/hyperlink" Target="https://www.google.com/search?q=1746-01-6+SDS+safety+data+sheet+filetype:pdf" TargetMode="External"/><Relationship Id="rId4265" Type="http://schemas.openxmlformats.org/officeDocument/2006/relationships/hyperlink" Target="https://chemicalsafety.ilo.org/dyn/icsc/showcard.display?p_card_id=1104&amp;p_lang=en" TargetMode="External"/><Relationship Id="rId5316" Type="http://schemas.openxmlformats.org/officeDocument/2006/relationships/hyperlink" Target="https://chem.echa.europa.eu/substance-search?searchText=89-32-7" TargetMode="External"/><Relationship Id="rId6714" Type="http://schemas.openxmlformats.org/officeDocument/2006/relationships/hyperlink" Target="https://chemicalsafety.ilo.org/dyn/icsc/showcard.display?p_card_id=1750&amp;p_lang=tr" TargetMode="External"/><Relationship Id="rId1859" Type="http://schemas.openxmlformats.org/officeDocument/2006/relationships/hyperlink" Target="https://www.google.com/search?q=1333-86-4+SDS+safety+data+sheet+filetype:pdf" TargetMode="External"/><Relationship Id="rId5730" Type="http://schemas.openxmlformats.org/officeDocument/2006/relationships/hyperlink" Target="https://chemicalsafety.ilo.org/dyn/icsc/showcard.display?p_card_id=1486&amp;p_lang=tr" TargetMode="External"/><Relationship Id="rId1926" Type="http://schemas.openxmlformats.org/officeDocument/2006/relationships/hyperlink" Target="https://chemicalsafety.ilo.org/dyn/icsc/showcard.display?p_card_id=0488&amp;p_lang=tr" TargetMode="External"/><Relationship Id="rId3281" Type="http://schemas.openxmlformats.org/officeDocument/2006/relationships/hyperlink" Target="https://chemicalsafety.ilo.org/dyn/icsc/showcard.display?p_card_id=0843&amp;p_lang=en" TargetMode="External"/><Relationship Id="rId4332" Type="http://schemas.openxmlformats.org/officeDocument/2006/relationships/hyperlink" Target="https://chem.echa.europa.eu/substance-search?searchText=7632-00-0" TargetMode="External"/><Relationship Id="rId3001" Type="http://schemas.openxmlformats.org/officeDocument/2006/relationships/hyperlink" Target="https://chemicalsafety.ilo.org/dyn/icsc/showcard.display?p_card_id=0771&amp;p_lang=en" TargetMode="External"/><Relationship Id="rId6157" Type="http://schemas.openxmlformats.org/officeDocument/2006/relationships/hyperlink" Target="https://chemicalsafety.ilo.org/dyn/icsc/showcard.display?p_card_id=1594&amp;p_lang=en" TargetMode="External"/><Relationship Id="rId6571" Type="http://schemas.openxmlformats.org/officeDocument/2006/relationships/hyperlink" Target="https://www.google.com/search?q=13863-41-7+SDS+safety+data+sheet+filetype:pdf" TargetMode="External"/><Relationship Id="rId2767" Type="http://schemas.openxmlformats.org/officeDocument/2006/relationships/hyperlink" Target="https://www.google.com/search?q=17702-41-9+SDS+safety+data+sheet+filetype:pdf" TargetMode="External"/><Relationship Id="rId5173" Type="http://schemas.openxmlformats.org/officeDocument/2006/relationships/hyperlink" Target="https://chemicalsafety.ilo.org/dyn/icsc/showcard.display?p_card_id=1340&amp;p_lang=en" TargetMode="External"/><Relationship Id="rId6224" Type="http://schemas.openxmlformats.org/officeDocument/2006/relationships/hyperlink" Target="https://chem.echa.europa.eu/substance-search?searchText=112-92-5" TargetMode="External"/><Relationship Id="rId739" Type="http://schemas.openxmlformats.org/officeDocument/2006/relationships/hyperlink" Target="https://www.google.com/search?q=7631-99-4+SDS+safety+data+sheet+filetype:pdf" TargetMode="External"/><Relationship Id="rId1369" Type="http://schemas.openxmlformats.org/officeDocument/2006/relationships/hyperlink" Target="https://chemicalsafety.ilo.org/dyn/icsc/showcard.display?p_card_id=0344&amp;p_lang=en" TargetMode="External"/><Relationship Id="rId3818" Type="http://schemas.openxmlformats.org/officeDocument/2006/relationships/hyperlink" Target="https://chemicalsafety.ilo.org/dyn/icsc/showcard.display?p_card_id=0979&amp;p_lang=tr" TargetMode="External"/><Relationship Id="rId5240" Type="http://schemas.openxmlformats.org/officeDocument/2006/relationships/hyperlink" Target="https://chem.echa.europa.eu/substance-search?searchText=108-68-9" TargetMode="External"/><Relationship Id="rId1783" Type="http://schemas.openxmlformats.org/officeDocument/2006/relationships/hyperlink" Target="https://www.google.com/search?q=2867-47-2+SDS+safety+data+sheet+filetype:pdf" TargetMode="External"/><Relationship Id="rId2834" Type="http://schemas.openxmlformats.org/officeDocument/2006/relationships/hyperlink" Target="https://chemicalsafety.ilo.org/dyn/icsc/showcard.display?p_card_id=0729&amp;p_lang=tr" TargetMode="External"/><Relationship Id="rId75" Type="http://schemas.openxmlformats.org/officeDocument/2006/relationships/hyperlink" Target="https://www.google.com/search?q=75-66-1+SDS+safety+data+sheet+filetype:pdf" TargetMode="External"/><Relationship Id="rId806" Type="http://schemas.openxmlformats.org/officeDocument/2006/relationships/hyperlink" Target="https://chemicalsafety.ilo.org/dyn/icsc/showcard.display?p_card_id=0202&amp;p_lang=tr" TargetMode="External"/><Relationship Id="rId1436" Type="http://schemas.openxmlformats.org/officeDocument/2006/relationships/hyperlink" Target="https://chem.echa.europa.eu/substance-search?searchText=1310-73-2" TargetMode="External"/><Relationship Id="rId1850" Type="http://schemas.openxmlformats.org/officeDocument/2006/relationships/hyperlink" Target="https://chemicalsafety.ilo.org/dyn/icsc/showcard.display?p_card_id=0469&amp;p_lang=tr" TargetMode="External"/><Relationship Id="rId2901" Type="http://schemas.openxmlformats.org/officeDocument/2006/relationships/hyperlink" Target="https://chemicalsafety.ilo.org/dyn/icsc/showcard.display?p_card_id=0746&amp;p_lang=en" TargetMode="External"/><Relationship Id="rId1503" Type="http://schemas.openxmlformats.org/officeDocument/2006/relationships/hyperlink" Target="https://www.google.com/search?q=1327-53-3+SDS+safety+data+sheet+filetype:pdf" TargetMode="External"/><Relationship Id="rId4659" Type="http://schemas.openxmlformats.org/officeDocument/2006/relationships/hyperlink" Target="https://www.google.com/search?q=7784-44-3+SDS+safety+data+sheet+filetype:pdf" TargetMode="External"/><Relationship Id="rId3675" Type="http://schemas.openxmlformats.org/officeDocument/2006/relationships/hyperlink" Target="https://www.google.com/search?q=78-90-0+SDS+safety+data+sheet+filetype:pdf" TargetMode="External"/><Relationship Id="rId4726" Type="http://schemas.openxmlformats.org/officeDocument/2006/relationships/hyperlink" Target="https://chemicalsafety.ilo.org/dyn/icsc/showcard.display?p_card_id=1224&amp;p_lang=tr" TargetMode="External"/><Relationship Id="rId6081" Type="http://schemas.openxmlformats.org/officeDocument/2006/relationships/hyperlink" Target="https://chemicalsafety.ilo.org/dyn/icsc/showcard.display?p_card_id=1575&amp;p_lang=en" TargetMode="External"/><Relationship Id="rId596" Type="http://schemas.openxmlformats.org/officeDocument/2006/relationships/hyperlink" Target="https://chem.echa.europa.eu/substance-search?searchText=88-85-7" TargetMode="External"/><Relationship Id="rId2277" Type="http://schemas.openxmlformats.org/officeDocument/2006/relationships/hyperlink" Target="https://chemicalsafety.ilo.org/dyn/icsc/showcard.display?p_card_id=0581&amp;p_lang=en" TargetMode="External"/><Relationship Id="rId2691" Type="http://schemas.openxmlformats.org/officeDocument/2006/relationships/hyperlink" Target="https://www.google.com/search?q=100-25-4+SDS+safety+data+sheet+filetype:pdf" TargetMode="External"/><Relationship Id="rId3328" Type="http://schemas.openxmlformats.org/officeDocument/2006/relationships/hyperlink" Target="https://chem.echa.europa.eu/substance-search?searchText=14977-61-8" TargetMode="External"/><Relationship Id="rId3742" Type="http://schemas.openxmlformats.org/officeDocument/2006/relationships/hyperlink" Target="https://chemicalsafety.ilo.org/dyn/icsc/showcard.display?p_card_id=0959&amp;p_lang=tr" TargetMode="External"/><Relationship Id="rId249" Type="http://schemas.openxmlformats.org/officeDocument/2006/relationships/hyperlink" Target="https://chemicalsafety.ilo.org/dyn/icsc/showcard.display?p_card_id=0063&amp;p_lang=en" TargetMode="External"/><Relationship Id="rId663" Type="http://schemas.openxmlformats.org/officeDocument/2006/relationships/hyperlink" Target="https://www.google.com/search?q=123-31-9+SDS+safety+data+sheet+filetype:pdf" TargetMode="External"/><Relationship Id="rId1293" Type="http://schemas.openxmlformats.org/officeDocument/2006/relationships/hyperlink" Target="https://chemicalsafety.ilo.org/dyn/icsc/showcard.display?p_card_id=0325&amp;p_lang=en" TargetMode="External"/><Relationship Id="rId2344" Type="http://schemas.openxmlformats.org/officeDocument/2006/relationships/hyperlink" Target="https://chem.echa.europa.eu/substance-search?searchText=75-02-5" TargetMode="External"/><Relationship Id="rId316" Type="http://schemas.openxmlformats.org/officeDocument/2006/relationships/hyperlink" Target="https://chem.echa.europa.eu/substance-search?searchText=71-55-6" TargetMode="External"/><Relationship Id="rId730" Type="http://schemas.openxmlformats.org/officeDocument/2006/relationships/hyperlink" Target="https://chemicalsafety.ilo.org/dyn/icsc/showcard.display?p_card_id=0183&amp;p_lang=tr" TargetMode="External"/><Relationship Id="rId1013" Type="http://schemas.openxmlformats.org/officeDocument/2006/relationships/hyperlink" Target="https://chemicalsafety.ilo.org/dyn/icsc/showcard.display?p_card_id=0255&amp;p_lang=en" TargetMode="External"/><Relationship Id="rId1360" Type="http://schemas.openxmlformats.org/officeDocument/2006/relationships/hyperlink" Target="https://chem.echa.europa.eu/substance-search?searchText=95-53-4" TargetMode="External"/><Relationship Id="rId2411" Type="http://schemas.openxmlformats.org/officeDocument/2006/relationships/hyperlink" Target="https://www.google.com/search?q=99-87-6+SDS+safety+data+sheet+filetype:pdf" TargetMode="External"/><Relationship Id="rId4169" Type="http://schemas.openxmlformats.org/officeDocument/2006/relationships/hyperlink" Target="https://chemicalsafety.ilo.org/dyn/icsc/showcard.display?p_card_id=1076&amp;p_lang=en" TargetMode="External"/><Relationship Id="rId5567" Type="http://schemas.openxmlformats.org/officeDocument/2006/relationships/hyperlink" Target="https://www.google.com/search?q=8009-03-8+SDS+safety+data+sheet+filetype:pdf" TargetMode="External"/><Relationship Id="rId5981" Type="http://schemas.openxmlformats.org/officeDocument/2006/relationships/hyperlink" Target="https://chemicalsafety.ilo.org/dyn/icsc/showcard.display?p_card_id=1550&amp;p_lang=en" TargetMode="External"/><Relationship Id="rId6618" Type="http://schemas.openxmlformats.org/officeDocument/2006/relationships/hyperlink" Target="https://chemicalsafety.ilo.org/dyn/icsc/showcard.display?p_card_id=1725&amp;p_lang=tr" TargetMode="External"/><Relationship Id="rId4583" Type="http://schemas.openxmlformats.org/officeDocument/2006/relationships/hyperlink" Target="https://www.google.com/search?q=10043-52-4+SDS+safety+data+sheet+filetype:pdf" TargetMode="External"/><Relationship Id="rId5634" Type="http://schemas.openxmlformats.org/officeDocument/2006/relationships/hyperlink" Target="https://chemicalsafety.ilo.org/dyn/icsc/showcard.display?p_card_id=1457&amp;p_lang=tr" TargetMode="External"/><Relationship Id="rId3185" Type="http://schemas.openxmlformats.org/officeDocument/2006/relationships/hyperlink" Target="https://chemicalsafety.ilo.org/dyn/icsc/showcard.display?p_card_id=0817&amp;p_lang=en" TargetMode="External"/><Relationship Id="rId4236" Type="http://schemas.openxmlformats.org/officeDocument/2006/relationships/hyperlink" Target="https://chem.echa.europa.eu/substance-search?searchText=61789-51-3" TargetMode="External"/><Relationship Id="rId4650" Type="http://schemas.openxmlformats.org/officeDocument/2006/relationships/hyperlink" Target="https://chemicalsafety.ilo.org/dyn/icsc/showcard.display?p_card_id=1205&amp;p_lang=tr" TargetMode="External"/><Relationship Id="rId5701" Type="http://schemas.openxmlformats.org/officeDocument/2006/relationships/hyperlink" Target="https://chemicalsafety.ilo.org/dyn/icsc/showcard.display?p_card_id=1477&amp;p_lang=en" TargetMode="External"/><Relationship Id="rId3252" Type="http://schemas.openxmlformats.org/officeDocument/2006/relationships/hyperlink" Target="https://chem.echa.europa.eu/substance-search?searchText=85-68-7" TargetMode="External"/><Relationship Id="rId4303" Type="http://schemas.openxmlformats.org/officeDocument/2006/relationships/hyperlink" Target="https://www.google.com/search?q=90-30-2+SDS+safety+data+sheet+filetype:pdf" TargetMode="External"/><Relationship Id="rId173" Type="http://schemas.openxmlformats.org/officeDocument/2006/relationships/hyperlink" Target="https://chemicalsafety.ilo.org/dyn/icsc/showcard.display?p_card_id=0044&amp;p_lang=en" TargetMode="External"/><Relationship Id="rId6475" Type="http://schemas.openxmlformats.org/officeDocument/2006/relationships/hyperlink" Target="https://www.google.com/search?q=62-23-7+SDS+safety+data+sheet+filetype:pdf" TargetMode="External"/><Relationship Id="rId240" Type="http://schemas.openxmlformats.org/officeDocument/2006/relationships/hyperlink" Target="https://chem.echa.europa.eu/substance-search?searchText=110-80-5" TargetMode="External"/><Relationship Id="rId5077" Type="http://schemas.openxmlformats.org/officeDocument/2006/relationships/hyperlink" Target="https://chemicalsafety.ilo.org/dyn/icsc/showcard.display?p_card_id=1314&amp;p_lang=en" TargetMode="External"/><Relationship Id="rId6128" Type="http://schemas.openxmlformats.org/officeDocument/2006/relationships/hyperlink" Target="https://chem.echa.europa.eu/substance-search?searchText=624-92-0" TargetMode="External"/><Relationship Id="rId4093" Type="http://schemas.openxmlformats.org/officeDocument/2006/relationships/hyperlink" Target="https://chemicalsafety.ilo.org/dyn/icsc/showcard.display?p_card_id=1054&amp;p_lang=en" TargetMode="External"/><Relationship Id="rId5144" Type="http://schemas.openxmlformats.org/officeDocument/2006/relationships/hyperlink" Target="https://chem.echa.europa.eu/substance-search?searchText=106-94-5" TargetMode="External"/><Relationship Id="rId5491" Type="http://schemas.openxmlformats.org/officeDocument/2006/relationships/hyperlink" Target="https://www.google.com/search?q=76-12-0+SDS+safety+data+sheet+filetype:pdf" TargetMode="External"/><Relationship Id="rId6542" Type="http://schemas.openxmlformats.org/officeDocument/2006/relationships/hyperlink" Target="https://chemicalsafety.ilo.org/dyn/icsc/showcard.display?p_card_id=1706&amp;p_lang=tr" TargetMode="External"/><Relationship Id="rId1687" Type="http://schemas.openxmlformats.org/officeDocument/2006/relationships/hyperlink" Target="https://www.google.com/search?q=622-45-7+SDS+safety+data+sheet+filetype:pdf" TargetMode="External"/><Relationship Id="rId2738" Type="http://schemas.openxmlformats.org/officeDocument/2006/relationships/hyperlink" Target="https://chemicalsafety.ilo.org/dyn/icsc/showcard.display?p_card_id=0705&amp;p_lang=tr" TargetMode="External"/><Relationship Id="rId1754" Type="http://schemas.openxmlformats.org/officeDocument/2006/relationships/hyperlink" Target="https://chemicalsafety.ilo.org/dyn/icsc/showcard.display?p_card_id=0443&amp;p_lang=tr" TargetMode="External"/><Relationship Id="rId2805" Type="http://schemas.openxmlformats.org/officeDocument/2006/relationships/hyperlink" Target="https://chemicalsafety.ilo.org/dyn/icsc/showcard.display?p_card_id=0722&amp;p_lang=en" TargetMode="External"/><Relationship Id="rId4160" Type="http://schemas.openxmlformats.org/officeDocument/2006/relationships/hyperlink" Target="https://chem.echa.europa.eu/substance-search?searchText=543-80-6" TargetMode="External"/><Relationship Id="rId5211" Type="http://schemas.openxmlformats.org/officeDocument/2006/relationships/hyperlink" Target="https://www.google.com/search?q=109-43-3+SDS+safety+data+sheet+filetype:pdf" TargetMode="External"/><Relationship Id="rId46" Type="http://schemas.openxmlformats.org/officeDocument/2006/relationships/hyperlink" Target="https://chemicalsafety.ilo.org/dyn/icsc/showcard.display?p_card_id=0012&amp;p_lang=tr" TargetMode="External"/><Relationship Id="rId1407" Type="http://schemas.openxmlformats.org/officeDocument/2006/relationships/hyperlink" Target="https://www.google.com/search?q=287-92-3+SDS+safety+data+sheet+filetype:pdf" TargetMode="External"/><Relationship Id="rId1821" Type="http://schemas.openxmlformats.org/officeDocument/2006/relationships/hyperlink" Target="https://chemicalsafety.ilo.org/dyn/icsc/showcard.display?p_card_id=0462&amp;p_lang=en" TargetMode="External"/><Relationship Id="rId4977" Type="http://schemas.openxmlformats.org/officeDocument/2006/relationships/hyperlink" Target="https://chemicalsafety.ilo.org/dyn/icsc/showcard.display?p_card_id=1287&amp;p_lang=en" TargetMode="External"/><Relationship Id="rId3579" Type="http://schemas.openxmlformats.org/officeDocument/2006/relationships/hyperlink" Target="https://www.google.com/search?q=5989-27-5+SDS+safety+data+sheet+filetype:pdf" TargetMode="External"/><Relationship Id="rId2595" Type="http://schemas.openxmlformats.org/officeDocument/2006/relationships/hyperlink" Target="https://www.google.com/search?q=108-11-2+SDS+safety+data+sheet+filetype:pdf" TargetMode="External"/><Relationship Id="rId3993" Type="http://schemas.openxmlformats.org/officeDocument/2006/relationships/hyperlink" Target="https://chemicalsafety.ilo.org/dyn/icsc/showcard.display?p_card_id=1029&amp;p_lang=en" TargetMode="External"/><Relationship Id="rId6052" Type="http://schemas.openxmlformats.org/officeDocument/2006/relationships/hyperlink" Target="https://chem.echa.europa.eu/substance-search?searchText=112-41-4" TargetMode="External"/><Relationship Id="rId567" Type="http://schemas.openxmlformats.org/officeDocument/2006/relationships/hyperlink" Target="https://www.google.com/search?q=95-82-9+SDS+safety+data+sheet+filetype:pdf" TargetMode="External"/><Relationship Id="rId1197" Type="http://schemas.openxmlformats.org/officeDocument/2006/relationships/hyperlink" Target="https://chemicalsafety.ilo.org/dyn/icsc/showcard.display?p_card_id=0301&amp;p_lang=en" TargetMode="External"/><Relationship Id="rId2248" Type="http://schemas.openxmlformats.org/officeDocument/2006/relationships/hyperlink" Target="https://chem.echa.europa.eu/substance-search?searchText=935-95-5" TargetMode="External"/><Relationship Id="rId3646" Type="http://schemas.openxmlformats.org/officeDocument/2006/relationships/hyperlink" Target="https://chemicalsafety.ilo.org/dyn/icsc/showcard.display?p_card_id=0935&amp;p_lang=tr" TargetMode="External"/><Relationship Id="rId981" Type="http://schemas.openxmlformats.org/officeDocument/2006/relationships/hyperlink" Target="https://chemicalsafety.ilo.org/dyn/icsc/showcard.display?p_card_id=0247&amp;p_lang=en" TargetMode="External"/><Relationship Id="rId2662" Type="http://schemas.openxmlformats.org/officeDocument/2006/relationships/hyperlink" Target="https://chemicalsafety.ilo.org/dyn/icsc/showcard.display?p_card_id=0685&amp;p_lang=tr" TargetMode="External"/><Relationship Id="rId3713" Type="http://schemas.openxmlformats.org/officeDocument/2006/relationships/hyperlink" Target="https://chemicalsafety.ilo.org/dyn/icsc/showcard.display?p_card_id=0952&amp;p_lang=en" TargetMode="External"/><Relationship Id="rId634" Type="http://schemas.openxmlformats.org/officeDocument/2006/relationships/hyperlink" Target="https://chemicalsafety.ilo.org/dyn/icsc/showcard.display?p_card_id=0159&amp;p_lang=tr" TargetMode="External"/><Relationship Id="rId1264" Type="http://schemas.openxmlformats.org/officeDocument/2006/relationships/hyperlink" Target="https://chem.echa.europa.eu/substance-search?searchText=110-89-4" TargetMode="External"/><Relationship Id="rId2315" Type="http://schemas.openxmlformats.org/officeDocument/2006/relationships/hyperlink" Target="https://www.google.com/search?q=10025-78-2+SDS+safety+data+sheet+filetype:pdf" TargetMode="External"/><Relationship Id="rId5885" Type="http://schemas.openxmlformats.org/officeDocument/2006/relationships/hyperlink" Target="https://chemicalsafety.ilo.org/dyn/icsc/showcard.display?p_card_id=1525&amp;p_lang=en" TargetMode="External"/><Relationship Id="rId701" Type="http://schemas.openxmlformats.org/officeDocument/2006/relationships/hyperlink" Target="https://chemicalsafety.ilo.org/dyn/icsc/showcard.display?p_card_id=0176&amp;p_lang=en" TargetMode="External"/><Relationship Id="rId1331" Type="http://schemas.openxmlformats.org/officeDocument/2006/relationships/hyperlink" Target="https://www.google.com/search?q=7696-12-0+SDS+safety+data+sheet+filetype:pdf" TargetMode="External"/><Relationship Id="rId4487" Type="http://schemas.openxmlformats.org/officeDocument/2006/relationships/hyperlink" Target="https://www.google.com/search?q=112-27-6+SDS+safety+data+sheet+filetype:pdf" TargetMode="External"/><Relationship Id="rId5538" Type="http://schemas.openxmlformats.org/officeDocument/2006/relationships/hyperlink" Target="https://chemicalsafety.ilo.org/dyn/icsc/showcard.display?p_card_id=1433&amp;p_lang=tr" TargetMode="External"/><Relationship Id="rId5952" Type="http://schemas.openxmlformats.org/officeDocument/2006/relationships/hyperlink" Target="https://chem.echa.europa.eu/substance-search?searchText=5307-14-2" TargetMode="External"/><Relationship Id="rId3089" Type="http://schemas.openxmlformats.org/officeDocument/2006/relationships/hyperlink" Target="https://chemicalsafety.ilo.org/dyn/icsc/showcard.display?p_card_id=0793&amp;p_lang=en" TargetMode="External"/><Relationship Id="rId4554" Type="http://schemas.openxmlformats.org/officeDocument/2006/relationships/hyperlink" Target="https://chemicalsafety.ilo.org/dyn/icsc/showcard.display?p_card_id=1177&amp;p_lang=tr" TargetMode="External"/><Relationship Id="rId5605" Type="http://schemas.openxmlformats.org/officeDocument/2006/relationships/hyperlink" Target="https://chemicalsafety.ilo.org/dyn/icsc/showcard.display?p_card_id=1450&amp;p_lang=en" TargetMode="External"/><Relationship Id="rId3156" Type="http://schemas.openxmlformats.org/officeDocument/2006/relationships/hyperlink" Target="https://chem.echa.europa.eu/substance-search?searchText=14464-46-1" TargetMode="External"/><Relationship Id="rId4207" Type="http://schemas.openxmlformats.org/officeDocument/2006/relationships/hyperlink" Target="https://www.google.com/search?q=105-45-3+SDS+safety+data+sheet+filetype:pdf" TargetMode="External"/><Relationship Id="rId491" Type="http://schemas.openxmlformats.org/officeDocument/2006/relationships/hyperlink" Target="https://www.google.com/search?q=142844-00-6+SDS+safety+data+sheet+filetype:pdf" TargetMode="External"/><Relationship Id="rId2172" Type="http://schemas.openxmlformats.org/officeDocument/2006/relationships/hyperlink" Target="https://chem.echa.europa.eu/substance-search?searchText=67-63-0" TargetMode="External"/><Relationship Id="rId3223" Type="http://schemas.openxmlformats.org/officeDocument/2006/relationships/hyperlink" Target="https://www.google.com/search?q=86-50-0+SDS+safety+data+sheet+filetype:pdf" TargetMode="External"/><Relationship Id="rId3570" Type="http://schemas.openxmlformats.org/officeDocument/2006/relationships/hyperlink" Target="https://chemicalsafety.ilo.org/dyn/icsc/showcard.display?p_card_id=0916&amp;p_lang=tr" TargetMode="External"/><Relationship Id="rId4621" Type="http://schemas.openxmlformats.org/officeDocument/2006/relationships/hyperlink" Target="https://chemicalsafety.ilo.org/dyn/icsc/showcard.display?p_card_id=1197&amp;p_lang=en" TargetMode="External"/><Relationship Id="rId6379" Type="http://schemas.openxmlformats.org/officeDocument/2006/relationships/hyperlink" Target="https://www.google.com/search?q=950-37-8+SDS+safety+data+sheet+filetype:pdf" TargetMode="External"/><Relationship Id="rId144" Type="http://schemas.openxmlformats.org/officeDocument/2006/relationships/hyperlink" Target="https://chem.echa.europa.eu/substance-search?searchText=84-74-2" TargetMode="External"/><Relationship Id="rId6793" Type="http://schemas.openxmlformats.org/officeDocument/2006/relationships/hyperlink" Target="https://chemicalsafety.ilo.org/dyn/icsc/showcard.display?p_card_id=1771&amp;p_lang=en" TargetMode="External"/><Relationship Id="rId2989" Type="http://schemas.openxmlformats.org/officeDocument/2006/relationships/hyperlink" Target="https://chemicalsafety.ilo.org/dyn/icsc/showcard.display?p_card_id=0768&amp;p_lang=en" TargetMode="External"/><Relationship Id="rId5395" Type="http://schemas.openxmlformats.org/officeDocument/2006/relationships/hyperlink" Target="https://www.google.com/search?q=10026-24-1+SDS+safety+data+sheet+filetype:pdf" TargetMode="External"/><Relationship Id="rId6446" Type="http://schemas.openxmlformats.org/officeDocument/2006/relationships/hyperlink" Target="https://chemicalsafety.ilo.org/dyn/icsc/showcard.display?p_card_id=1677&amp;p_lang=tr" TargetMode="External"/><Relationship Id="rId211" Type="http://schemas.openxmlformats.org/officeDocument/2006/relationships/hyperlink" Target="https://www.google.com/search?q=58-89-9+SDS+safety+data+sheet+filetype:pdf" TargetMode="External"/><Relationship Id="rId5048" Type="http://schemas.openxmlformats.org/officeDocument/2006/relationships/hyperlink" Target="https://chem.echa.europa.eu/substance-search?searchText=593-74-8" TargetMode="External"/><Relationship Id="rId5462" Type="http://schemas.openxmlformats.org/officeDocument/2006/relationships/hyperlink" Target="https://chemicalsafety.ilo.org/dyn/icsc/showcard.display?p_card_id=1414&amp;p_lang=tr" TargetMode="External"/><Relationship Id="rId6513" Type="http://schemas.openxmlformats.org/officeDocument/2006/relationships/hyperlink" Target="https://chemicalsafety.ilo.org/dyn/icsc/showcard.display?p_card_id=1699&amp;p_lang=en" TargetMode="External"/><Relationship Id="rId1658" Type="http://schemas.openxmlformats.org/officeDocument/2006/relationships/hyperlink" Target="https://chemicalsafety.ilo.org/dyn/icsc/showcard.display?p_card_id=0419&amp;p_lang=tr" TargetMode="External"/><Relationship Id="rId2709" Type="http://schemas.openxmlformats.org/officeDocument/2006/relationships/hyperlink" Target="https://chemicalsafety.ilo.org/dyn/icsc/showcard.display?p_card_id=0698&amp;p_lang=en" TargetMode="External"/><Relationship Id="rId4064" Type="http://schemas.openxmlformats.org/officeDocument/2006/relationships/hyperlink" Target="https://chem.echa.europa.eu/substance-search?searchText=10486-00-7" TargetMode="External"/><Relationship Id="rId5115" Type="http://schemas.openxmlformats.org/officeDocument/2006/relationships/hyperlink" Target="https://www.google.com/search?q=7789-75-5+SDS+safety+data+sheet+filetype:pdf" TargetMode="External"/><Relationship Id="rId3080" Type="http://schemas.openxmlformats.org/officeDocument/2006/relationships/hyperlink" Target="https://chem.echa.europa.eu/substance-search?searchText=100-79-8" TargetMode="External"/><Relationship Id="rId4131" Type="http://schemas.openxmlformats.org/officeDocument/2006/relationships/hyperlink" Target="https://www.google.com/search?q=7646-85-7+SDS+safety+data+sheet+filetype:pdf" TargetMode="External"/><Relationship Id="rId1725" Type="http://schemas.openxmlformats.org/officeDocument/2006/relationships/hyperlink" Target="https://chemicalsafety.ilo.org/dyn/icsc/showcard.display?p_card_id=0436&amp;p_lang=en" TargetMode="External"/><Relationship Id="rId17" Type="http://schemas.openxmlformats.org/officeDocument/2006/relationships/hyperlink" Target="https://chemicalsafety.ilo.org/dyn/icsc/showcard.display?p_card_id=0005&amp;p_lang=en" TargetMode="External"/><Relationship Id="rId3897" Type="http://schemas.openxmlformats.org/officeDocument/2006/relationships/hyperlink" Target="https://chemicalsafety.ilo.org/dyn/icsc/showcard.display?p_card_id=1003&amp;p_lang=en" TargetMode="External"/><Relationship Id="rId4948" Type="http://schemas.openxmlformats.org/officeDocument/2006/relationships/hyperlink" Target="https://chem.echa.europa.eu/substance-search?searchText=6104-30-9" TargetMode="External"/><Relationship Id="rId2499" Type="http://schemas.openxmlformats.org/officeDocument/2006/relationships/hyperlink" Target="https://www.google.com/search?q=79-07-2+SDS+safety+data+sheet+filetype:pdf" TargetMode="External"/><Relationship Id="rId3964" Type="http://schemas.openxmlformats.org/officeDocument/2006/relationships/hyperlink" Target="https://chem.echa.europa.eu/substance-search?searchText=76-22-2" TargetMode="External"/><Relationship Id="rId6370" Type="http://schemas.openxmlformats.org/officeDocument/2006/relationships/hyperlink" Target="https://chemicalsafety.ilo.org/dyn/icsc/showcard.display?p_card_id=1655&amp;p_lang=tr" TargetMode="External"/><Relationship Id="rId1" Type="http://schemas.openxmlformats.org/officeDocument/2006/relationships/hyperlink" Target="https://chemicalsafety.ilo.org/dyn/icsc/showcard.display?p_card_id=0001&amp;p_lang=en" TargetMode="External"/><Relationship Id="rId885" Type="http://schemas.openxmlformats.org/officeDocument/2006/relationships/hyperlink" Target="https://chemicalsafety.ilo.org/dyn/icsc/showcard.display?p_card_id=0223&amp;p_lang=en" TargetMode="External"/><Relationship Id="rId2566" Type="http://schemas.openxmlformats.org/officeDocument/2006/relationships/hyperlink" Target="https://chemicalsafety.ilo.org/dyn/icsc/showcard.display?p_card_id=0658&amp;p_lang=tr" TargetMode="External"/><Relationship Id="rId2980" Type="http://schemas.openxmlformats.org/officeDocument/2006/relationships/hyperlink" Target="https://chem.echa.europa.eu/substance-search?searchText=7778-44-1" TargetMode="External"/><Relationship Id="rId3617" Type="http://schemas.openxmlformats.org/officeDocument/2006/relationships/hyperlink" Target="https://chemicalsafety.ilo.org/dyn/icsc/showcard.display?p_card_id=0928&amp;p_lang=en" TargetMode="External"/><Relationship Id="rId6023" Type="http://schemas.openxmlformats.org/officeDocument/2006/relationships/hyperlink" Target="https://www.google.com/search?q=9004-70-0+SDS+safety+data+sheet+filetype:pdf" TargetMode="External"/><Relationship Id="rId538" Type="http://schemas.openxmlformats.org/officeDocument/2006/relationships/hyperlink" Target="https://chemicalsafety.ilo.org/dyn/icsc/showcard.display?p_card_id=0135&amp;p_lang=tr" TargetMode="External"/><Relationship Id="rId952" Type="http://schemas.openxmlformats.org/officeDocument/2006/relationships/hyperlink" Target="https://chem.echa.europa.eu/substance-search?searchText=35764-59-1" TargetMode="External"/><Relationship Id="rId1168" Type="http://schemas.openxmlformats.org/officeDocument/2006/relationships/hyperlink" Target="https://chem.echa.europa.eu/substance-search?searchText=590-67-0" TargetMode="External"/><Relationship Id="rId1582" Type="http://schemas.openxmlformats.org/officeDocument/2006/relationships/hyperlink" Target="https://chemicalsafety.ilo.org/dyn/icsc/showcard.display?p_card_id=0399&amp;p_lang=tr" TargetMode="External"/><Relationship Id="rId2219" Type="http://schemas.openxmlformats.org/officeDocument/2006/relationships/hyperlink" Target="https://www.google.com/search?q=1302-42-7+SDS+safety+data+sheet+filetype:pdf" TargetMode="External"/><Relationship Id="rId2633" Type="http://schemas.openxmlformats.org/officeDocument/2006/relationships/hyperlink" Target="https://chemicalsafety.ilo.org/dyn/icsc/showcard.display?p_card_id=0676&amp;p_lang=en" TargetMode="External"/><Relationship Id="rId5789" Type="http://schemas.openxmlformats.org/officeDocument/2006/relationships/hyperlink" Target="https://chemicalsafety.ilo.org/dyn/icsc/showcard.display?p_card_id=1501&amp;p_lang=en" TargetMode="External"/><Relationship Id="rId605" Type="http://schemas.openxmlformats.org/officeDocument/2006/relationships/hyperlink" Target="https://chemicalsafety.ilo.org/dyn/icsc/showcard.display?p_card_id=0152&amp;p_lang=en" TargetMode="External"/><Relationship Id="rId1235" Type="http://schemas.openxmlformats.org/officeDocument/2006/relationships/hyperlink" Target="https://www.google.com/search?q=556-67-2+SDS+safety+data+sheet+filetype:pdf" TargetMode="External"/><Relationship Id="rId1302" Type="http://schemas.openxmlformats.org/officeDocument/2006/relationships/hyperlink" Target="https://chemicalsafety.ilo.org/dyn/icsc/showcard.display?p_card_id=0327&amp;p_lang=tr" TargetMode="External"/><Relationship Id="rId2700" Type="http://schemas.openxmlformats.org/officeDocument/2006/relationships/hyperlink" Target="https://chem.echa.europa.eu/substance-search?searchText=50-00-0" TargetMode="External"/><Relationship Id="rId4458" Type="http://schemas.openxmlformats.org/officeDocument/2006/relationships/hyperlink" Target="https://chemicalsafety.ilo.org/dyn/icsc/showcard.display?p_card_id=1153&amp;p_lang=tr" TargetMode="External"/><Relationship Id="rId5856" Type="http://schemas.openxmlformats.org/officeDocument/2006/relationships/hyperlink" Target="https://chem.echa.europa.eu/substance-search?searchText=25322-68-3" TargetMode="External"/><Relationship Id="rId4872" Type="http://schemas.openxmlformats.org/officeDocument/2006/relationships/hyperlink" Target="https://chem.echa.europa.eu/substance-search?searchText=103-82-2" TargetMode="External"/><Relationship Id="rId5509" Type="http://schemas.openxmlformats.org/officeDocument/2006/relationships/hyperlink" Target="https://chemicalsafety.ilo.org/dyn/icsc/showcard.display?p_card_id=1426&amp;p_lang=en" TargetMode="External"/><Relationship Id="rId5923" Type="http://schemas.openxmlformats.org/officeDocument/2006/relationships/hyperlink" Target="https://www.google.com/search?q=7440-24-6+SDS+safety+data+sheet+filetype:pdf" TargetMode="External"/><Relationship Id="rId395" Type="http://schemas.openxmlformats.org/officeDocument/2006/relationships/hyperlink" Target="https://www.google.com/search?q=1912-24-9+SDS+safety+data+sheet+filetype:pdf" TargetMode="External"/><Relationship Id="rId2076" Type="http://schemas.openxmlformats.org/officeDocument/2006/relationships/hyperlink" Target="https://chem.echa.europa.eu/substance-search?searchText=144-62-7" TargetMode="External"/><Relationship Id="rId3474" Type="http://schemas.openxmlformats.org/officeDocument/2006/relationships/hyperlink" Target="https://chemicalsafety.ilo.org/dyn/icsc/showcard.display?p_card_id=0892&amp;p_lang=tr" TargetMode="External"/><Relationship Id="rId4525" Type="http://schemas.openxmlformats.org/officeDocument/2006/relationships/hyperlink" Target="https://chemicalsafety.ilo.org/dyn/icsc/showcard.display?p_card_id=1170&amp;p_lang=en" TargetMode="External"/><Relationship Id="rId2490" Type="http://schemas.openxmlformats.org/officeDocument/2006/relationships/hyperlink" Target="https://chemicalsafety.ilo.org/dyn/icsc/showcard.display?p_card_id=0637&amp;p_lang=tr" TargetMode="External"/><Relationship Id="rId3127" Type="http://schemas.openxmlformats.org/officeDocument/2006/relationships/hyperlink" Target="https://www.google.com/search?q=108-99-6+SDS+safety+data+sheet+filetype:pdf" TargetMode="External"/><Relationship Id="rId3541" Type="http://schemas.openxmlformats.org/officeDocument/2006/relationships/hyperlink" Target="https://chemicalsafety.ilo.org/dyn/icsc/showcard.display?p_card_id=0909&amp;p_lang=en" TargetMode="External"/><Relationship Id="rId6697" Type="http://schemas.openxmlformats.org/officeDocument/2006/relationships/hyperlink" Target="https://chemicalsafety.ilo.org/dyn/icsc/showcard.display?p_card_id=1746&amp;p_lang=en" TargetMode="External"/><Relationship Id="rId462" Type="http://schemas.openxmlformats.org/officeDocument/2006/relationships/hyperlink" Target="https://chemicalsafety.ilo.org/dyn/icsc/showcard.display?p_card_id=0116&amp;p_lang=tr" TargetMode="External"/><Relationship Id="rId1092" Type="http://schemas.openxmlformats.org/officeDocument/2006/relationships/hyperlink" Target="https://chem.echa.europa.eu/substance-search?searchText=144-49-0" TargetMode="External"/><Relationship Id="rId2143" Type="http://schemas.openxmlformats.org/officeDocument/2006/relationships/hyperlink" Target="https://www.google.com/search?q=127-08-2+SDS+safety+data+sheet+filetype:pdf" TargetMode="External"/><Relationship Id="rId5299" Type="http://schemas.openxmlformats.org/officeDocument/2006/relationships/hyperlink" Target="https://www.google.com/search?q=7778-50-9+SDS+safety+data+sheet+filetype:pdf" TargetMode="External"/><Relationship Id="rId6764" Type="http://schemas.openxmlformats.org/officeDocument/2006/relationships/hyperlink" Target="https://chem.echa.europa.eu/substance-search?searchText=611-19-8" TargetMode="External"/><Relationship Id="rId115" Type="http://schemas.openxmlformats.org/officeDocument/2006/relationships/hyperlink" Target="https://www.google.com/search?q=7440-47-3+SDS+safety+data+sheet+filetype:pdf" TargetMode="External"/><Relationship Id="rId2210" Type="http://schemas.openxmlformats.org/officeDocument/2006/relationships/hyperlink" Target="https://chemicalsafety.ilo.org/dyn/icsc/showcard.display?p_card_id=0564&amp;p_lang=tr" TargetMode="External"/><Relationship Id="rId5366" Type="http://schemas.openxmlformats.org/officeDocument/2006/relationships/hyperlink" Target="https://chemicalsafety.ilo.org/dyn/icsc/showcard.display?p_card_id=1389&amp;p_lang=tr" TargetMode="External"/><Relationship Id="rId6417" Type="http://schemas.openxmlformats.org/officeDocument/2006/relationships/hyperlink" Target="https://chemicalsafety.ilo.org/dyn/icsc/showcard.display?p_card_id=1670&amp;p_lang=en" TargetMode="External"/><Relationship Id="rId4382" Type="http://schemas.openxmlformats.org/officeDocument/2006/relationships/hyperlink" Target="https://chemicalsafety.ilo.org/dyn/icsc/showcard.display?p_card_id=1134&amp;p_lang=tr" TargetMode="External"/><Relationship Id="rId5019" Type="http://schemas.openxmlformats.org/officeDocument/2006/relationships/hyperlink" Target="https://www.google.com/search?q=150-78-7+SDS+safety+data+sheet+filetype:pdf" TargetMode="External"/><Relationship Id="rId5433" Type="http://schemas.openxmlformats.org/officeDocument/2006/relationships/hyperlink" Target="https://chemicalsafety.ilo.org/dyn/icsc/showcard.display?p_card_id=1407&amp;p_lang=en" TargetMode="External"/><Relationship Id="rId5780" Type="http://schemas.openxmlformats.org/officeDocument/2006/relationships/hyperlink" Target="https://chem.echa.europa.eu/substance-search?searchText=60-11-7" TargetMode="External"/><Relationship Id="rId6831" Type="http://schemas.openxmlformats.org/officeDocument/2006/relationships/hyperlink" Target="https://www.google.com/search?q=ZINC+OXIDE+(NANOFORM)+SDS+safety+data+sheet+filetype:pdf" TargetMode="External"/><Relationship Id="rId1976" Type="http://schemas.openxmlformats.org/officeDocument/2006/relationships/hyperlink" Target="https://chem.echa.europa.eu/substance-search?searchText=121-91-5" TargetMode="External"/><Relationship Id="rId4035" Type="http://schemas.openxmlformats.org/officeDocument/2006/relationships/hyperlink" Target="https://www.google.com/search?q=7790-94-5+SDS+safety+data+sheet+filetype:pdf" TargetMode="External"/><Relationship Id="rId1629" Type="http://schemas.openxmlformats.org/officeDocument/2006/relationships/hyperlink" Target="https://chemicalsafety.ilo.org/dyn/icsc/showcard.display?p_card_id=0411&amp;p_lang=en" TargetMode="External"/><Relationship Id="rId5500" Type="http://schemas.openxmlformats.org/officeDocument/2006/relationships/hyperlink" Target="https://chem.echa.europa.eu/substance-search?searchText=600-25-9" TargetMode="External"/><Relationship Id="rId3051" Type="http://schemas.openxmlformats.org/officeDocument/2006/relationships/hyperlink" Target="https://www.google.com/search?q=7646-79-9+SDS+safety+data+sheet+filetype:pdf" TargetMode="External"/><Relationship Id="rId4102" Type="http://schemas.openxmlformats.org/officeDocument/2006/relationships/hyperlink" Target="https://chemicalsafety.ilo.org/dyn/icsc/showcard.display?p_card_id=1056&amp;p_lang=tr" TargetMode="External"/><Relationship Id="rId3868" Type="http://schemas.openxmlformats.org/officeDocument/2006/relationships/hyperlink" Target="https://chem.echa.europa.eu/substance-search?searchText=7789-82-4" TargetMode="External"/><Relationship Id="rId4919" Type="http://schemas.openxmlformats.org/officeDocument/2006/relationships/hyperlink" Target="https://www.google.com/search?q=137-05-3+SDS+safety+data+sheet+filetype:pdf" TargetMode="External"/><Relationship Id="rId6274" Type="http://schemas.openxmlformats.org/officeDocument/2006/relationships/hyperlink" Target="https://chemicalsafety.ilo.org/dyn/icsc/showcard.display?p_card_id=1623&amp;p_lang=tr" TargetMode="External"/><Relationship Id="rId789" Type="http://schemas.openxmlformats.org/officeDocument/2006/relationships/hyperlink" Target="https://chemicalsafety.ilo.org/dyn/icsc/showcard.display?p_card_id=0198&amp;p_lang=en" TargetMode="External"/><Relationship Id="rId2884" Type="http://schemas.openxmlformats.org/officeDocument/2006/relationships/hyperlink" Target="https://chem.echa.europa.eu/substance-search?searchText=60-51-5" TargetMode="External"/><Relationship Id="rId5290" Type="http://schemas.openxmlformats.org/officeDocument/2006/relationships/hyperlink" Target="https://chemicalsafety.ilo.org/dyn/icsc/showcard.display?p_card_id=1369&amp;p_lang=tr" TargetMode="External"/><Relationship Id="rId6341" Type="http://schemas.openxmlformats.org/officeDocument/2006/relationships/hyperlink" Target="https://chemicalsafety.ilo.org/dyn/icsc/showcard.display?p_card_id=1643&amp;p_lang=en" TargetMode="External"/><Relationship Id="rId856" Type="http://schemas.openxmlformats.org/officeDocument/2006/relationships/hyperlink" Target="https://chem.echa.europa.eu/substance-search?searchText=1336-21-6" TargetMode="External"/><Relationship Id="rId1486" Type="http://schemas.openxmlformats.org/officeDocument/2006/relationships/hyperlink" Target="https://chemicalsafety.ilo.org/dyn/icsc/showcard.display?p_card_id=0374&amp;p_lang=tr" TargetMode="External"/><Relationship Id="rId2537" Type="http://schemas.openxmlformats.org/officeDocument/2006/relationships/hyperlink" Target="https://chemicalsafety.ilo.org/dyn/icsc/showcard.display?p_card_id=0651&amp;p_lang=en" TargetMode="External"/><Relationship Id="rId3935" Type="http://schemas.openxmlformats.org/officeDocument/2006/relationships/hyperlink" Target="https://www.google.com/search?q=100-66-3+SDS+safety+data+sheet+filetype:pdf" TargetMode="External"/><Relationship Id="rId509" Type="http://schemas.openxmlformats.org/officeDocument/2006/relationships/hyperlink" Target="https://chemicalsafety.ilo.org/dyn/icsc/showcard.display?p_card_id=0128&amp;p_lang=en" TargetMode="External"/><Relationship Id="rId1139" Type="http://schemas.openxmlformats.org/officeDocument/2006/relationships/hyperlink" Target="https://www.google.com/search?q=513-36-0+SDS+safety+data+sheet+filetype:pdf" TargetMode="External"/><Relationship Id="rId2951" Type="http://schemas.openxmlformats.org/officeDocument/2006/relationships/hyperlink" Target="https://www.google.com/search?q=2275-23-2+SDS+safety+data+sheet+filetype:pdf" TargetMode="External"/><Relationship Id="rId5010" Type="http://schemas.openxmlformats.org/officeDocument/2006/relationships/hyperlink" Target="https://chemicalsafety.ilo.org/dyn/icsc/showcard.display?p_card_id=1295&amp;p_lang=tr" TargetMode="External"/><Relationship Id="rId923" Type="http://schemas.openxmlformats.org/officeDocument/2006/relationships/hyperlink" Target="https://www.google.com/search?q=106-97-8+SDS+safety+data+sheet+filetype:pdf" TargetMode="External"/><Relationship Id="rId1553" Type="http://schemas.openxmlformats.org/officeDocument/2006/relationships/hyperlink" Target="https://chemicalsafety.ilo.org/dyn/icsc/showcard.display?p_card_id=0391&amp;p_lang=en" TargetMode="External"/><Relationship Id="rId2604" Type="http://schemas.openxmlformats.org/officeDocument/2006/relationships/hyperlink" Target="https://chem.echa.europa.eu/substance-search?searchText=2243-62-1" TargetMode="External"/><Relationship Id="rId1206" Type="http://schemas.openxmlformats.org/officeDocument/2006/relationships/hyperlink" Target="https://chemicalsafety.ilo.org/dyn/icsc/showcard.display?p_card_id=0303&amp;p_lang=tr" TargetMode="External"/><Relationship Id="rId1620" Type="http://schemas.openxmlformats.org/officeDocument/2006/relationships/hyperlink" Target="https://chem.echa.europa.eu/substance-search?searchText=1305-62-0" TargetMode="External"/><Relationship Id="rId4776" Type="http://schemas.openxmlformats.org/officeDocument/2006/relationships/hyperlink" Target="https://chem.echa.europa.eu/substance-search?searchText=16090-02-1" TargetMode="External"/><Relationship Id="rId5827" Type="http://schemas.openxmlformats.org/officeDocument/2006/relationships/hyperlink" Target="https://www.google.com/search?q=6804-07-5+SDS+safety+data+sheet+filetype:pdf" TargetMode="External"/><Relationship Id="rId3378" Type="http://schemas.openxmlformats.org/officeDocument/2006/relationships/hyperlink" Target="https://chemicalsafety.ilo.org/dyn/icsc/showcard.display?p_card_id=0868&amp;p_lang=tr" TargetMode="External"/><Relationship Id="rId3792" Type="http://schemas.openxmlformats.org/officeDocument/2006/relationships/hyperlink" Target="https://chem.echa.europa.eu/substance-search?searchText=104-94-9" TargetMode="External"/><Relationship Id="rId4429" Type="http://schemas.openxmlformats.org/officeDocument/2006/relationships/hyperlink" Target="https://chemicalsafety.ilo.org/dyn/icsc/showcard.display?p_card_id=1146&amp;p_lang=en" TargetMode="External"/><Relationship Id="rId4843" Type="http://schemas.openxmlformats.org/officeDocument/2006/relationships/hyperlink" Target="https://www.google.com/search?q=78-81-9+SDS+safety+data+sheet+filetype:pdf" TargetMode="External"/><Relationship Id="rId299" Type="http://schemas.openxmlformats.org/officeDocument/2006/relationships/hyperlink" Target="https://www.google.com/search?q=93-76-5+SDS+safety+data+sheet+filetype:pdf" TargetMode="External"/><Relationship Id="rId2394" Type="http://schemas.openxmlformats.org/officeDocument/2006/relationships/hyperlink" Target="https://chemicalsafety.ilo.org/dyn/icsc/showcard.display?p_card_id=0613&amp;p_lang=tr" TargetMode="External"/><Relationship Id="rId3445" Type="http://schemas.openxmlformats.org/officeDocument/2006/relationships/hyperlink" Target="https://chemicalsafety.ilo.org/dyn/icsc/showcard.display?p_card_id=0885&amp;p_lang=en" TargetMode="External"/><Relationship Id="rId366" Type="http://schemas.openxmlformats.org/officeDocument/2006/relationships/hyperlink" Target="https://chemicalsafety.ilo.org/dyn/icsc/showcard.display?p_card_id=0092&amp;p_lang=tr" TargetMode="External"/><Relationship Id="rId780" Type="http://schemas.openxmlformats.org/officeDocument/2006/relationships/hyperlink" Target="https://chem.echa.europa.eu/substance-search?searchText=SLAG+WOOL" TargetMode="External"/><Relationship Id="rId2047" Type="http://schemas.openxmlformats.org/officeDocument/2006/relationships/hyperlink" Target="https://www.google.com/search?q=65-31-6+SDS+safety+data+sheet+filetype:pdf" TargetMode="External"/><Relationship Id="rId2461" Type="http://schemas.openxmlformats.org/officeDocument/2006/relationships/hyperlink" Target="https://chemicalsafety.ilo.org/dyn/icsc/showcard.display?p_card_id=0630&amp;p_lang=en" TargetMode="External"/><Relationship Id="rId3512" Type="http://schemas.openxmlformats.org/officeDocument/2006/relationships/hyperlink" Target="https://chem.echa.europa.eu/substance-search?searchText=75-28-5" TargetMode="External"/><Relationship Id="rId4910" Type="http://schemas.openxmlformats.org/officeDocument/2006/relationships/hyperlink" Target="https://chemicalsafety.ilo.org/dyn/icsc/showcard.display?p_card_id=1270&amp;p_lang=tr" TargetMode="External"/><Relationship Id="rId6668" Type="http://schemas.openxmlformats.org/officeDocument/2006/relationships/hyperlink" Target="https://chem.echa.europa.eu/substance-search?searchText=526-95-4" TargetMode="External"/><Relationship Id="rId433" Type="http://schemas.openxmlformats.org/officeDocument/2006/relationships/hyperlink" Target="https://chemicalsafety.ilo.org/dyn/icsc/showcard.display?p_card_id=0109&amp;p_lang=en" TargetMode="External"/><Relationship Id="rId1063" Type="http://schemas.openxmlformats.org/officeDocument/2006/relationships/hyperlink" Target="https://www.google.com/search?q=140-88-5+SDS+safety+data+sheet+filetype:pdf" TargetMode="External"/><Relationship Id="rId2114" Type="http://schemas.openxmlformats.org/officeDocument/2006/relationships/hyperlink" Target="https://chemicalsafety.ilo.org/dyn/icsc/showcard.display?p_card_id=0539&amp;p_lang=tr" TargetMode="External"/><Relationship Id="rId4286" Type="http://schemas.openxmlformats.org/officeDocument/2006/relationships/hyperlink" Target="https://chemicalsafety.ilo.org/dyn/icsc/showcard.display?p_card_id=1109&amp;p_lang=tr" TargetMode="External"/><Relationship Id="rId5684" Type="http://schemas.openxmlformats.org/officeDocument/2006/relationships/hyperlink" Target="https://chem.echa.europa.eu/substance-search?searchText=89-72-5" TargetMode="External"/><Relationship Id="rId6735" Type="http://schemas.openxmlformats.org/officeDocument/2006/relationships/hyperlink" Target="https://www.google.com/search?q=3691-35-8+SDS+safety+data+sheet+filetype:pdf" TargetMode="External"/><Relationship Id="rId500" Type="http://schemas.openxmlformats.org/officeDocument/2006/relationships/hyperlink" Target="https://chem.echa.europa.eu/substance-search?searchText=19750-95-9" TargetMode="External"/><Relationship Id="rId1130" Type="http://schemas.openxmlformats.org/officeDocument/2006/relationships/hyperlink" Target="https://chemicalsafety.ilo.org/dyn/icsc/showcard.display?p_card_id=0284&amp;p_lang=tr" TargetMode="External"/><Relationship Id="rId5337" Type="http://schemas.openxmlformats.org/officeDocument/2006/relationships/hyperlink" Target="https://chemicalsafety.ilo.org/dyn/icsc/showcard.display?p_card_id=1381&amp;p_lang=en" TargetMode="External"/><Relationship Id="rId5751" Type="http://schemas.openxmlformats.org/officeDocument/2006/relationships/hyperlink" Target="https://www.google.com/search?q=109-59-1+SDS+safety+data+sheet+filetype:pdf" TargetMode="External"/><Relationship Id="rId6802" Type="http://schemas.openxmlformats.org/officeDocument/2006/relationships/hyperlink" Target="https://chemicalsafety.ilo.org/dyn/icsc/showcard.display?p_card_id=1773&amp;p_lang=tr" TargetMode="External"/><Relationship Id="rId1947" Type="http://schemas.openxmlformats.org/officeDocument/2006/relationships/hyperlink" Target="https://www.google.com/search?q=110-97-4+SDS+safety+data+sheet+filetype:pdf" TargetMode="External"/><Relationship Id="rId4353" Type="http://schemas.openxmlformats.org/officeDocument/2006/relationships/hyperlink" Target="https://chemicalsafety.ilo.org/dyn/icsc/showcard.display?p_card_id=1126&amp;p_lang=en" TargetMode="External"/><Relationship Id="rId5404" Type="http://schemas.openxmlformats.org/officeDocument/2006/relationships/hyperlink" Target="https://chem.echa.europa.eu/substance-search?searchText=1317-35-7" TargetMode="External"/><Relationship Id="rId4006" Type="http://schemas.openxmlformats.org/officeDocument/2006/relationships/hyperlink" Target="https://chemicalsafety.ilo.org/dyn/icsc/showcard.display?p_card_id=1032&amp;p_lang=tr" TargetMode="External"/><Relationship Id="rId4420" Type="http://schemas.openxmlformats.org/officeDocument/2006/relationships/hyperlink" Target="https://chem.echa.europa.eu/substance-search?searchText=299-86-5" TargetMode="External"/><Relationship Id="rId290" Type="http://schemas.openxmlformats.org/officeDocument/2006/relationships/hyperlink" Target="https://chemicalsafety.ilo.org/dyn/icsc/showcard.display?p_card_id=0073&amp;p_lang=tr" TargetMode="External"/><Relationship Id="rId3022" Type="http://schemas.openxmlformats.org/officeDocument/2006/relationships/hyperlink" Target="https://chemicalsafety.ilo.org/dyn/icsc/showcard.display?p_card_id=0776&amp;p_lang=tr" TargetMode="External"/><Relationship Id="rId6178" Type="http://schemas.openxmlformats.org/officeDocument/2006/relationships/hyperlink" Target="https://chemicalsafety.ilo.org/dyn/icsc/showcard.display?p_card_id=1599&amp;p_lang=tr" TargetMode="External"/><Relationship Id="rId6592" Type="http://schemas.openxmlformats.org/officeDocument/2006/relationships/hyperlink" Target="https://chem.echa.europa.eu/substance-search?searchText=112-57-2" TargetMode="External"/><Relationship Id="rId5194" Type="http://schemas.openxmlformats.org/officeDocument/2006/relationships/hyperlink" Target="https://chemicalsafety.ilo.org/dyn/icsc/showcard.display?p_card_id=1345&amp;p_lang=tr" TargetMode="External"/><Relationship Id="rId6245" Type="http://schemas.openxmlformats.org/officeDocument/2006/relationships/hyperlink" Target="https://chemicalsafety.ilo.org/dyn/icsc/showcard.display?p_card_id=1616&amp;p_lang=en" TargetMode="External"/><Relationship Id="rId2788" Type="http://schemas.openxmlformats.org/officeDocument/2006/relationships/hyperlink" Target="https://chem.echa.europa.eu/substance-search?searchText=7440-23-5" TargetMode="External"/><Relationship Id="rId3839" Type="http://schemas.openxmlformats.org/officeDocument/2006/relationships/hyperlink" Target="https://www.google.com/search?q=10112-91-1+SDS+safety+data+sheet+filetype:pdf" TargetMode="External"/><Relationship Id="rId2855" Type="http://schemas.openxmlformats.org/officeDocument/2006/relationships/hyperlink" Target="https://www.google.com/search?q=100-80-1+SDS+safety+data+sheet+filetype:pdf" TargetMode="External"/><Relationship Id="rId3906" Type="http://schemas.openxmlformats.org/officeDocument/2006/relationships/hyperlink" Target="https://chemicalsafety.ilo.org/dyn/icsc/showcard.display?p_card_id=1006&amp;p_lang=tr" TargetMode="External"/><Relationship Id="rId5261" Type="http://schemas.openxmlformats.org/officeDocument/2006/relationships/hyperlink" Target="https://chemicalsafety.ilo.org/dyn/icsc/showcard.display?p_card_id=1362&amp;p_lang=en" TargetMode="External"/><Relationship Id="rId6312" Type="http://schemas.openxmlformats.org/officeDocument/2006/relationships/hyperlink" Target="https://chem.echa.europa.eu/substance-search?searchText=544-17-2" TargetMode="External"/><Relationship Id="rId96" Type="http://schemas.openxmlformats.org/officeDocument/2006/relationships/hyperlink" Target="https://chem.echa.europa.eu/substance-search?searchText=56-23-5" TargetMode="External"/><Relationship Id="rId827" Type="http://schemas.openxmlformats.org/officeDocument/2006/relationships/hyperlink" Target="https://www.google.com/search?q=1314-13-2+SDS+safety+data+sheet+filetype:pdf" TargetMode="External"/><Relationship Id="rId1457" Type="http://schemas.openxmlformats.org/officeDocument/2006/relationships/hyperlink" Target="https://chemicalsafety.ilo.org/dyn/icsc/showcard.display?p_card_id=0366&amp;p_lang=en" TargetMode="External"/><Relationship Id="rId1871" Type="http://schemas.openxmlformats.org/officeDocument/2006/relationships/hyperlink" Target="https://www.google.com/search?q=558-13-4+SDS+safety+data+sheet+filetype:pdf" TargetMode="External"/><Relationship Id="rId2508" Type="http://schemas.openxmlformats.org/officeDocument/2006/relationships/hyperlink" Target="https://chem.echa.europa.eu/substance-search?searchText=108-90-7" TargetMode="External"/><Relationship Id="rId2922" Type="http://schemas.openxmlformats.org/officeDocument/2006/relationships/hyperlink" Target="https://chemicalsafety.ilo.org/dyn/icsc/showcard.display?p_card_id=0751&amp;p_lang=tr" TargetMode="External"/><Relationship Id="rId1524" Type="http://schemas.openxmlformats.org/officeDocument/2006/relationships/hyperlink" Target="https://chem.echa.europa.eu/substance-search?searchText=741-58-2" TargetMode="External"/><Relationship Id="rId3696" Type="http://schemas.openxmlformats.org/officeDocument/2006/relationships/hyperlink" Target="https://chem.echa.europa.eu/substance-search?searchText=7783-79-1" TargetMode="External"/><Relationship Id="rId4747" Type="http://schemas.openxmlformats.org/officeDocument/2006/relationships/hyperlink" Target="https://www.google.com/search?q=1330-43-4+SDS+safety+data+sheet+filetype:pdf" TargetMode="External"/><Relationship Id="rId2298" Type="http://schemas.openxmlformats.org/officeDocument/2006/relationships/hyperlink" Target="https://chemicalsafety.ilo.org/dyn/icsc/showcard.display?p_card_id=0587&amp;p_lang=tr" TargetMode="External"/><Relationship Id="rId3349" Type="http://schemas.openxmlformats.org/officeDocument/2006/relationships/hyperlink" Target="https://chemicalsafety.ilo.org/dyn/icsc/showcard.display?p_card_id=0860&amp;p_lang=en" TargetMode="External"/><Relationship Id="rId684" Type="http://schemas.openxmlformats.org/officeDocument/2006/relationships/hyperlink" Target="https://chem.echa.europa.eu/substance-search?searchText=4016-14-2" TargetMode="External"/><Relationship Id="rId2365" Type="http://schemas.openxmlformats.org/officeDocument/2006/relationships/hyperlink" Target="https://chemicalsafety.ilo.org/dyn/icsc/showcard.display?p_card_id=0606&amp;p_lang=en" TargetMode="External"/><Relationship Id="rId3763" Type="http://schemas.openxmlformats.org/officeDocument/2006/relationships/hyperlink" Target="https://www.google.com/search?q=26523-78-4+SDS+safety+data+sheet+filetype:pdf" TargetMode="External"/><Relationship Id="rId4814" Type="http://schemas.openxmlformats.org/officeDocument/2006/relationships/hyperlink" Target="https://chemicalsafety.ilo.org/dyn/icsc/showcard.display?p_card_id=1246&amp;p_lang=tr" TargetMode="External"/><Relationship Id="rId337" Type="http://schemas.openxmlformats.org/officeDocument/2006/relationships/hyperlink" Target="https://chemicalsafety.ilo.org/dyn/icsc/showcard.display?p_card_id=0085&amp;p_lang=en" TargetMode="External"/><Relationship Id="rId2018" Type="http://schemas.openxmlformats.org/officeDocument/2006/relationships/hyperlink" Target="https://chemicalsafety.ilo.org/dyn/icsc/showcard.display?p_card_id=0513&amp;p_lang=tr" TargetMode="External"/><Relationship Id="rId3416" Type="http://schemas.openxmlformats.org/officeDocument/2006/relationships/hyperlink" Target="https://chem.echa.europa.eu/substance-search?searchText=121-69-7" TargetMode="External"/><Relationship Id="rId3830" Type="http://schemas.openxmlformats.org/officeDocument/2006/relationships/hyperlink" Target="https://chemicalsafety.ilo.org/dyn/icsc/showcard.display?p_card_id=0982&amp;p_lang=tr" TargetMode="External"/><Relationship Id="rId751" Type="http://schemas.openxmlformats.org/officeDocument/2006/relationships/hyperlink" Target="https://www.google.com/search?q=122-60-1+SDS+safety+data+sheet+filetype:pdf" TargetMode="External"/><Relationship Id="rId1381" Type="http://schemas.openxmlformats.org/officeDocument/2006/relationships/hyperlink" Target="https://chemicalsafety.ilo.org/dyn/icsc/showcard.display?p_card_id=0347&amp;p_lang=en" TargetMode="External"/><Relationship Id="rId2432" Type="http://schemas.openxmlformats.org/officeDocument/2006/relationships/hyperlink" Target="https://chem.echa.europa.eu/substance-search?searchText=122-14-5" TargetMode="External"/><Relationship Id="rId5588" Type="http://schemas.openxmlformats.org/officeDocument/2006/relationships/hyperlink" Target="https://chem.echa.europa.eu/substance-search?searchText=540-88-5" TargetMode="External"/><Relationship Id="rId6639" Type="http://schemas.openxmlformats.org/officeDocument/2006/relationships/hyperlink" Target="https://www.google.com/search?q=865-33-8+SDS+safety+data+sheet+filetype:pdf" TargetMode="External"/><Relationship Id="rId404" Type="http://schemas.openxmlformats.org/officeDocument/2006/relationships/hyperlink" Target="https://chem.echa.europa.eu/substance-search?searchText=98-87-3" TargetMode="External"/><Relationship Id="rId1034" Type="http://schemas.openxmlformats.org/officeDocument/2006/relationships/hyperlink" Target="https://chemicalsafety.ilo.org/dyn/icsc/showcard.display?p_card_id=0260&amp;p_lang=tr" TargetMode="External"/><Relationship Id="rId5655" Type="http://schemas.openxmlformats.org/officeDocument/2006/relationships/hyperlink" Target="https://www.google.com/search?q=109-74-0+SDS+safety+data+sheet+filetype:pdf" TargetMode="External"/><Relationship Id="rId6706" Type="http://schemas.openxmlformats.org/officeDocument/2006/relationships/hyperlink" Target="https://chemicalsafety.ilo.org/dyn/icsc/showcard.display?p_card_id=1748&amp;p_lang=tr" TargetMode="External"/><Relationship Id="rId1101" Type="http://schemas.openxmlformats.org/officeDocument/2006/relationships/hyperlink" Target="https://chemicalsafety.ilo.org/dyn/icsc/showcard.display?p_card_id=0277&amp;p_lang=en" TargetMode="External"/><Relationship Id="rId4257" Type="http://schemas.openxmlformats.org/officeDocument/2006/relationships/hyperlink" Target="https://chemicalsafety.ilo.org/dyn/icsc/showcard.display?p_card_id=1100&amp;p_lang=en" TargetMode="External"/><Relationship Id="rId4671" Type="http://schemas.openxmlformats.org/officeDocument/2006/relationships/hyperlink" Target="https://www.google.com/search?q=7784-41-0+SDS+safety+data+sheet+filetype:pdf" TargetMode="External"/><Relationship Id="rId5308" Type="http://schemas.openxmlformats.org/officeDocument/2006/relationships/hyperlink" Target="https://chem.echa.europa.eu/substance-search?searchText=115-27-5" TargetMode="External"/><Relationship Id="rId5722" Type="http://schemas.openxmlformats.org/officeDocument/2006/relationships/hyperlink" Target="https://chemicalsafety.ilo.org/dyn/icsc/showcard.display?p_card_id=1484&amp;p_lang=tr" TargetMode="External"/><Relationship Id="rId3273" Type="http://schemas.openxmlformats.org/officeDocument/2006/relationships/hyperlink" Target="https://chemicalsafety.ilo.org/dyn/icsc/showcard.display?p_card_id=0841&amp;p_lang=en" TargetMode="External"/><Relationship Id="rId4324" Type="http://schemas.openxmlformats.org/officeDocument/2006/relationships/hyperlink" Target="https://chem.echa.europa.eu/substance-search?searchText=143-33-9" TargetMode="External"/><Relationship Id="rId194" Type="http://schemas.openxmlformats.org/officeDocument/2006/relationships/hyperlink" Target="https://chemicalsafety.ilo.org/dyn/icsc/showcard.display?p_card_id=0049&amp;p_lang=tr" TargetMode="External"/><Relationship Id="rId1918" Type="http://schemas.openxmlformats.org/officeDocument/2006/relationships/hyperlink" Target="https://chemicalsafety.ilo.org/dyn/icsc/showcard.display?p_card_id=0486&amp;p_lang=tr" TargetMode="External"/><Relationship Id="rId6496" Type="http://schemas.openxmlformats.org/officeDocument/2006/relationships/hyperlink" Target="https://chem.echa.europa.eu/substance-search?searchText=1163-19-5" TargetMode="External"/><Relationship Id="rId261" Type="http://schemas.openxmlformats.org/officeDocument/2006/relationships/hyperlink" Target="https://chemicalsafety.ilo.org/dyn/icsc/showcard.display?p_card_id=0066&amp;p_lang=en" TargetMode="External"/><Relationship Id="rId3340" Type="http://schemas.openxmlformats.org/officeDocument/2006/relationships/hyperlink" Target="https://chem.echa.europa.eu/substance-search?searchText=542-92-7" TargetMode="External"/><Relationship Id="rId5098" Type="http://schemas.openxmlformats.org/officeDocument/2006/relationships/hyperlink" Target="https://chemicalsafety.ilo.org/dyn/icsc/showcard.display?p_card_id=1319&amp;p_lang=tr" TargetMode="External"/><Relationship Id="rId6149" Type="http://schemas.openxmlformats.org/officeDocument/2006/relationships/hyperlink" Target="https://chemicalsafety.ilo.org/dyn/icsc/showcard.display?p_card_id=1592&amp;p_lang=en" TargetMode="External"/><Relationship Id="rId6563" Type="http://schemas.openxmlformats.org/officeDocument/2006/relationships/hyperlink" Target="https://www.google.com/search?q=96-23-1+SDS+safety+data+sheet+filetype:pdf" TargetMode="External"/><Relationship Id="rId2759" Type="http://schemas.openxmlformats.org/officeDocument/2006/relationships/hyperlink" Target="https://www.google.com/search?q=7439-93-2+SDS+safety+data+sheet+filetype:pdf" TargetMode="External"/><Relationship Id="rId5165" Type="http://schemas.openxmlformats.org/officeDocument/2006/relationships/hyperlink" Target="https://chemicalsafety.ilo.org/dyn/icsc/showcard.display?p_card_id=1338&amp;p_lang=en" TargetMode="External"/><Relationship Id="rId6216" Type="http://schemas.openxmlformats.org/officeDocument/2006/relationships/hyperlink" Target="https://chem.echa.europa.eu/substance-search?searchText=7778-77-0" TargetMode="External"/><Relationship Id="rId6630" Type="http://schemas.openxmlformats.org/officeDocument/2006/relationships/hyperlink" Target="https://chemicalsafety.ilo.org/dyn/icsc/showcard.display?p_card_id=1729&amp;p_lang=tr" TargetMode="External"/><Relationship Id="rId1775" Type="http://schemas.openxmlformats.org/officeDocument/2006/relationships/hyperlink" Target="https://www.google.com/search?q=2524-04-1+SDS+safety+data+sheet+filetype:pdf" TargetMode="External"/><Relationship Id="rId2826" Type="http://schemas.openxmlformats.org/officeDocument/2006/relationships/hyperlink" Target="https://chemicalsafety.ilo.org/dyn/icsc/showcard.display?p_card_id=0727&amp;p_lang=tr" TargetMode="External"/><Relationship Id="rId4181" Type="http://schemas.openxmlformats.org/officeDocument/2006/relationships/hyperlink" Target="https://chemicalsafety.ilo.org/dyn/icsc/showcard.display?p_card_id=1080&amp;p_lang=en" TargetMode="External"/><Relationship Id="rId5232" Type="http://schemas.openxmlformats.org/officeDocument/2006/relationships/hyperlink" Target="https://chem.echa.europa.eu/substance-search?searchText=7787-47-5" TargetMode="External"/><Relationship Id="rId67" Type="http://schemas.openxmlformats.org/officeDocument/2006/relationships/hyperlink" Target="https://www.google.com/search?q=106-99-0+SDS+safety+data+sheet+filetype:pdf" TargetMode="External"/><Relationship Id="rId1428" Type="http://schemas.openxmlformats.org/officeDocument/2006/relationships/hyperlink" Target="https://chem.echa.europa.eu/substance-search?searchText=8050-09-7" TargetMode="External"/><Relationship Id="rId1842" Type="http://schemas.openxmlformats.org/officeDocument/2006/relationships/hyperlink" Target="https://chemicalsafety.ilo.org/dyn/icsc/showcard.display?p_card_id=0467&amp;p_lang=tr" TargetMode="External"/><Relationship Id="rId4998" Type="http://schemas.openxmlformats.org/officeDocument/2006/relationships/hyperlink" Target="https://chemicalsafety.ilo.org/dyn/icsc/showcard.display?p_card_id=1292&amp;p_lang=tr" TargetMode="External"/><Relationship Id="rId6073" Type="http://schemas.openxmlformats.org/officeDocument/2006/relationships/hyperlink" Target="https://chemicalsafety.ilo.org/dyn/icsc/showcard.display?p_card_id=1573&amp;p_lang=en" TargetMode="External"/><Relationship Id="rId3667" Type="http://schemas.openxmlformats.org/officeDocument/2006/relationships/hyperlink" Target="https://www.google.com/search?q=109-60-4+SDS+safety+data+sheet+filetype:pdf" TargetMode="External"/><Relationship Id="rId4718" Type="http://schemas.openxmlformats.org/officeDocument/2006/relationships/hyperlink" Target="https://chemicalsafety.ilo.org/dyn/icsc/showcard.display?p_card_id=1222&amp;p_lang=tr" TargetMode="External"/><Relationship Id="rId588" Type="http://schemas.openxmlformats.org/officeDocument/2006/relationships/hyperlink" Target="https://chem.echa.europa.eu/substance-search?searchText=57-14-7" TargetMode="External"/><Relationship Id="rId2269" Type="http://schemas.openxmlformats.org/officeDocument/2006/relationships/hyperlink" Target="https://chemicalsafety.ilo.org/dyn/icsc/showcard.display?p_card_id=0579&amp;p_lang=en" TargetMode="External"/><Relationship Id="rId2683" Type="http://schemas.openxmlformats.org/officeDocument/2006/relationships/hyperlink" Target="https://www.google.com/search?q=62-73-7+SDS+safety+data+sheet+filetype:pdf" TargetMode="External"/><Relationship Id="rId3734" Type="http://schemas.openxmlformats.org/officeDocument/2006/relationships/hyperlink" Target="https://chemicalsafety.ilo.org/dyn/icsc/showcard.display?p_card_id=0957&amp;p_lang=tr" TargetMode="External"/><Relationship Id="rId6140" Type="http://schemas.openxmlformats.org/officeDocument/2006/relationships/hyperlink" Target="https://chem.echa.europa.eu/substance-search?searchText=7778-18-9" TargetMode="External"/><Relationship Id="rId655" Type="http://schemas.openxmlformats.org/officeDocument/2006/relationships/hyperlink" Target="https://www.google.com/search?q=7722-84-1+SDS+safety+data+sheet+filetype:pdf" TargetMode="External"/><Relationship Id="rId1285" Type="http://schemas.openxmlformats.org/officeDocument/2006/relationships/hyperlink" Target="https://chemicalsafety.ilo.org/dyn/icsc/showcard.display?p_card_id=0323&amp;p_lang=en" TargetMode="External"/><Relationship Id="rId2336" Type="http://schemas.openxmlformats.org/officeDocument/2006/relationships/hyperlink" Target="https://chem.echa.europa.eu/substance-search?searchText=1314-62-1" TargetMode="External"/><Relationship Id="rId2750" Type="http://schemas.openxmlformats.org/officeDocument/2006/relationships/hyperlink" Target="https://chemicalsafety.ilo.org/dyn/icsc/showcard.display?p_card_id=0708&amp;p_lang=tr" TargetMode="External"/><Relationship Id="rId3801" Type="http://schemas.openxmlformats.org/officeDocument/2006/relationships/hyperlink" Target="https://chemicalsafety.ilo.org/dyn/icsc/showcard.display?p_card_id=0975&amp;p_lang=en" TargetMode="External"/><Relationship Id="rId308" Type="http://schemas.openxmlformats.org/officeDocument/2006/relationships/hyperlink" Target="https://chem.echa.europa.eu/substance-search?searchText=7440-28-0" TargetMode="External"/><Relationship Id="rId722" Type="http://schemas.openxmlformats.org/officeDocument/2006/relationships/hyperlink" Target="https://chemicalsafety.ilo.org/dyn/icsc/showcard.display?p_card_id=0181&amp;p_lang=tr" TargetMode="External"/><Relationship Id="rId1352" Type="http://schemas.openxmlformats.org/officeDocument/2006/relationships/hyperlink" Target="https://chem.echa.europa.eu/substance-search?searchText=584-84-9" TargetMode="External"/><Relationship Id="rId2403" Type="http://schemas.openxmlformats.org/officeDocument/2006/relationships/hyperlink" Target="https://www.google.com/search?q=10326-27-9+SDS+safety+data+sheet+filetype:pdf" TargetMode="External"/><Relationship Id="rId5559" Type="http://schemas.openxmlformats.org/officeDocument/2006/relationships/hyperlink" Target="https://www.google.com/search?q=97-77-8+SDS+safety+data+sheet+filetype:pdf" TargetMode="External"/><Relationship Id="rId1005" Type="http://schemas.openxmlformats.org/officeDocument/2006/relationships/hyperlink" Target="https://chemicalsafety.ilo.org/dyn/icsc/showcard.display?p_card_id=0253&amp;p_lang=en" TargetMode="External"/><Relationship Id="rId4575" Type="http://schemas.openxmlformats.org/officeDocument/2006/relationships/hyperlink" Target="https://www.google.com/search?q=107-88-0+SDS+safety+data+sheet+filetype:pdf" TargetMode="External"/><Relationship Id="rId5973" Type="http://schemas.openxmlformats.org/officeDocument/2006/relationships/hyperlink" Target="https://chemicalsafety.ilo.org/dyn/icsc/showcard.display?p_card_id=1548&amp;p_lang=en" TargetMode="External"/><Relationship Id="rId3177" Type="http://schemas.openxmlformats.org/officeDocument/2006/relationships/hyperlink" Target="https://chemicalsafety.ilo.org/dyn/icsc/showcard.display?p_card_id=0815&amp;p_lang=en" TargetMode="External"/><Relationship Id="rId4228" Type="http://schemas.openxmlformats.org/officeDocument/2006/relationships/hyperlink" Target="https://chem.echa.europa.eu/substance-search?searchText=95-14-7" TargetMode="External"/><Relationship Id="rId5626" Type="http://schemas.openxmlformats.org/officeDocument/2006/relationships/hyperlink" Target="https://chemicalsafety.ilo.org/dyn/icsc/showcard.display?p_card_id=1455&amp;p_lang=tr" TargetMode="External"/><Relationship Id="rId3591" Type="http://schemas.openxmlformats.org/officeDocument/2006/relationships/hyperlink" Target="https://www.google.com/search?q=100-61-8+SDS+safety+data+sheet+filetype:pdf" TargetMode="External"/><Relationship Id="rId4642" Type="http://schemas.openxmlformats.org/officeDocument/2006/relationships/hyperlink" Target="https://chemicalsafety.ilo.org/dyn/icsc/showcard.display?p_card_id=1202&amp;p_lang=tr" TargetMode="External"/><Relationship Id="rId2193" Type="http://schemas.openxmlformats.org/officeDocument/2006/relationships/hyperlink" Target="https://chemicalsafety.ilo.org/dyn/icsc/showcard.display?p_card_id=0560&amp;p_lang=en" TargetMode="External"/><Relationship Id="rId3244" Type="http://schemas.openxmlformats.org/officeDocument/2006/relationships/hyperlink" Target="https://chem.echa.europa.eu/substance-search?searchText=3648-21-3" TargetMode="External"/><Relationship Id="rId165" Type="http://schemas.openxmlformats.org/officeDocument/2006/relationships/hyperlink" Target="https://chemicalsafety.ilo.org/dyn/icsc/showcard.display?p_card_id=0042&amp;p_lang=en" TargetMode="External"/><Relationship Id="rId2260" Type="http://schemas.openxmlformats.org/officeDocument/2006/relationships/hyperlink" Target="https://chem.echa.europa.eu/substance-search?searchText=7783-61-1" TargetMode="External"/><Relationship Id="rId3311" Type="http://schemas.openxmlformats.org/officeDocument/2006/relationships/hyperlink" Target="https://www.google.com/search?q=106-48-9+SDS+safety+data+sheet+filetype:pdf" TargetMode="External"/><Relationship Id="rId6467" Type="http://schemas.openxmlformats.org/officeDocument/2006/relationships/hyperlink" Target="https://www.google.com/search?q=24934-91-6+SDS+safety+data+sheet+filetype:pdf" TargetMode="External"/><Relationship Id="rId232" Type="http://schemas.openxmlformats.org/officeDocument/2006/relationships/hyperlink" Target="https://chem.echa.europa.eu/substance-search?searchText=75-09-2" TargetMode="External"/><Relationship Id="rId5069" Type="http://schemas.openxmlformats.org/officeDocument/2006/relationships/hyperlink" Target="https://chemicalsafety.ilo.org/dyn/icsc/showcard.display?p_card_id=1312&amp;p_lang=en" TargetMode="External"/><Relationship Id="rId5483" Type="http://schemas.openxmlformats.org/officeDocument/2006/relationships/hyperlink" Target="https://www.google.com/search?q=75-61-6+SDS+safety+data+sheet+filetype:pdf" TargetMode="External"/><Relationship Id="rId6534" Type="http://schemas.openxmlformats.org/officeDocument/2006/relationships/hyperlink" Target="https://chemicalsafety.ilo.org/dyn/icsc/showcard.display?p_card_id=1704&amp;p_lang=tr" TargetMode="External"/><Relationship Id="rId1679" Type="http://schemas.openxmlformats.org/officeDocument/2006/relationships/hyperlink" Target="https://www.google.com/search?q=420-04-2+SDS+safety+data+sheet+filetype:pdf" TargetMode="External"/><Relationship Id="rId4085" Type="http://schemas.openxmlformats.org/officeDocument/2006/relationships/hyperlink" Target="https://chemicalsafety.ilo.org/dyn/icsc/showcard.display?p_card_id=1052&amp;p_lang=en" TargetMode="External"/><Relationship Id="rId5136" Type="http://schemas.openxmlformats.org/officeDocument/2006/relationships/hyperlink" Target="https://chem.echa.europa.eu/substance-search?searchText=103-90-2" TargetMode="External"/><Relationship Id="rId4152" Type="http://schemas.openxmlformats.org/officeDocument/2006/relationships/hyperlink" Target="https://chem.echa.europa.eu/substance-search?searchText=105-57-7" TargetMode="External"/><Relationship Id="rId5203" Type="http://schemas.openxmlformats.org/officeDocument/2006/relationships/hyperlink" Target="https://www.google.com/search?q=51-03-6+SDS+safety+data+sheet+filetype:pdf" TargetMode="External"/><Relationship Id="rId5550" Type="http://schemas.openxmlformats.org/officeDocument/2006/relationships/hyperlink" Target="https://chemicalsafety.ilo.org/dyn/icsc/showcard.display?p_card_id=1436&amp;p_lang=tr" TargetMode="External"/><Relationship Id="rId6601" Type="http://schemas.openxmlformats.org/officeDocument/2006/relationships/hyperlink" Target="https://chemicalsafety.ilo.org/dyn/icsc/showcard.display?p_card_id=1721&amp;p_lang=en" TargetMode="External"/><Relationship Id="rId1746" Type="http://schemas.openxmlformats.org/officeDocument/2006/relationships/hyperlink" Target="https://chemicalsafety.ilo.org/dyn/icsc/showcard.display?p_card_id=0441&amp;p_lang=tr" TargetMode="External"/><Relationship Id="rId38" Type="http://schemas.openxmlformats.org/officeDocument/2006/relationships/hyperlink" Target="https://chemicalsafety.ilo.org/dyn/icsc/showcard.display?p_card_id=0010&amp;p_lang=tr" TargetMode="External"/><Relationship Id="rId1813" Type="http://schemas.openxmlformats.org/officeDocument/2006/relationships/hyperlink" Target="https://chemicalsafety.ilo.org/dyn/icsc/showcard.display?p_card_id=0459&amp;p_lang=en" TargetMode="External"/><Relationship Id="rId4969" Type="http://schemas.openxmlformats.org/officeDocument/2006/relationships/hyperlink" Target="https://chemicalsafety.ilo.org/dyn/icsc/showcard.display?p_card_id=1285&amp;p_lang=en" TargetMode="External"/><Relationship Id="rId3985" Type="http://schemas.openxmlformats.org/officeDocument/2006/relationships/hyperlink" Target="https://chemicalsafety.ilo.org/dyn/icsc/showcard.display?p_card_id=1027&amp;p_lang=en" TargetMode="External"/><Relationship Id="rId6391" Type="http://schemas.openxmlformats.org/officeDocument/2006/relationships/hyperlink" Target="https://www.google.com/search?q=540-73-8+SDS+safety+data+sheet+filetype:pdf" TargetMode="External"/><Relationship Id="rId2587" Type="http://schemas.openxmlformats.org/officeDocument/2006/relationships/hyperlink" Target="https://www.google.com/search?q=8008-20-6+SDS+safety+data+sheet+filetype:pdf" TargetMode="External"/><Relationship Id="rId3638" Type="http://schemas.openxmlformats.org/officeDocument/2006/relationships/hyperlink" Target="https://chemicalsafety.ilo.org/dyn/icsc/showcard.display?p_card_id=0933&amp;p_lang=tr" TargetMode="External"/><Relationship Id="rId6044" Type="http://schemas.openxmlformats.org/officeDocument/2006/relationships/hyperlink" Target="https://chem.echa.europa.eu/substance-search?searchText=15096-52-3" TargetMode="External"/><Relationship Id="rId559" Type="http://schemas.openxmlformats.org/officeDocument/2006/relationships/hyperlink" Target="https://www.google.com/search?q=608-27-5+SDS+safety+data+sheet+filetype:pdf" TargetMode="External"/><Relationship Id="rId1189" Type="http://schemas.openxmlformats.org/officeDocument/2006/relationships/hyperlink" Target="https://chemicalsafety.ilo.org/dyn/icsc/showcard.display?p_card_id=0299&amp;p_lang=en" TargetMode="External"/><Relationship Id="rId5060" Type="http://schemas.openxmlformats.org/officeDocument/2006/relationships/hyperlink" Target="https://chem.echa.europa.eu/substance-search?searchText=12336-95-7" TargetMode="External"/><Relationship Id="rId6111" Type="http://schemas.openxmlformats.org/officeDocument/2006/relationships/hyperlink" Target="https://www.google.com/search?q=119-90-4+SDS+safety+data+sheet+filetype:pdf" TargetMode="External"/><Relationship Id="rId626" Type="http://schemas.openxmlformats.org/officeDocument/2006/relationships/hyperlink" Target="https://chemicalsafety.ilo.org/dyn/icsc/showcard.display?p_card_id=0157&amp;p_lang=tr" TargetMode="External"/><Relationship Id="rId973" Type="http://schemas.openxmlformats.org/officeDocument/2006/relationships/hyperlink" Target="https://chemicalsafety.ilo.org/dyn/icsc/showcard.display?p_card_id=0245&amp;p_lang=en" TargetMode="External"/><Relationship Id="rId1256" Type="http://schemas.openxmlformats.org/officeDocument/2006/relationships/hyperlink" Target="https://chem.echa.europa.eu/substance-search?searchText=85-44-9" TargetMode="External"/><Relationship Id="rId2307" Type="http://schemas.openxmlformats.org/officeDocument/2006/relationships/hyperlink" Target="https://www.google.com/search?q=933-78-8+SDS+safety+data+sheet+filetype:pdf" TargetMode="External"/><Relationship Id="rId2654" Type="http://schemas.openxmlformats.org/officeDocument/2006/relationships/hyperlink" Target="https://chemicalsafety.ilo.org/dyn/icsc/showcard.display?p_card_id=0683&amp;p_lang=tr" TargetMode="External"/><Relationship Id="rId3705" Type="http://schemas.openxmlformats.org/officeDocument/2006/relationships/hyperlink" Target="https://chemicalsafety.ilo.org/dyn/icsc/showcard.display?p_card_id=0950&amp;p_lang=en" TargetMode="External"/><Relationship Id="rId1670" Type="http://schemas.openxmlformats.org/officeDocument/2006/relationships/hyperlink" Target="https://chemicalsafety.ilo.org/dyn/icsc/showcard.display?p_card_id=0422&amp;p_lang=tr" TargetMode="External"/><Relationship Id="rId2721" Type="http://schemas.openxmlformats.org/officeDocument/2006/relationships/hyperlink" Target="https://chemicalsafety.ilo.org/dyn/icsc/showcard.display?p_card_id=0701&amp;p_lang=en" TargetMode="External"/><Relationship Id="rId5877" Type="http://schemas.openxmlformats.org/officeDocument/2006/relationships/hyperlink" Target="https://chemicalsafety.ilo.org/dyn/icsc/showcard.display?p_card_id=1523&amp;p_lang=en" TargetMode="External"/><Relationship Id="rId1323" Type="http://schemas.openxmlformats.org/officeDocument/2006/relationships/hyperlink" Target="https://www.google.com/search?q=79-34-5+SDS+safety+data+sheet+filetype:pdf" TargetMode="External"/><Relationship Id="rId4479" Type="http://schemas.openxmlformats.org/officeDocument/2006/relationships/hyperlink" Target="https://www.google.com/search?q=107-49-3+SDS+safety+data+sheet+filetype:pdf" TargetMode="External"/><Relationship Id="rId4893" Type="http://schemas.openxmlformats.org/officeDocument/2006/relationships/hyperlink" Target="https://chemicalsafety.ilo.org/dyn/icsc/showcard.display?p_card_id=1266&amp;p_lang=en" TargetMode="External"/><Relationship Id="rId5944" Type="http://schemas.openxmlformats.org/officeDocument/2006/relationships/hyperlink" Target="https://chem.echa.europa.eu/substance-search?searchText=30207-98-8" TargetMode="External"/><Relationship Id="rId3495" Type="http://schemas.openxmlformats.org/officeDocument/2006/relationships/hyperlink" Target="https://www.google.com/search?q=10046-00-1+SDS+safety+data+sheet+filetype:pdf" TargetMode="External"/><Relationship Id="rId4546" Type="http://schemas.openxmlformats.org/officeDocument/2006/relationships/hyperlink" Target="https://chemicalsafety.ilo.org/dyn/icsc/showcard.display?p_card_id=1175&amp;p_lang=tr" TargetMode="External"/><Relationship Id="rId4960" Type="http://schemas.openxmlformats.org/officeDocument/2006/relationships/hyperlink" Target="https://chem.echa.europa.eu/substance-search?searchText=56-35-9" TargetMode="External"/><Relationship Id="rId2097" Type="http://schemas.openxmlformats.org/officeDocument/2006/relationships/hyperlink" Target="https://chemicalsafety.ilo.org/dyn/icsc/showcard.display?p_card_id=0535&amp;p_lang=en" TargetMode="External"/><Relationship Id="rId3148" Type="http://schemas.openxmlformats.org/officeDocument/2006/relationships/hyperlink" Target="https://chem.echa.europa.eu/substance-search?searchText=15468-32-3" TargetMode="External"/><Relationship Id="rId3562" Type="http://schemas.openxmlformats.org/officeDocument/2006/relationships/hyperlink" Target="https://chemicalsafety.ilo.org/dyn/icsc/showcard.display?p_card_id=0914&amp;p_lang=tr" TargetMode="External"/><Relationship Id="rId4613" Type="http://schemas.openxmlformats.org/officeDocument/2006/relationships/hyperlink" Target="https://chemicalsafety.ilo.org/dyn/icsc/showcard.display?p_card_id=1193&amp;p_lang=en" TargetMode="External"/><Relationship Id="rId483" Type="http://schemas.openxmlformats.org/officeDocument/2006/relationships/hyperlink" Target="https://www.google.com/search?q=63-25-2+SDS+safety+data+sheet+filetype:pdf" TargetMode="External"/><Relationship Id="rId2164" Type="http://schemas.openxmlformats.org/officeDocument/2006/relationships/hyperlink" Target="https://chem.echa.europa.eu/substance-search?searchText=709-98-8" TargetMode="External"/><Relationship Id="rId3215" Type="http://schemas.openxmlformats.org/officeDocument/2006/relationships/hyperlink" Target="https://www.google.com/search?q=95-55-6+SDS+safety+data+sheet+filetype:pdf" TargetMode="External"/><Relationship Id="rId6785" Type="http://schemas.openxmlformats.org/officeDocument/2006/relationships/hyperlink" Target="https://chemicalsafety.ilo.org/dyn/icsc/showcard.display?p_card_id=1769&amp;p_lang=en" TargetMode="External"/><Relationship Id="rId136" Type="http://schemas.openxmlformats.org/officeDocument/2006/relationships/hyperlink" Target="https://chem.echa.europa.eu/substance-search?searchText=50-29-3" TargetMode="External"/><Relationship Id="rId550" Type="http://schemas.openxmlformats.org/officeDocument/2006/relationships/hyperlink" Target="https://chemicalsafety.ilo.org/dyn/icsc/showcard.display?p_card_id=0138&amp;p_lang=tr" TargetMode="External"/><Relationship Id="rId1180" Type="http://schemas.openxmlformats.org/officeDocument/2006/relationships/hyperlink" Target="https://chem.echa.europa.eu/substance-search?searchText=589-91-3" TargetMode="External"/><Relationship Id="rId2231" Type="http://schemas.openxmlformats.org/officeDocument/2006/relationships/hyperlink" Target="https://www.google.com/search?q=121-57-3+SDS+safety+data+sheet+filetype:pdf" TargetMode="External"/><Relationship Id="rId5387" Type="http://schemas.openxmlformats.org/officeDocument/2006/relationships/hyperlink" Target="https://www.google.com/search?q=76-01-7+SDS+safety+data+sheet+filetype:pdf" TargetMode="External"/><Relationship Id="rId6438" Type="http://schemas.openxmlformats.org/officeDocument/2006/relationships/hyperlink" Target="https://chemicalsafety.ilo.org/dyn/icsc/showcard.display?p_card_id=1675&amp;p_lang=tr" TargetMode="External"/><Relationship Id="rId203" Type="http://schemas.openxmlformats.org/officeDocument/2006/relationships/hyperlink" Target="https://www.google.com/search?q=67-72-1+SDS+safety+data+sheet+filetype:pdf" TargetMode="External"/><Relationship Id="rId1997" Type="http://schemas.openxmlformats.org/officeDocument/2006/relationships/hyperlink" Target="https://chemicalsafety.ilo.org/dyn/icsc/showcard.display?p_card_id=0506&amp;p_lang=en" TargetMode="External"/><Relationship Id="rId4056" Type="http://schemas.openxmlformats.org/officeDocument/2006/relationships/hyperlink" Target="https://chem.echa.europa.eu/substance-search?searchText=144-55-8" TargetMode="External"/><Relationship Id="rId5454" Type="http://schemas.openxmlformats.org/officeDocument/2006/relationships/hyperlink" Target="https://chemicalsafety.ilo.org/dyn/icsc/showcard.display?p_card_id=1412&amp;p_lang=tr" TargetMode="External"/><Relationship Id="rId6505" Type="http://schemas.openxmlformats.org/officeDocument/2006/relationships/hyperlink" Target="https://chemicalsafety.ilo.org/dyn/icsc/showcard.display?p_card_id=1697&amp;p_lang=en" TargetMode="External"/><Relationship Id="rId4470" Type="http://schemas.openxmlformats.org/officeDocument/2006/relationships/hyperlink" Target="https://chemicalsafety.ilo.org/dyn/icsc/showcard.display?p_card_id=1156&amp;p_lang=tr" TargetMode="External"/><Relationship Id="rId5107" Type="http://schemas.openxmlformats.org/officeDocument/2006/relationships/hyperlink" Target="https://www.google.com/search?q=12174-11-7+SDS+safety+data+sheet+filetype:pdf" TargetMode="External"/><Relationship Id="rId5521" Type="http://schemas.openxmlformats.org/officeDocument/2006/relationships/hyperlink" Target="https://chemicalsafety.ilo.org/dyn/icsc/showcard.display?p_card_id=1429&amp;p_lang=en" TargetMode="External"/><Relationship Id="rId1717" Type="http://schemas.openxmlformats.org/officeDocument/2006/relationships/hyperlink" Target="https://chemicalsafety.ilo.org/dyn/icsc/showcard.display?p_card_id=0434&amp;p_lang=en" TargetMode="External"/><Relationship Id="rId3072" Type="http://schemas.openxmlformats.org/officeDocument/2006/relationships/hyperlink" Target="https://chem.echa.europa.eu/substance-search?searchText=112-34-5" TargetMode="External"/><Relationship Id="rId4123" Type="http://schemas.openxmlformats.org/officeDocument/2006/relationships/hyperlink" Target="https://www.google.com/search?q=115-86-6+SDS+safety+data+sheet+filetype:pdf" TargetMode="External"/><Relationship Id="rId3889" Type="http://schemas.openxmlformats.org/officeDocument/2006/relationships/hyperlink" Target="https://chemicalsafety.ilo.org/dyn/icsc/showcard.display?p_card_id=1001&amp;p_lang=en" TargetMode="External"/><Relationship Id="rId6295" Type="http://schemas.openxmlformats.org/officeDocument/2006/relationships/hyperlink" Target="https://www.google.com/search?q=503-38-8+SDS+safety+data+sheet+filetype:pdf" TargetMode="External"/><Relationship Id="rId6362" Type="http://schemas.openxmlformats.org/officeDocument/2006/relationships/hyperlink" Target="https://chemicalsafety.ilo.org/dyn/icsc/showcard.display?p_card_id=1653&amp;p_lang=tr" TargetMode="External"/><Relationship Id="rId3956" Type="http://schemas.openxmlformats.org/officeDocument/2006/relationships/hyperlink" Target="https://chem.echa.europa.eu/substance-search?searchText=110-05-4" TargetMode="External"/><Relationship Id="rId6015" Type="http://schemas.openxmlformats.org/officeDocument/2006/relationships/hyperlink" Target="https://www.google.com/search?q=26571-11-9+SDS+safety+data+sheet+filetype:pdf" TargetMode="External"/><Relationship Id="rId877" Type="http://schemas.openxmlformats.org/officeDocument/2006/relationships/hyperlink" Target="https://chemicalsafety.ilo.org/dyn/icsc/showcard.display?p_card_id=0221&amp;p_lang=en" TargetMode="External"/><Relationship Id="rId2558" Type="http://schemas.openxmlformats.org/officeDocument/2006/relationships/hyperlink" Target="https://chemicalsafety.ilo.org/dyn/icsc/showcard.display?p_card_id=0656&amp;p_lang=tr" TargetMode="External"/><Relationship Id="rId2972" Type="http://schemas.openxmlformats.org/officeDocument/2006/relationships/hyperlink" Target="https://chem.echa.europa.eu/substance-search?searchText=957-51-7" TargetMode="External"/><Relationship Id="rId3609" Type="http://schemas.openxmlformats.org/officeDocument/2006/relationships/hyperlink" Target="https://chemicalsafety.ilo.org/dyn/icsc/showcard.display?p_card_id=0926&amp;p_lang=en" TargetMode="External"/><Relationship Id="rId944" Type="http://schemas.openxmlformats.org/officeDocument/2006/relationships/hyperlink" Target="https://chem.echa.europa.eu/substance-search?searchText=542-88-1" TargetMode="External"/><Relationship Id="rId1574" Type="http://schemas.openxmlformats.org/officeDocument/2006/relationships/hyperlink" Target="https://chemicalsafety.ilo.org/dyn/icsc/showcard.display?p_card_id=0397&amp;p_lang=tr" TargetMode="External"/><Relationship Id="rId2625" Type="http://schemas.openxmlformats.org/officeDocument/2006/relationships/hyperlink" Target="https://chemicalsafety.ilo.org/dyn/icsc/showcard.display?p_card_id=0674&amp;p_lang=en" TargetMode="External"/><Relationship Id="rId5031" Type="http://schemas.openxmlformats.org/officeDocument/2006/relationships/hyperlink" Target="https://www.google.com/search?q=330-55-2+SDS+safety+data+sheet+filetype:pdf" TargetMode="External"/><Relationship Id="rId1227" Type="http://schemas.openxmlformats.org/officeDocument/2006/relationships/hyperlink" Target="https://www.google.com/search?q=100-01-6+SDS+safety+data+sheet+filetype:pdf" TargetMode="External"/><Relationship Id="rId1641" Type="http://schemas.openxmlformats.org/officeDocument/2006/relationships/hyperlink" Target="https://chemicalsafety.ilo.org/dyn/icsc/showcard.display?p_card_id=0415&amp;p_lang=en" TargetMode="External"/><Relationship Id="rId4797" Type="http://schemas.openxmlformats.org/officeDocument/2006/relationships/hyperlink" Target="https://chemicalsafety.ilo.org/dyn/icsc/showcard.display?p_card_id=1242&amp;p_lang=en" TargetMode="External"/><Relationship Id="rId5848" Type="http://schemas.openxmlformats.org/officeDocument/2006/relationships/hyperlink" Target="https://chem.echa.europa.eu/substance-search?searchText=83-26-1" TargetMode="External"/><Relationship Id="rId3399" Type="http://schemas.openxmlformats.org/officeDocument/2006/relationships/hyperlink" Target="https://www.google.com/search?q=77-73-6+SDS+safety+data+sheet+filetype:pdf" TargetMode="External"/><Relationship Id="rId4864" Type="http://schemas.openxmlformats.org/officeDocument/2006/relationships/hyperlink" Target="https://chem.echa.europa.eu/substance-search?searchText=54-85-3" TargetMode="External"/><Relationship Id="rId3466" Type="http://schemas.openxmlformats.org/officeDocument/2006/relationships/hyperlink" Target="https://chemicalsafety.ilo.org/dyn/icsc/showcard.display?p_card_id=0890&amp;p_lang=tr" TargetMode="External"/><Relationship Id="rId4517" Type="http://schemas.openxmlformats.org/officeDocument/2006/relationships/hyperlink" Target="https://chemicalsafety.ilo.org/dyn/icsc/showcard.display?p_card_id=1168&amp;p_lang=en" TargetMode="External"/><Relationship Id="rId5915" Type="http://schemas.openxmlformats.org/officeDocument/2006/relationships/hyperlink" Target="https://www.google.com/search?q=10060-12-5+SDS+safety+data+sheet+filetype:pdf" TargetMode="External"/><Relationship Id="rId387" Type="http://schemas.openxmlformats.org/officeDocument/2006/relationships/hyperlink" Target="https://www.google.com/search?q=2032-59-9+SDS+safety+data+sheet+filetype:pdf" TargetMode="External"/><Relationship Id="rId2068" Type="http://schemas.openxmlformats.org/officeDocument/2006/relationships/hyperlink" Target="https://chem.echa.europa.eu/substance-search?searchText=203-12-3" TargetMode="External"/><Relationship Id="rId3119" Type="http://schemas.openxmlformats.org/officeDocument/2006/relationships/hyperlink" Target="https://www.google.com/search?q=108-65-6+SDS+safety+data+sheet+filetype:pdf" TargetMode="External"/><Relationship Id="rId3880" Type="http://schemas.openxmlformats.org/officeDocument/2006/relationships/hyperlink" Target="https://chem.echa.europa.eu/substance-search?searchText=1335-87-1" TargetMode="External"/><Relationship Id="rId4931" Type="http://schemas.openxmlformats.org/officeDocument/2006/relationships/hyperlink" Target="https://www.google.com/search?q=90-12-0+SDS+safety+data+sheet+filetype:pdf" TargetMode="External"/><Relationship Id="rId1084" Type="http://schemas.openxmlformats.org/officeDocument/2006/relationships/hyperlink" Target="https://chem.echa.europa.eu/substance-search?searchText=97-63-2" TargetMode="External"/><Relationship Id="rId2482" Type="http://schemas.openxmlformats.org/officeDocument/2006/relationships/hyperlink" Target="https://chemicalsafety.ilo.org/dyn/icsc/showcard.display?p_card_id=0635&amp;p_lang=tr" TargetMode="External"/><Relationship Id="rId3533" Type="http://schemas.openxmlformats.org/officeDocument/2006/relationships/hyperlink" Target="https://chemicalsafety.ilo.org/dyn/icsc/showcard.display?p_card_id=0907&amp;p_lang=en" TargetMode="External"/><Relationship Id="rId6689" Type="http://schemas.openxmlformats.org/officeDocument/2006/relationships/hyperlink" Target="https://chemicalsafety.ilo.org/dyn/icsc/showcard.display?p_card_id=1744&amp;p_lang=en" TargetMode="External"/><Relationship Id="rId107" Type="http://schemas.openxmlformats.org/officeDocument/2006/relationships/hyperlink" Target="https://www.google.com/search?q=67-66-3+SDS+safety+data+sheet+filetype:pdf" TargetMode="External"/><Relationship Id="rId454" Type="http://schemas.openxmlformats.org/officeDocument/2006/relationships/hyperlink" Target="https://chemicalsafety.ilo.org/dyn/icsc/showcard.display?p_card_id=0114&amp;p_lang=tr" TargetMode="External"/><Relationship Id="rId2135" Type="http://schemas.openxmlformats.org/officeDocument/2006/relationships/hyperlink" Target="https://www.google.com/search?q=10026-13-8+SDS+safety+data+sheet+filetype:pdf" TargetMode="External"/><Relationship Id="rId3600" Type="http://schemas.openxmlformats.org/officeDocument/2006/relationships/hyperlink" Target="https://chem.echa.europa.eu/substance-search?searchText=108-87-2" TargetMode="External"/><Relationship Id="rId6756" Type="http://schemas.openxmlformats.org/officeDocument/2006/relationships/hyperlink" Target="https://chem.echa.europa.eu/substance-search?searchText=926-57-8" TargetMode="External"/><Relationship Id="rId521" Type="http://schemas.openxmlformats.org/officeDocument/2006/relationships/hyperlink" Target="https://chemicalsafety.ilo.org/dyn/icsc/showcard.display?p_card_id=0131&amp;p_lang=en" TargetMode="External"/><Relationship Id="rId1151" Type="http://schemas.openxmlformats.org/officeDocument/2006/relationships/hyperlink" Target="https://www.google.com/search?q=7439-95-4+SDS+safety+data+sheet+filetype:pdf" TargetMode="External"/><Relationship Id="rId2202" Type="http://schemas.openxmlformats.org/officeDocument/2006/relationships/hyperlink" Target="https://chemicalsafety.ilo.org/dyn/icsc/showcard.display?p_card_id=0562&amp;p_lang=tr" TargetMode="External"/><Relationship Id="rId5358" Type="http://schemas.openxmlformats.org/officeDocument/2006/relationships/hyperlink" Target="https://chemicalsafety.ilo.org/dyn/icsc/showcard.display?p_card_id=1387&amp;p_lang=tr" TargetMode="External"/><Relationship Id="rId5772" Type="http://schemas.openxmlformats.org/officeDocument/2006/relationships/hyperlink" Target="https://chem.echa.europa.eu/substance-search?searchText=994-05-8" TargetMode="External"/><Relationship Id="rId6409" Type="http://schemas.openxmlformats.org/officeDocument/2006/relationships/hyperlink" Target="https://chemicalsafety.ilo.org/dyn/icsc/showcard.display?p_card_id=1668&amp;p_lang=en" TargetMode="External"/><Relationship Id="rId6823" Type="http://schemas.openxmlformats.org/officeDocument/2006/relationships/hyperlink" Target="https://www.google.com/search?q=7664-38-2+SDS+safety+data+sheet+filetype:pdf" TargetMode="External"/><Relationship Id="rId1968" Type="http://schemas.openxmlformats.org/officeDocument/2006/relationships/hyperlink" Target="https://chem.echa.europa.eu/substance-search?searchText=2855-13-2" TargetMode="External"/><Relationship Id="rId4374" Type="http://schemas.openxmlformats.org/officeDocument/2006/relationships/hyperlink" Target="https://chemicalsafety.ilo.org/dyn/icsc/showcard.display?p_card_id=1132&amp;p_lang=tr" TargetMode="External"/><Relationship Id="rId5425" Type="http://schemas.openxmlformats.org/officeDocument/2006/relationships/hyperlink" Target="https://chemicalsafety.ilo.org/dyn/icsc/showcard.display?p_card_id=1405&amp;p_lang=en" TargetMode="External"/><Relationship Id="rId3390" Type="http://schemas.openxmlformats.org/officeDocument/2006/relationships/hyperlink" Target="https://chemicalsafety.ilo.org/dyn/icsc/showcard.display?p_card_id=0871&amp;p_lang=tr" TargetMode="External"/><Relationship Id="rId4027" Type="http://schemas.openxmlformats.org/officeDocument/2006/relationships/hyperlink" Target="https://www.google.com/search?q=10124-37-5+SDS+safety+data+sheet+filetype:pdf" TargetMode="External"/><Relationship Id="rId4441" Type="http://schemas.openxmlformats.org/officeDocument/2006/relationships/hyperlink" Target="https://chemicalsafety.ilo.org/dyn/icsc/showcard.display?p_card_id=1149&amp;p_lang=en" TargetMode="External"/><Relationship Id="rId3043" Type="http://schemas.openxmlformats.org/officeDocument/2006/relationships/hyperlink" Target="https://www.google.com/search?q=999-81-5+SDS+safety+data+sheet+filetype:pdf" TargetMode="External"/><Relationship Id="rId6199" Type="http://schemas.openxmlformats.org/officeDocument/2006/relationships/hyperlink" Target="https://www.google.com/search?q=83-56-7+SDS+safety+data+sheet+filetype:pdf" TargetMode="External"/><Relationship Id="rId6266" Type="http://schemas.openxmlformats.org/officeDocument/2006/relationships/hyperlink" Target="https://chemicalsafety.ilo.org/dyn/icsc/showcard.display?p_card_id=1621&amp;p_lang=tr" TargetMode="External"/><Relationship Id="rId3110" Type="http://schemas.openxmlformats.org/officeDocument/2006/relationships/hyperlink" Target="https://chemicalsafety.ilo.org/dyn/icsc/showcard.display?p_card_id=0798&amp;p_lang=tr" TargetMode="External"/><Relationship Id="rId6680" Type="http://schemas.openxmlformats.org/officeDocument/2006/relationships/hyperlink" Target="https://chem.echa.europa.eu/substance-search?searchText=502-44-3" TargetMode="External"/><Relationship Id="rId2876" Type="http://schemas.openxmlformats.org/officeDocument/2006/relationships/hyperlink" Target="https://chem.echa.europa.eu/substance-search?searchText=191-24-2" TargetMode="External"/><Relationship Id="rId3927" Type="http://schemas.openxmlformats.org/officeDocument/2006/relationships/hyperlink" Target="https://www.google.com/search?q=110-46-3+SDS+safety+data+sheet+filetype:pdf" TargetMode="External"/><Relationship Id="rId5282" Type="http://schemas.openxmlformats.org/officeDocument/2006/relationships/hyperlink" Target="https://chemicalsafety.ilo.org/dyn/icsc/showcard.display?p_card_id=1367&amp;p_lang=tr" TargetMode="External"/><Relationship Id="rId6333" Type="http://schemas.openxmlformats.org/officeDocument/2006/relationships/hyperlink" Target="https://chemicalsafety.ilo.org/dyn/icsc/showcard.display?p_card_id=1641&amp;p_lang=en" TargetMode="External"/><Relationship Id="rId848" Type="http://schemas.openxmlformats.org/officeDocument/2006/relationships/hyperlink" Target="https://chem.echa.europa.eu/substance-search?searchText=584-79-2" TargetMode="External"/><Relationship Id="rId1478" Type="http://schemas.openxmlformats.org/officeDocument/2006/relationships/hyperlink" Target="https://chemicalsafety.ilo.org/dyn/icsc/showcard.display?p_card_id=0372&amp;p_lang=tr" TargetMode="External"/><Relationship Id="rId1892" Type="http://schemas.openxmlformats.org/officeDocument/2006/relationships/hyperlink" Target="https://chem.echa.europa.eu/substance-search?searchText=75-03-6" TargetMode="External"/><Relationship Id="rId2529" Type="http://schemas.openxmlformats.org/officeDocument/2006/relationships/hyperlink" Target="https://chemicalsafety.ilo.org/dyn/icsc/showcard.display?p_card_id=0649&amp;p_lang=en" TargetMode="External"/><Relationship Id="rId6400" Type="http://schemas.openxmlformats.org/officeDocument/2006/relationships/hyperlink" Target="https://chem.echa.europa.eu/substance-search?searchText=109-70-6" TargetMode="External"/><Relationship Id="rId915" Type="http://schemas.openxmlformats.org/officeDocument/2006/relationships/hyperlink" Target="https://www.google.com/search?q=10294-33-4+SDS+safety+data+sheet+filetype:pdf" TargetMode="External"/><Relationship Id="rId1545" Type="http://schemas.openxmlformats.org/officeDocument/2006/relationships/hyperlink" Target="https://chemicalsafety.ilo.org/dyn/icsc/showcard.display?p_card_id=0389&amp;p_lang=en" TargetMode="External"/><Relationship Id="rId2943" Type="http://schemas.openxmlformats.org/officeDocument/2006/relationships/hyperlink" Target="https://www.google.com/search?q=10380-28-6+SDS+safety+data+sheet+filetype:pdf" TargetMode="External"/><Relationship Id="rId5002" Type="http://schemas.openxmlformats.org/officeDocument/2006/relationships/hyperlink" Target="https://chemicalsafety.ilo.org/dyn/icsc/showcard.display?p_card_id=1293&amp;p_lang=tr" TargetMode="External"/><Relationship Id="rId1612" Type="http://schemas.openxmlformats.org/officeDocument/2006/relationships/hyperlink" Target="https://chem.echa.europa.eu/substance-search?searchText=75-20-7" TargetMode="External"/><Relationship Id="rId4768" Type="http://schemas.openxmlformats.org/officeDocument/2006/relationships/hyperlink" Target="https://chem.echa.europa.eu/substance-search?searchText=7783-54-2" TargetMode="External"/><Relationship Id="rId5819" Type="http://schemas.openxmlformats.org/officeDocument/2006/relationships/hyperlink" Target="https://www.google.com/search?q=7440-21-3+SDS+safety+data+sheet+filetype:pdf" TargetMode="External"/><Relationship Id="rId6190" Type="http://schemas.openxmlformats.org/officeDocument/2006/relationships/hyperlink" Target="https://chemicalsafety.ilo.org/dyn/icsc/showcard.display?p_card_id=1602&amp;p_lang=tr" TargetMode="External"/><Relationship Id="rId3784" Type="http://schemas.openxmlformats.org/officeDocument/2006/relationships/hyperlink" Target="https://chem.echa.europa.eu/substance-search?searchText=546-93-0" TargetMode="External"/><Relationship Id="rId4835" Type="http://schemas.openxmlformats.org/officeDocument/2006/relationships/hyperlink" Target="https://www.google.com/search?q=1344-57-6+SDS+safety+data+sheet+filetype:pdf" TargetMode="External"/><Relationship Id="rId2386" Type="http://schemas.openxmlformats.org/officeDocument/2006/relationships/hyperlink" Target="https://chemicalsafety.ilo.org/dyn/icsc/showcard.display?p_card_id=0611&amp;p_lang=tr" TargetMode="External"/><Relationship Id="rId3437" Type="http://schemas.openxmlformats.org/officeDocument/2006/relationships/hyperlink" Target="https://chemicalsafety.ilo.org/dyn/icsc/showcard.display?p_card_id=0883&amp;p_lang=en" TargetMode="External"/><Relationship Id="rId3851" Type="http://schemas.openxmlformats.org/officeDocument/2006/relationships/hyperlink" Target="https://www.google.com/search?q=557-05-1+SDS+safety+data+sheet+filetype:pdf" TargetMode="External"/><Relationship Id="rId4902" Type="http://schemas.openxmlformats.org/officeDocument/2006/relationships/hyperlink" Target="https://chemicalsafety.ilo.org/dyn/icsc/showcard.display?p_card_id=1268&amp;p_lang=tr" TargetMode="External"/><Relationship Id="rId358" Type="http://schemas.openxmlformats.org/officeDocument/2006/relationships/hyperlink" Target="https://chemicalsafety.ilo.org/dyn/icsc/showcard.display?p_card_id=0090&amp;p_lang=tr" TargetMode="External"/><Relationship Id="rId772" Type="http://schemas.openxmlformats.org/officeDocument/2006/relationships/hyperlink" Target="https://chem.echa.europa.eu/substance-search?searchText=101-90-6" TargetMode="External"/><Relationship Id="rId2039" Type="http://schemas.openxmlformats.org/officeDocument/2006/relationships/hyperlink" Target="https://www.google.com/search?q=54-11-5+SDS+safety+data+sheet+filetype:pdf" TargetMode="External"/><Relationship Id="rId2453" Type="http://schemas.openxmlformats.org/officeDocument/2006/relationships/hyperlink" Target="https://chemicalsafety.ilo.org/dyn/icsc/showcard.display?p_card_id=0628&amp;p_lang=en" TargetMode="External"/><Relationship Id="rId3504" Type="http://schemas.openxmlformats.org/officeDocument/2006/relationships/hyperlink" Target="https://chem.echa.europa.eu/substance-search?searchText=999-61-1" TargetMode="External"/><Relationship Id="rId425" Type="http://schemas.openxmlformats.org/officeDocument/2006/relationships/hyperlink" Target="https://chemicalsafety.ilo.org/dyn/icsc/showcard.display?p_card_id=0107&amp;p_lang=en" TargetMode="External"/><Relationship Id="rId1055" Type="http://schemas.openxmlformats.org/officeDocument/2006/relationships/hyperlink" Target="https://www.google.com/search?q=123-01-3+SDS+safety+data+sheet+filetype:pdf" TargetMode="External"/><Relationship Id="rId2106" Type="http://schemas.openxmlformats.org/officeDocument/2006/relationships/hyperlink" Target="https://chemicalsafety.ilo.org/dyn/icsc/showcard.display?p_card_id=0537&amp;p_lang=tr" TargetMode="External"/><Relationship Id="rId2520" Type="http://schemas.openxmlformats.org/officeDocument/2006/relationships/hyperlink" Target="https://chem.echa.europa.eu/substance-search?searchText=108-39-4" TargetMode="External"/><Relationship Id="rId5676" Type="http://schemas.openxmlformats.org/officeDocument/2006/relationships/hyperlink" Target="https://chem.echa.europa.eu/substance-search?searchText=27176-87-0" TargetMode="External"/><Relationship Id="rId6727" Type="http://schemas.openxmlformats.org/officeDocument/2006/relationships/hyperlink" Target="https://www.google.com/search?q=29973-13-5+SDS+safety+data+sheet+filetype:pdf" TargetMode="External"/><Relationship Id="rId1122" Type="http://schemas.openxmlformats.org/officeDocument/2006/relationships/hyperlink" Target="https://chemicalsafety.ilo.org/dyn/icsc/showcard.display?p_card_id=0282&amp;p_lang=tr" TargetMode="External"/><Relationship Id="rId4278" Type="http://schemas.openxmlformats.org/officeDocument/2006/relationships/hyperlink" Target="https://chemicalsafety.ilo.org/dyn/icsc/showcard.display?p_card_id=1107&amp;p_lang=tr" TargetMode="External"/><Relationship Id="rId5329" Type="http://schemas.openxmlformats.org/officeDocument/2006/relationships/hyperlink" Target="https://chemicalsafety.ilo.org/dyn/icsc/showcard.display?p_card_id=1379&amp;p_lang=en" TargetMode="External"/><Relationship Id="rId3294" Type="http://schemas.openxmlformats.org/officeDocument/2006/relationships/hyperlink" Target="https://chemicalsafety.ilo.org/dyn/icsc/showcard.display?p_card_id=0846&amp;p_lang=tr" TargetMode="External"/><Relationship Id="rId4345" Type="http://schemas.openxmlformats.org/officeDocument/2006/relationships/hyperlink" Target="https://chemicalsafety.ilo.org/dyn/icsc/showcard.display?p_card_id=1124&amp;p_lang=en" TargetMode="External"/><Relationship Id="rId4692" Type="http://schemas.openxmlformats.org/officeDocument/2006/relationships/hyperlink" Target="https://chem.echa.europa.eu/substance-search?searchText=13397-24-5" TargetMode="External"/><Relationship Id="rId5743" Type="http://schemas.openxmlformats.org/officeDocument/2006/relationships/hyperlink" Target="https://www.google.com/search?q=9002-89-5+SDS+safety+data+sheet+filetype:pdf" TargetMode="External"/><Relationship Id="rId1939" Type="http://schemas.openxmlformats.org/officeDocument/2006/relationships/hyperlink" Target="https://www.google.com/search?q=629-11-8+SDS+safety+data+sheet+filetype:pdf" TargetMode="External"/><Relationship Id="rId5810" Type="http://schemas.openxmlformats.org/officeDocument/2006/relationships/hyperlink" Target="https://chemicalsafety.ilo.org/dyn/icsc/showcard.display?p_card_id=1506&amp;p_lang=tr" TargetMode="External"/><Relationship Id="rId3361" Type="http://schemas.openxmlformats.org/officeDocument/2006/relationships/hyperlink" Target="https://chemicalsafety.ilo.org/dyn/icsc/showcard.display?p_card_id=0864&amp;p_lang=en" TargetMode="External"/><Relationship Id="rId4412" Type="http://schemas.openxmlformats.org/officeDocument/2006/relationships/hyperlink" Target="https://chem.echa.europa.eu/substance-search?searchText=93763-70-3" TargetMode="External"/><Relationship Id="rId282" Type="http://schemas.openxmlformats.org/officeDocument/2006/relationships/hyperlink" Target="https://chemicalsafety.ilo.org/dyn/icsc/showcard.display?p_card_id=0071&amp;p_lang=tr" TargetMode="External"/><Relationship Id="rId3014" Type="http://schemas.openxmlformats.org/officeDocument/2006/relationships/hyperlink" Target="https://chemicalsafety.ilo.org/dyn/icsc/showcard.display?p_card_id=0774&amp;p_lang=tr" TargetMode="External"/><Relationship Id="rId6584" Type="http://schemas.openxmlformats.org/officeDocument/2006/relationships/hyperlink" Target="https://chem.echa.europa.eu/substance-search?searchText=115-95-7" TargetMode="External"/><Relationship Id="rId2030" Type="http://schemas.openxmlformats.org/officeDocument/2006/relationships/hyperlink" Target="https://chemicalsafety.ilo.org/dyn/icsc/showcard.display?p_card_id=0516&amp;p_lang=tr" TargetMode="External"/><Relationship Id="rId5186" Type="http://schemas.openxmlformats.org/officeDocument/2006/relationships/hyperlink" Target="https://chemicalsafety.ilo.org/dyn/icsc/showcard.display?p_card_id=1343&amp;p_lang=tr" TargetMode="External"/><Relationship Id="rId6237" Type="http://schemas.openxmlformats.org/officeDocument/2006/relationships/hyperlink" Target="https://chemicalsafety.ilo.org/dyn/icsc/showcard.display?p_card_id=1614&amp;p_lang=en" TargetMode="External"/><Relationship Id="rId6651" Type="http://schemas.openxmlformats.org/officeDocument/2006/relationships/hyperlink" Target="https://www.google.com/search?q=10101-41-4+SDS+safety+data+sheet+filetype:pdf" TargetMode="External"/><Relationship Id="rId5253" Type="http://schemas.openxmlformats.org/officeDocument/2006/relationships/hyperlink" Target="https://chemicalsafety.ilo.org/dyn/icsc/showcard.display?p_card_id=1360&amp;p_lang=en" TargetMode="External"/><Relationship Id="rId6304" Type="http://schemas.openxmlformats.org/officeDocument/2006/relationships/hyperlink" Target="https://chem.echa.europa.eu/substance-search?searchText=542-78-9" TargetMode="External"/><Relationship Id="rId1449" Type="http://schemas.openxmlformats.org/officeDocument/2006/relationships/hyperlink" Target="https://chemicalsafety.ilo.org/dyn/icsc/showcard.display?p_card_id=0364&amp;p_lang=en" TargetMode="External"/><Relationship Id="rId1796" Type="http://schemas.openxmlformats.org/officeDocument/2006/relationships/hyperlink" Target="https://chem.echa.europa.eu/substance-search?searchText=115-10-6" TargetMode="External"/><Relationship Id="rId2847" Type="http://schemas.openxmlformats.org/officeDocument/2006/relationships/hyperlink" Target="https://www.google.com/search?q=98-83-9+SDS+safety+data+sheet+filetype:pdf" TargetMode="External"/><Relationship Id="rId88" Type="http://schemas.openxmlformats.org/officeDocument/2006/relationships/hyperlink" Target="https://chem.echa.europa.eu/substance-search?searchText=75-15-0" TargetMode="External"/><Relationship Id="rId819" Type="http://schemas.openxmlformats.org/officeDocument/2006/relationships/hyperlink" Target="https://www.google.com/search?q=1582-09-8+SDS+safety+data+sheet+filetype:pdf" TargetMode="External"/><Relationship Id="rId1863" Type="http://schemas.openxmlformats.org/officeDocument/2006/relationships/hyperlink" Target="https://www.google.com/search?q=20859-73-8+SDS+safety+data+sheet+filetype:pdf" TargetMode="External"/><Relationship Id="rId2914" Type="http://schemas.openxmlformats.org/officeDocument/2006/relationships/hyperlink" Target="https://chemicalsafety.ilo.org/dyn/icsc/showcard.display?p_card_id=0749&amp;p_lang=tr" TargetMode="External"/><Relationship Id="rId5320" Type="http://schemas.openxmlformats.org/officeDocument/2006/relationships/hyperlink" Target="https://chem.echa.europa.eu/substance-search?searchText=19438-60-9" TargetMode="External"/><Relationship Id="rId1516" Type="http://schemas.openxmlformats.org/officeDocument/2006/relationships/hyperlink" Target="https://chem.echa.europa.eu/substance-search?searchText=1304-29-6" TargetMode="External"/><Relationship Id="rId1930" Type="http://schemas.openxmlformats.org/officeDocument/2006/relationships/hyperlink" Target="https://chemicalsafety.ilo.org/dyn/icsc/showcard.display?p_card_id=0489&amp;p_lang=tr" TargetMode="External"/><Relationship Id="rId3688" Type="http://schemas.openxmlformats.org/officeDocument/2006/relationships/hyperlink" Target="https://chem.echa.europa.eu/substance-search?searchText=7783-00-8" TargetMode="External"/><Relationship Id="rId4739" Type="http://schemas.openxmlformats.org/officeDocument/2006/relationships/hyperlink" Target="https://www.google.com/search?q=109-55-7+SDS+safety+data+sheet+filetype:pdf" TargetMode="External"/><Relationship Id="rId6094" Type="http://schemas.openxmlformats.org/officeDocument/2006/relationships/hyperlink" Target="https://chemicalsafety.ilo.org/dyn/icsc/showcard.display?p_card_id=1578&amp;p_lang=tr" TargetMode="External"/><Relationship Id="rId3755" Type="http://schemas.openxmlformats.org/officeDocument/2006/relationships/hyperlink" Target="https://www.google.com/search?q=1321-65-9+SDS+safety+data+sheet+filetype:pdf" TargetMode="External"/><Relationship Id="rId4806" Type="http://schemas.openxmlformats.org/officeDocument/2006/relationships/hyperlink" Target="https://chemicalsafety.ilo.org/dyn/icsc/showcard.display?p_card_id=1244&amp;p_lang=tr" TargetMode="External"/><Relationship Id="rId6161" Type="http://schemas.openxmlformats.org/officeDocument/2006/relationships/hyperlink" Target="https://chemicalsafety.ilo.org/dyn/icsc/showcard.display?p_card_id=1595&amp;p_lang=en" TargetMode="External"/><Relationship Id="rId676" Type="http://schemas.openxmlformats.org/officeDocument/2006/relationships/hyperlink" Target="https://chem.echa.europa.eu/substance-search?searchText=78-59-1" TargetMode="External"/><Relationship Id="rId2357" Type="http://schemas.openxmlformats.org/officeDocument/2006/relationships/hyperlink" Target="https://chemicalsafety.ilo.org/dyn/icsc/showcard.display?p_card_id=0603&amp;p_lang=en" TargetMode="External"/><Relationship Id="rId3408" Type="http://schemas.openxmlformats.org/officeDocument/2006/relationships/hyperlink" Target="https://chem.echa.europa.eu/substance-search?searchText=26761-40-0" TargetMode="External"/><Relationship Id="rId329" Type="http://schemas.openxmlformats.org/officeDocument/2006/relationships/hyperlink" Target="https://chemicalsafety.ilo.org/dyn/icsc/showcard.display?p_card_id=0083&amp;p_lang=en" TargetMode="External"/><Relationship Id="rId1373" Type="http://schemas.openxmlformats.org/officeDocument/2006/relationships/hyperlink" Target="https://chemicalsafety.ilo.org/dyn/icsc/showcard.display?p_card_id=0345&amp;p_lang=en" TargetMode="External"/><Relationship Id="rId2771" Type="http://schemas.openxmlformats.org/officeDocument/2006/relationships/hyperlink" Target="https://www.google.com/search?q=108-83-8+SDS+safety+data+sheet+filetype:pdf" TargetMode="External"/><Relationship Id="rId3822" Type="http://schemas.openxmlformats.org/officeDocument/2006/relationships/hyperlink" Target="https://chemicalsafety.ilo.org/dyn/icsc/showcard.display?p_card_id=0980&amp;p_lang=tr" TargetMode="External"/><Relationship Id="rId743" Type="http://schemas.openxmlformats.org/officeDocument/2006/relationships/hyperlink" Target="https://www.google.com/search?q=55-63-0+SDS+safety+data+sheet+filetype:pdf" TargetMode="External"/><Relationship Id="rId1026" Type="http://schemas.openxmlformats.org/officeDocument/2006/relationships/hyperlink" Target="https://chemicalsafety.ilo.org/dyn/icsc/showcard.display?p_card_id=0258&amp;p_lang=tr" TargetMode="External"/><Relationship Id="rId2424" Type="http://schemas.openxmlformats.org/officeDocument/2006/relationships/hyperlink" Target="https://chem.echa.europa.eu/substance-search?searchText=111-40-0" TargetMode="External"/><Relationship Id="rId5994" Type="http://schemas.openxmlformats.org/officeDocument/2006/relationships/hyperlink" Target="https://chemicalsafety.ilo.org/dyn/icsc/showcard.display?p_card_id=1553&amp;p_lang=tr" TargetMode="External"/><Relationship Id="rId810" Type="http://schemas.openxmlformats.org/officeDocument/2006/relationships/hyperlink" Target="https://chemicalsafety.ilo.org/dyn/icsc/showcard.display?p_card_id=0203&amp;p_lang=tr" TargetMode="External"/><Relationship Id="rId1440" Type="http://schemas.openxmlformats.org/officeDocument/2006/relationships/hyperlink" Target="https://chem.echa.europa.eu/substance-search?searchText=8052-41-3" TargetMode="External"/><Relationship Id="rId4596" Type="http://schemas.openxmlformats.org/officeDocument/2006/relationships/hyperlink" Target="https://chem.echa.europa.eu/substance-search?searchText=681-84-5" TargetMode="External"/><Relationship Id="rId5647" Type="http://schemas.openxmlformats.org/officeDocument/2006/relationships/hyperlink" Target="https://www.google.com/search?q=1477-55-0+SDS+safety+data+sheet+filetype:pdf" TargetMode="External"/><Relationship Id="rId3198" Type="http://schemas.openxmlformats.org/officeDocument/2006/relationships/hyperlink" Target="https://chemicalsafety.ilo.org/dyn/icsc/showcard.display?p_card_id=0820&amp;p_lang=tr" TargetMode="External"/><Relationship Id="rId4249" Type="http://schemas.openxmlformats.org/officeDocument/2006/relationships/hyperlink" Target="https://chemicalsafety.ilo.org/dyn/icsc/showcard.display?p_card_id=1098&amp;p_lang=en" TargetMode="External"/><Relationship Id="rId4663" Type="http://schemas.openxmlformats.org/officeDocument/2006/relationships/hyperlink" Target="https://www.google.com/search?q=7778-43-0+SDS+safety+data+sheet+filetype:pdf" TargetMode="External"/><Relationship Id="rId5714" Type="http://schemas.openxmlformats.org/officeDocument/2006/relationships/hyperlink" Target="https://chemicalsafety.ilo.org/dyn/icsc/showcard.display?p_card_id=1482&amp;p_lang=tr" TargetMode="External"/><Relationship Id="rId3265" Type="http://schemas.openxmlformats.org/officeDocument/2006/relationships/hyperlink" Target="https://chemicalsafety.ilo.org/dyn/icsc/showcard.display?p_card_id=0839&amp;p_lang=en" TargetMode="External"/><Relationship Id="rId4316" Type="http://schemas.openxmlformats.org/officeDocument/2006/relationships/hyperlink" Target="https://chem.echa.europa.eu/substance-search?searchText=7761-88-8" TargetMode="External"/><Relationship Id="rId4730" Type="http://schemas.openxmlformats.org/officeDocument/2006/relationships/hyperlink" Target="https://chemicalsafety.ilo.org/dyn/icsc/showcard.display?p_card_id=1225&amp;p_lang=tr" TargetMode="External"/><Relationship Id="rId186" Type="http://schemas.openxmlformats.org/officeDocument/2006/relationships/hyperlink" Target="https://chemicalsafety.ilo.org/dyn/icsc/showcard.display?p_card_id=0047&amp;p_lang=tr" TargetMode="External"/><Relationship Id="rId2281" Type="http://schemas.openxmlformats.org/officeDocument/2006/relationships/hyperlink" Target="https://chemicalsafety.ilo.org/dyn/icsc/showcard.display?p_card_id=0582&amp;p_lang=en" TargetMode="External"/><Relationship Id="rId3332" Type="http://schemas.openxmlformats.org/officeDocument/2006/relationships/hyperlink" Target="https://chem.echa.europa.eu/substance-search?searchText=77-92-9" TargetMode="External"/><Relationship Id="rId6488" Type="http://schemas.openxmlformats.org/officeDocument/2006/relationships/hyperlink" Target="https://chem.echa.europa.eu/substance-search?searchText=108-69-0" TargetMode="External"/><Relationship Id="rId253" Type="http://schemas.openxmlformats.org/officeDocument/2006/relationships/hyperlink" Target="https://chemicalsafety.ilo.org/dyn/icsc/showcard.display?p_card_id=0064&amp;p_lang=en" TargetMode="External"/><Relationship Id="rId6555" Type="http://schemas.openxmlformats.org/officeDocument/2006/relationships/hyperlink" Target="https://www.google.com/search?q=NITROCELLULOSE+(dry,+more+than+12.6%25+nitrogen)+SDS+safety+data+sheet+filetype:pdf" TargetMode="External"/><Relationship Id="rId320" Type="http://schemas.openxmlformats.org/officeDocument/2006/relationships/hyperlink" Target="https://chem.echa.europa.eu/substance-search?searchText=79-00-5" TargetMode="External"/><Relationship Id="rId2001" Type="http://schemas.openxmlformats.org/officeDocument/2006/relationships/hyperlink" Target="https://chemicalsafety.ilo.org/dyn/icsc/showcard.display?p_card_id=0507&amp;p_lang=en" TargetMode="External"/><Relationship Id="rId5157" Type="http://schemas.openxmlformats.org/officeDocument/2006/relationships/hyperlink" Target="https://chemicalsafety.ilo.org/dyn/icsc/showcard.display?p_card_id=1336&amp;p_lang=en" TargetMode="External"/><Relationship Id="rId6208" Type="http://schemas.openxmlformats.org/officeDocument/2006/relationships/hyperlink" Target="https://chem.echa.europa.eu/substance-search?searchText=1313-60-6" TargetMode="External"/><Relationship Id="rId5571" Type="http://schemas.openxmlformats.org/officeDocument/2006/relationships/hyperlink" Target="https://www.google.com/search?q=95-54-5+SDS+safety+data+sheet+filetype:pdf" TargetMode="External"/><Relationship Id="rId6622" Type="http://schemas.openxmlformats.org/officeDocument/2006/relationships/hyperlink" Target="https://chemicalsafety.ilo.org/dyn/icsc/showcard.display?p_card_id=1727&amp;p_lang=tr" TargetMode="External"/><Relationship Id="rId1767" Type="http://schemas.openxmlformats.org/officeDocument/2006/relationships/hyperlink" Target="https://www.google.com/search?q=148-18-5+SDS+safety+data+sheet+filetype:pdf" TargetMode="External"/><Relationship Id="rId2818" Type="http://schemas.openxmlformats.org/officeDocument/2006/relationships/hyperlink" Target="https://chemicalsafety.ilo.org/dyn/icsc/showcard.display?p_card_id=0725&amp;p_lang=tr" TargetMode="External"/><Relationship Id="rId4173" Type="http://schemas.openxmlformats.org/officeDocument/2006/relationships/hyperlink" Target="https://chemicalsafety.ilo.org/dyn/icsc/showcard.display?p_card_id=1078&amp;p_lang=en" TargetMode="External"/><Relationship Id="rId5224" Type="http://schemas.openxmlformats.org/officeDocument/2006/relationships/hyperlink" Target="https://chem.echa.europa.eu/substance-search?searchText=13597-99-4" TargetMode="External"/><Relationship Id="rId59" Type="http://schemas.openxmlformats.org/officeDocument/2006/relationships/hyperlink" Target="https://www.google.com/search?q=71-43-2+SDS+safety+data+sheet+filetype:pdf" TargetMode="External"/><Relationship Id="rId1834" Type="http://schemas.openxmlformats.org/officeDocument/2006/relationships/hyperlink" Target="https://chemicalsafety.ilo.org/dyn/icsc/showcard.display?p_card_id=0465&amp;p_lang=tr" TargetMode="External"/><Relationship Id="rId4240" Type="http://schemas.openxmlformats.org/officeDocument/2006/relationships/hyperlink" Target="https://chem.echa.europa.eu/substance-search?searchText=541-73-1" TargetMode="External"/><Relationship Id="rId1901" Type="http://schemas.openxmlformats.org/officeDocument/2006/relationships/hyperlink" Target="https://chemicalsafety.ilo.org/dyn/icsc/showcard.display?p_card_id=0482&amp;p_lang=en" TargetMode="External"/><Relationship Id="rId3659" Type="http://schemas.openxmlformats.org/officeDocument/2006/relationships/hyperlink" Target="https://www.google.com/search?q=100-63-0+SDS+safety+data+sheet+filetype:pdf" TargetMode="External"/><Relationship Id="rId6065" Type="http://schemas.openxmlformats.org/officeDocument/2006/relationships/hyperlink" Target="https://chemicalsafety.ilo.org/dyn/icsc/showcard.display?p_card_id=1571&amp;p_lang=en" TargetMode="External"/><Relationship Id="rId5081" Type="http://schemas.openxmlformats.org/officeDocument/2006/relationships/hyperlink" Target="https://chemicalsafety.ilo.org/dyn/icsc/showcard.display?p_card_id=1315&amp;p_lang=en" TargetMode="External"/><Relationship Id="rId6132" Type="http://schemas.openxmlformats.org/officeDocument/2006/relationships/hyperlink" Target="https://chem.echa.europa.eu/substance-search?searchText=993-00-0" TargetMode="External"/><Relationship Id="rId994" Type="http://schemas.openxmlformats.org/officeDocument/2006/relationships/hyperlink" Target="https://chemicalsafety.ilo.org/dyn/icsc/showcard.display?p_card_id=0250&amp;p_lang=tr" TargetMode="External"/><Relationship Id="rId2675" Type="http://schemas.openxmlformats.org/officeDocument/2006/relationships/hyperlink" Target="https://www.google.com/search?q=79-10-7+SDS+safety+data+sheet+filetype:pdf" TargetMode="External"/><Relationship Id="rId3726" Type="http://schemas.openxmlformats.org/officeDocument/2006/relationships/hyperlink" Target="https://chemicalsafety.ilo.org/dyn/icsc/showcard.display?p_card_id=0955&amp;p_lang=tr" TargetMode="External"/><Relationship Id="rId647" Type="http://schemas.openxmlformats.org/officeDocument/2006/relationships/hyperlink" Target="https://www.google.com/search?q=680-31-9+SDS+safety+data+sheet+filetype:pdf" TargetMode="External"/><Relationship Id="rId1277" Type="http://schemas.openxmlformats.org/officeDocument/2006/relationships/hyperlink" Target="https://chemicalsafety.ilo.org/dyn/icsc/showcard.display?p_card_id=0321&amp;p_lang=en" TargetMode="External"/><Relationship Id="rId1691" Type="http://schemas.openxmlformats.org/officeDocument/2006/relationships/hyperlink" Target="https://www.google.com/search?q=120-92-3+SDS+safety+data+sheet+filetype:pdf" TargetMode="External"/><Relationship Id="rId2328" Type="http://schemas.openxmlformats.org/officeDocument/2006/relationships/hyperlink" Target="https://chem.echa.europa.eu/substance-search?searchText=107-39-1" TargetMode="External"/><Relationship Id="rId2742" Type="http://schemas.openxmlformats.org/officeDocument/2006/relationships/hyperlink" Target="https://chemicalsafety.ilo.org/dyn/icsc/showcard.display?p_card_id=0706&amp;p_lang=tr" TargetMode="External"/><Relationship Id="rId5898" Type="http://schemas.openxmlformats.org/officeDocument/2006/relationships/hyperlink" Target="https://chemicalsafety.ilo.org/dyn/icsc/showcard.display?p_card_id=1528&amp;p_lang=tr" TargetMode="External"/><Relationship Id="rId714" Type="http://schemas.openxmlformats.org/officeDocument/2006/relationships/hyperlink" Target="https://chemicalsafety.ilo.org/dyn/icsc/showcard.display?p_card_id=0179&amp;p_lang=tr" TargetMode="External"/><Relationship Id="rId1344" Type="http://schemas.openxmlformats.org/officeDocument/2006/relationships/hyperlink" Target="https://chem.echa.europa.eu/substance-search?searchText=7440-29-1" TargetMode="External"/><Relationship Id="rId5965" Type="http://schemas.openxmlformats.org/officeDocument/2006/relationships/hyperlink" Target="https://chemicalsafety.ilo.org/dyn/icsc/showcard.display?p_card_id=1546&amp;p_lang=en" TargetMode="External"/><Relationship Id="rId50" Type="http://schemas.openxmlformats.org/officeDocument/2006/relationships/hyperlink" Target="https://chemicalsafety.ilo.org/dyn/icsc/showcard.display?p_card_id=0013&amp;p_lang=tr" TargetMode="External"/><Relationship Id="rId1411" Type="http://schemas.openxmlformats.org/officeDocument/2006/relationships/hyperlink" Target="https://www.google.com/search?q=74-95-3+SDS+safety+data+sheet+filetype:pdf" TargetMode="External"/><Relationship Id="rId4567" Type="http://schemas.openxmlformats.org/officeDocument/2006/relationships/hyperlink" Target="https://www.google.com/search?q=120-71-8+SDS+safety+data+sheet+filetype:pdf" TargetMode="External"/><Relationship Id="rId5618" Type="http://schemas.openxmlformats.org/officeDocument/2006/relationships/hyperlink" Target="https://chemicalsafety.ilo.org/dyn/icsc/showcard.display?p_card_id=1453&amp;p_lang=tr" TargetMode="External"/><Relationship Id="rId3169" Type="http://schemas.openxmlformats.org/officeDocument/2006/relationships/hyperlink" Target="https://chemicalsafety.ilo.org/dyn/icsc/showcard.display?p_card_id=0813&amp;p_lang=en" TargetMode="External"/><Relationship Id="rId3583" Type="http://schemas.openxmlformats.org/officeDocument/2006/relationships/hyperlink" Target="https://www.google.com/search?q=59-51-8+SDS+safety+data+sheet+filetype:pdf" TargetMode="External"/><Relationship Id="rId4981" Type="http://schemas.openxmlformats.org/officeDocument/2006/relationships/hyperlink" Target="https://chemicalsafety.ilo.org/dyn/icsc/showcard.display?p_card_id=1288&amp;p_lang=en" TargetMode="External"/><Relationship Id="rId2185" Type="http://schemas.openxmlformats.org/officeDocument/2006/relationships/hyperlink" Target="https://chemicalsafety.ilo.org/dyn/icsc/showcard.display?p_card_id=0558&amp;p_lang=en" TargetMode="External"/><Relationship Id="rId3236" Type="http://schemas.openxmlformats.org/officeDocument/2006/relationships/hyperlink" Target="https://chem.echa.europa.eu/substance-search?searchText=84-69-5" TargetMode="External"/><Relationship Id="rId4634" Type="http://schemas.openxmlformats.org/officeDocument/2006/relationships/hyperlink" Target="https://chemicalsafety.ilo.org/dyn/icsc/showcard.display?p_card_id=1200&amp;p_lang=tr" TargetMode="External"/><Relationship Id="rId157" Type="http://schemas.openxmlformats.org/officeDocument/2006/relationships/hyperlink" Target="https://chemicalsafety.ilo.org/dyn/icsc/showcard.display?p_card_id=0040&amp;p_lang=en" TargetMode="External"/><Relationship Id="rId3650" Type="http://schemas.openxmlformats.org/officeDocument/2006/relationships/hyperlink" Target="https://chemicalsafety.ilo.org/dyn/icsc/showcard.display?p_card_id=0936&amp;p_lang=tr" TargetMode="External"/><Relationship Id="rId4701" Type="http://schemas.openxmlformats.org/officeDocument/2006/relationships/hyperlink" Target="https://chemicalsafety.ilo.org/dyn/icsc/showcard.display?p_card_id=1218&amp;p_lang=en" TargetMode="External"/><Relationship Id="rId571" Type="http://schemas.openxmlformats.org/officeDocument/2006/relationships/hyperlink" Target="https://www.google.com/search?q=608-31-1+SDS+safety+data+sheet+filetype:pdf" TargetMode="External"/><Relationship Id="rId2252" Type="http://schemas.openxmlformats.org/officeDocument/2006/relationships/hyperlink" Target="https://chem.echa.europa.eu/substance-search?searchText=10026-04-7" TargetMode="External"/><Relationship Id="rId3303" Type="http://schemas.openxmlformats.org/officeDocument/2006/relationships/hyperlink" Target="https://www.google.com/search?q=76-15-3+SDS+safety+data+sheet+filetype:pdf" TargetMode="External"/><Relationship Id="rId6459" Type="http://schemas.openxmlformats.org/officeDocument/2006/relationships/hyperlink" Target="https://www.google.com/search?q=91-76-9+SDS+safety+data+sheet+filetype:pdf" TargetMode="External"/><Relationship Id="rId224" Type="http://schemas.openxmlformats.org/officeDocument/2006/relationships/hyperlink" Target="https://chem.echa.europa.eu/substance-search?searchText=7439-97-6" TargetMode="External"/><Relationship Id="rId5475" Type="http://schemas.openxmlformats.org/officeDocument/2006/relationships/hyperlink" Target="https://www.google.com/search?q=110-62-3+SDS+safety+data+sheet+filetype:pdf" TargetMode="External"/><Relationship Id="rId6526" Type="http://schemas.openxmlformats.org/officeDocument/2006/relationships/hyperlink" Target="https://chemicalsafety.ilo.org/dyn/icsc/showcard.display?p_card_id=1702&amp;p_lang=tr" TargetMode="External"/><Relationship Id="rId4077" Type="http://schemas.openxmlformats.org/officeDocument/2006/relationships/hyperlink" Target="https://chemicalsafety.ilo.org/dyn/icsc/showcard.display?p_card_id=1050&amp;p_lang=en" TargetMode="External"/><Relationship Id="rId4491" Type="http://schemas.openxmlformats.org/officeDocument/2006/relationships/hyperlink" Target="https://www.google.com/search?q=21564-17-0+SDS+safety+data+sheet+filetype:pdf" TargetMode="External"/><Relationship Id="rId5128" Type="http://schemas.openxmlformats.org/officeDocument/2006/relationships/hyperlink" Target="https://chem.echa.europa.eu/substance-search?searchText=10034-85-2" TargetMode="External"/><Relationship Id="rId5542" Type="http://schemas.openxmlformats.org/officeDocument/2006/relationships/hyperlink" Target="https://chemicalsafety.ilo.org/dyn/icsc/showcard.display?p_card_id=1434&amp;p_lang=tr" TargetMode="External"/><Relationship Id="rId1738" Type="http://schemas.openxmlformats.org/officeDocument/2006/relationships/hyperlink" Target="https://chemicalsafety.ilo.org/dyn/icsc/showcard.display?p_card_id=0439&amp;p_lang=tr" TargetMode="External"/><Relationship Id="rId3093" Type="http://schemas.openxmlformats.org/officeDocument/2006/relationships/hyperlink" Target="https://chemicalsafety.ilo.org/dyn/icsc/showcard.display?p_card_id=0794&amp;p_lang=en" TargetMode="External"/><Relationship Id="rId4144" Type="http://schemas.openxmlformats.org/officeDocument/2006/relationships/hyperlink" Target="https://chem.echa.europa.eu/substance-search?searchText=98-51-1" TargetMode="External"/><Relationship Id="rId3160" Type="http://schemas.openxmlformats.org/officeDocument/2006/relationships/hyperlink" Target="https://chem.echa.europa.eu/substance-search?searchText=7440-22-4" TargetMode="External"/><Relationship Id="rId4211" Type="http://schemas.openxmlformats.org/officeDocument/2006/relationships/hyperlink" Target="https://www.google.com/search?q=123-39-7+SDS+safety+data+sheet+filetype:pdf" TargetMode="External"/><Relationship Id="rId1805" Type="http://schemas.openxmlformats.org/officeDocument/2006/relationships/hyperlink" Target="https://chemicalsafety.ilo.org/dyn/icsc/showcard.display?p_card_id=0457&amp;p_lang=en" TargetMode="External"/><Relationship Id="rId3977" Type="http://schemas.openxmlformats.org/officeDocument/2006/relationships/hyperlink" Target="https://chemicalsafety.ilo.org/dyn/icsc/showcard.display?p_card_id=1025&amp;p_lang=en" TargetMode="External"/><Relationship Id="rId6036" Type="http://schemas.openxmlformats.org/officeDocument/2006/relationships/hyperlink" Target="https://chem.echa.europa.eu/substance-search?searchText=118-79-6" TargetMode="External"/><Relationship Id="rId6383" Type="http://schemas.openxmlformats.org/officeDocument/2006/relationships/hyperlink" Target="https://www.google.com/search?q=13194-48-4+SDS+safety+data+sheet+filetype:pdf" TargetMode="External"/><Relationship Id="rId898" Type="http://schemas.openxmlformats.org/officeDocument/2006/relationships/hyperlink" Target="https://chemicalsafety.ilo.org/dyn/icsc/showcard.display?p_card_id=0226&amp;p_lang=tr" TargetMode="External"/><Relationship Id="rId2579" Type="http://schemas.openxmlformats.org/officeDocument/2006/relationships/hyperlink" Target="https://www.google.com/search?q=7803-49-8+SDS+safety+data+sheet+filetype:pdf" TargetMode="External"/><Relationship Id="rId2993" Type="http://schemas.openxmlformats.org/officeDocument/2006/relationships/hyperlink" Target="https://chemicalsafety.ilo.org/dyn/icsc/showcard.display?p_card_id=0769&amp;p_lang=en" TargetMode="External"/><Relationship Id="rId6450" Type="http://schemas.openxmlformats.org/officeDocument/2006/relationships/hyperlink" Target="https://chemicalsafety.ilo.org/dyn/icsc/showcard.display?p_card_id=1678&amp;p_lang=tr" TargetMode="External"/><Relationship Id="rId965" Type="http://schemas.openxmlformats.org/officeDocument/2006/relationships/hyperlink" Target="https://chemicalsafety.ilo.org/dyn/icsc/showcard.display?p_card_id=0243&amp;p_lang=en" TargetMode="External"/><Relationship Id="rId1595" Type="http://schemas.openxmlformats.org/officeDocument/2006/relationships/hyperlink" Target="https://www.google.com/search?q=592-84-7+SDS+safety+data+sheet+filetype:pdf" TargetMode="External"/><Relationship Id="rId2646" Type="http://schemas.openxmlformats.org/officeDocument/2006/relationships/hyperlink" Target="https://chemicalsafety.ilo.org/dyn/icsc/showcard.display?p_card_id=0680&amp;p_lang=tr" TargetMode="External"/><Relationship Id="rId5052" Type="http://schemas.openxmlformats.org/officeDocument/2006/relationships/hyperlink" Target="https://chem.echa.europa.eu/substance-search?searchText=470-90-6" TargetMode="External"/><Relationship Id="rId6103" Type="http://schemas.openxmlformats.org/officeDocument/2006/relationships/hyperlink" Target="https://www.google.com/search?q=2696-92-6+SDS+safety+data+sheet+filetype:pdf" TargetMode="External"/><Relationship Id="rId618" Type="http://schemas.openxmlformats.org/officeDocument/2006/relationships/hyperlink" Target="https://chemicalsafety.ilo.org/dyn/icsc/showcard.display?p_card_id=0155&amp;p_lang=tr" TargetMode="External"/><Relationship Id="rId1248" Type="http://schemas.openxmlformats.org/officeDocument/2006/relationships/hyperlink" Target="https://chem.echa.europa.eu/substance-search?searchText=26002-80-2" TargetMode="External"/><Relationship Id="rId1662" Type="http://schemas.openxmlformats.org/officeDocument/2006/relationships/hyperlink" Target="https://chemicalsafety.ilo.org/dyn/icsc/showcard.display?p_card_id=0420&amp;p_lang=tr" TargetMode="External"/><Relationship Id="rId5869" Type="http://schemas.openxmlformats.org/officeDocument/2006/relationships/hyperlink" Target="https://chemicalsafety.ilo.org/dyn/icsc/showcard.display?p_card_id=1521&amp;p_lang=en" TargetMode="External"/><Relationship Id="rId1315" Type="http://schemas.openxmlformats.org/officeDocument/2006/relationships/hyperlink" Target="https://www.google.com/search?q=100-21-0+SDS+safety+data+sheet+filetype:pdf" TargetMode="External"/><Relationship Id="rId2713" Type="http://schemas.openxmlformats.org/officeDocument/2006/relationships/hyperlink" Target="https://chemicalsafety.ilo.org/dyn/icsc/showcard.display?p_card_id=0699&amp;p_lang=en" TargetMode="External"/><Relationship Id="rId4885" Type="http://schemas.openxmlformats.org/officeDocument/2006/relationships/hyperlink" Target="https://chemicalsafety.ilo.org/dyn/icsc/showcard.display?p_card_id=1264&amp;p_lang=en" TargetMode="External"/><Relationship Id="rId5936" Type="http://schemas.openxmlformats.org/officeDocument/2006/relationships/hyperlink" Target="https://chem.echa.europa.eu/substance-search?searchText=79-14-1" TargetMode="External"/><Relationship Id="rId21" Type="http://schemas.openxmlformats.org/officeDocument/2006/relationships/hyperlink" Target="https://chemicalsafety.ilo.org/dyn/icsc/showcard.display?p_card_id=0006&amp;p_lang=en" TargetMode="External"/><Relationship Id="rId2089" Type="http://schemas.openxmlformats.org/officeDocument/2006/relationships/hyperlink" Target="https://chemicalsafety.ilo.org/dyn/icsc/showcard.display?p_card_id=0533&amp;p_lang=en" TargetMode="External"/><Relationship Id="rId3487" Type="http://schemas.openxmlformats.org/officeDocument/2006/relationships/hyperlink" Target="https://www.google.com/search?q=118-74-1+SDS+safety+data+sheet+filetype:pdf" TargetMode="External"/><Relationship Id="rId4538" Type="http://schemas.openxmlformats.org/officeDocument/2006/relationships/hyperlink" Target="https://chemicalsafety.ilo.org/dyn/icsc/showcard.display?p_card_id=1173&amp;p_lang=tr" TargetMode="External"/><Relationship Id="rId4952" Type="http://schemas.openxmlformats.org/officeDocument/2006/relationships/hyperlink" Target="https://chem.echa.europa.eu/substance-search?searchText=674-82-8" TargetMode="External"/><Relationship Id="rId3554" Type="http://schemas.openxmlformats.org/officeDocument/2006/relationships/hyperlink" Target="https://chemicalsafety.ilo.org/dyn/icsc/showcard.display?p_card_id=0912&amp;p_lang=tr" TargetMode="External"/><Relationship Id="rId4605" Type="http://schemas.openxmlformats.org/officeDocument/2006/relationships/hyperlink" Target="https://chemicalsafety.ilo.org/dyn/icsc/showcard.display?p_card_id=1191&amp;p_lang=en" TargetMode="External"/><Relationship Id="rId475" Type="http://schemas.openxmlformats.org/officeDocument/2006/relationships/hyperlink" Target="https://www.google.com/search?q=2425-06-1+SDS+safety+data+sheet+filetype:pdf" TargetMode="External"/><Relationship Id="rId2156" Type="http://schemas.openxmlformats.org/officeDocument/2006/relationships/hyperlink" Target="https://chem.echa.europa.eu/substance-search?searchText=123-38-6" TargetMode="External"/><Relationship Id="rId2570" Type="http://schemas.openxmlformats.org/officeDocument/2006/relationships/hyperlink" Target="https://chemicalsafety.ilo.org/dyn/icsc/showcard.display?p_card_id=0659&amp;p_lang=tr" TargetMode="External"/><Relationship Id="rId3207" Type="http://schemas.openxmlformats.org/officeDocument/2006/relationships/hyperlink" Target="https://www.google.com/search?q=50-78-2+SDS+safety+data+sheet+filetype:pdf" TargetMode="External"/><Relationship Id="rId3621" Type="http://schemas.openxmlformats.org/officeDocument/2006/relationships/hyperlink" Target="https://chemicalsafety.ilo.org/dyn/icsc/showcard.display?p_card_id=0929&amp;p_lang=en" TargetMode="External"/><Relationship Id="rId6777" Type="http://schemas.openxmlformats.org/officeDocument/2006/relationships/hyperlink" Target="https://chemicalsafety.ilo.org/dyn/icsc/showcard.display?p_card_id=1767&amp;p_lang=en" TargetMode="External"/><Relationship Id="rId128" Type="http://schemas.openxmlformats.org/officeDocument/2006/relationships/hyperlink" Target="https://chem.echa.europa.eu/substance-search?searchText=1569-69-3" TargetMode="External"/><Relationship Id="rId542" Type="http://schemas.openxmlformats.org/officeDocument/2006/relationships/hyperlink" Target="https://chemicalsafety.ilo.org/dyn/icsc/showcard.display?p_card_id=0136&amp;p_lang=tr" TargetMode="External"/><Relationship Id="rId1172" Type="http://schemas.openxmlformats.org/officeDocument/2006/relationships/hyperlink" Target="https://chem.echa.europa.eu/substance-search?searchText=583-59-5" TargetMode="External"/><Relationship Id="rId2223" Type="http://schemas.openxmlformats.org/officeDocument/2006/relationships/hyperlink" Target="https://www.google.com/search?q=1303-96-4+SDS+safety+data+sheet+filetype:pdf" TargetMode="External"/><Relationship Id="rId5379" Type="http://schemas.openxmlformats.org/officeDocument/2006/relationships/hyperlink" Target="https://www.google.com/search?q=6423-43-4+SDS+safety+data+sheet+filetype:pdf" TargetMode="External"/><Relationship Id="rId5793" Type="http://schemas.openxmlformats.org/officeDocument/2006/relationships/hyperlink" Target="https://chemicalsafety.ilo.org/dyn/icsc/showcard.display?p_card_id=1502&amp;p_lang=en" TargetMode="External"/><Relationship Id="rId6844" Type="http://schemas.openxmlformats.org/officeDocument/2006/relationships/hyperlink" Target="https://chem.echa.europa.eu/substance-search?searchText=643-79-8" TargetMode="External"/><Relationship Id="rId4395" Type="http://schemas.openxmlformats.org/officeDocument/2006/relationships/hyperlink" Target="https://www.google.com/search?q=1344-09-8+SDS+safety+data+sheet+filetype:pdf" TargetMode="External"/><Relationship Id="rId5446" Type="http://schemas.openxmlformats.org/officeDocument/2006/relationships/hyperlink" Target="https://chemicalsafety.ilo.org/dyn/icsc/showcard.display?p_card_id=1410&amp;p_lang=tr" TargetMode="External"/><Relationship Id="rId1989" Type="http://schemas.openxmlformats.org/officeDocument/2006/relationships/hyperlink" Target="https://chemicalsafety.ilo.org/dyn/icsc/showcard.display?p_card_id=0504&amp;p_lang=en" TargetMode="External"/><Relationship Id="rId4048" Type="http://schemas.openxmlformats.org/officeDocument/2006/relationships/hyperlink" Target="https://chem.echa.europa.eu/substance-search?searchText=123-63-7" TargetMode="External"/><Relationship Id="rId5860" Type="http://schemas.openxmlformats.org/officeDocument/2006/relationships/hyperlink" Target="https://chem.echa.europa.eu/substance-search?searchText=61789-80-8" TargetMode="External"/><Relationship Id="rId3064" Type="http://schemas.openxmlformats.org/officeDocument/2006/relationships/hyperlink" Target="https://chem.echa.europa.eu/substance-search?searchText=533-74-4" TargetMode="External"/><Relationship Id="rId4462" Type="http://schemas.openxmlformats.org/officeDocument/2006/relationships/hyperlink" Target="https://chemicalsafety.ilo.org/dyn/icsc/showcard.display?p_card_id=1154&amp;p_lang=tr" TargetMode="External"/><Relationship Id="rId5513" Type="http://schemas.openxmlformats.org/officeDocument/2006/relationships/hyperlink" Target="https://chemicalsafety.ilo.org/dyn/icsc/showcard.display?p_card_id=1427&amp;p_lang=en" TargetMode="External"/><Relationship Id="rId1709" Type="http://schemas.openxmlformats.org/officeDocument/2006/relationships/hyperlink" Target="https://chemicalsafety.ilo.org/dyn/icsc/showcard.display?p_card_id=0432&amp;p_lang=en" TargetMode="External"/><Relationship Id="rId4115" Type="http://schemas.openxmlformats.org/officeDocument/2006/relationships/hyperlink" Target="https://www.google.com/search?q=298-02-2+SDS+safety+data+sheet+filetype:pdf" TargetMode="External"/><Relationship Id="rId2080" Type="http://schemas.openxmlformats.org/officeDocument/2006/relationships/hyperlink" Target="https://chem.echa.europa.eu/substance-search?searchText=57-10-3" TargetMode="External"/><Relationship Id="rId3131" Type="http://schemas.openxmlformats.org/officeDocument/2006/relationships/hyperlink" Target="https://www.google.com/search?q=108-89-4+SDS+safety+data+sheet+filetype:pdf" TargetMode="External"/><Relationship Id="rId6287" Type="http://schemas.openxmlformats.org/officeDocument/2006/relationships/hyperlink" Target="https://www.google.com/search?q=1314-98-3+SDS+safety+data+sheet+filetype:pdf" TargetMode="External"/><Relationship Id="rId2897" Type="http://schemas.openxmlformats.org/officeDocument/2006/relationships/hyperlink" Target="https://chemicalsafety.ilo.org/dyn/icsc/showcard.display?p_card_id=0745&amp;p_lang=en" TargetMode="External"/><Relationship Id="rId3948" Type="http://schemas.openxmlformats.org/officeDocument/2006/relationships/hyperlink" Target="https://chem.echa.europa.eu/substance-search?searchText=357-57-3" TargetMode="External"/><Relationship Id="rId6354" Type="http://schemas.openxmlformats.org/officeDocument/2006/relationships/hyperlink" Target="https://chemicalsafety.ilo.org/dyn/icsc/showcard.display?p_card_id=1651&amp;p_lang=tr" TargetMode="External"/><Relationship Id="rId869" Type="http://schemas.openxmlformats.org/officeDocument/2006/relationships/hyperlink" Target="https://chemicalsafety.ilo.org/dyn/icsc/showcard.display?p_card_id=0219&amp;p_lang=en" TargetMode="External"/><Relationship Id="rId1499" Type="http://schemas.openxmlformats.org/officeDocument/2006/relationships/hyperlink" Target="https://www.google.com/search?q=1303-28-2+SDS+safety+data+sheet+filetype:pdf" TargetMode="External"/><Relationship Id="rId5370" Type="http://schemas.openxmlformats.org/officeDocument/2006/relationships/hyperlink" Target="https://chemicalsafety.ilo.org/dyn/icsc/showcard.display?p_card_id=1390&amp;p_lang=tr" TargetMode="External"/><Relationship Id="rId6007" Type="http://schemas.openxmlformats.org/officeDocument/2006/relationships/hyperlink" Target="https://www.google.com/search?q=121-45-9+SDS+safety+data+sheet+filetype:pdf" TargetMode="External"/><Relationship Id="rId6421" Type="http://schemas.openxmlformats.org/officeDocument/2006/relationships/hyperlink" Target="https://chemicalsafety.ilo.org/dyn/icsc/showcard.display?p_card_id=1671&amp;p_lang=en" TargetMode="External"/><Relationship Id="rId2964" Type="http://schemas.openxmlformats.org/officeDocument/2006/relationships/hyperlink" Target="https://chem.echa.europa.eu/substance-search?searchText=80-15-9" TargetMode="External"/><Relationship Id="rId5023" Type="http://schemas.openxmlformats.org/officeDocument/2006/relationships/hyperlink" Target="https://www.google.com/search?q=97-36-9+SDS+safety+data+sheet+filetype:pdf" TargetMode="External"/><Relationship Id="rId936" Type="http://schemas.openxmlformats.org/officeDocument/2006/relationships/hyperlink" Target="https://chem.echa.europa.eu/substance-search?searchText=79-11-8" TargetMode="External"/><Relationship Id="rId1219" Type="http://schemas.openxmlformats.org/officeDocument/2006/relationships/hyperlink" Target="https://www.google.com/search?q=88-74-4+SDS+safety+data+sheet+filetype:pdf" TargetMode="External"/><Relationship Id="rId1566" Type="http://schemas.openxmlformats.org/officeDocument/2006/relationships/hyperlink" Target="https://chemicalsafety.ilo.org/dyn/icsc/showcard.display?p_card_id=0395&amp;p_lang=tr" TargetMode="External"/><Relationship Id="rId1980" Type="http://schemas.openxmlformats.org/officeDocument/2006/relationships/hyperlink" Target="https://chem.echa.europa.eu/substance-search?searchText=50-21-5" TargetMode="External"/><Relationship Id="rId2617" Type="http://schemas.openxmlformats.org/officeDocument/2006/relationships/hyperlink" Target="https://chemicalsafety.ilo.org/dyn/icsc/showcard.display?p_card_id=0672&amp;p_lang=en" TargetMode="External"/><Relationship Id="rId1633" Type="http://schemas.openxmlformats.org/officeDocument/2006/relationships/hyperlink" Target="https://chemicalsafety.ilo.org/dyn/icsc/showcard.display?p_card_id=0413&amp;p_lang=en" TargetMode="External"/><Relationship Id="rId4789" Type="http://schemas.openxmlformats.org/officeDocument/2006/relationships/hyperlink" Target="https://chemicalsafety.ilo.org/dyn/icsc/showcard.display?p_card_id=1240&amp;p_lang=en" TargetMode="External"/><Relationship Id="rId1700" Type="http://schemas.openxmlformats.org/officeDocument/2006/relationships/hyperlink" Target="https://chem.echa.europa.eu/substance-search?searchText=867-27-6" TargetMode="External"/><Relationship Id="rId4856" Type="http://schemas.openxmlformats.org/officeDocument/2006/relationships/hyperlink" Target="https://chem.echa.europa.eu/substance-search?searchText=334-88-3" TargetMode="External"/><Relationship Id="rId5907" Type="http://schemas.openxmlformats.org/officeDocument/2006/relationships/hyperlink" Target="https://www.google.com/search?q=7789-02-8+SDS+safety+data+sheet+filetype:pdf" TargetMode="External"/><Relationship Id="rId3458" Type="http://schemas.openxmlformats.org/officeDocument/2006/relationships/hyperlink" Target="https://chemicalsafety.ilo.org/dyn/icsc/showcard.display?p_card_id=0888&amp;p_lang=tr" TargetMode="External"/><Relationship Id="rId3872" Type="http://schemas.openxmlformats.org/officeDocument/2006/relationships/hyperlink" Target="https://chem.echa.europa.eu/substance-search?searchText=542-75-6" TargetMode="External"/><Relationship Id="rId4509" Type="http://schemas.openxmlformats.org/officeDocument/2006/relationships/hyperlink" Target="https://chemicalsafety.ilo.org/dyn/icsc/showcard.display?p_card_id=1166&amp;p_lang=en" TargetMode="External"/><Relationship Id="rId379" Type="http://schemas.openxmlformats.org/officeDocument/2006/relationships/hyperlink" Target="https://www.google.com/search?q=107-18-6+SDS+safety+data+sheet+filetype:pdf" TargetMode="External"/><Relationship Id="rId793" Type="http://schemas.openxmlformats.org/officeDocument/2006/relationships/hyperlink" Target="https://chemicalsafety.ilo.org/dyn/icsc/showcard.display?p_card_id=0199&amp;p_lang=en" TargetMode="External"/><Relationship Id="rId2474" Type="http://schemas.openxmlformats.org/officeDocument/2006/relationships/hyperlink" Target="https://chemicalsafety.ilo.org/dyn/icsc/showcard.display?p_card_id=0633&amp;p_lang=tr" TargetMode="External"/><Relationship Id="rId3525" Type="http://schemas.openxmlformats.org/officeDocument/2006/relationships/hyperlink" Target="https://chemicalsafety.ilo.org/dyn/icsc/showcard.display?p_card_id=0905&amp;p_lang=en" TargetMode="External"/><Relationship Id="rId4923" Type="http://schemas.openxmlformats.org/officeDocument/2006/relationships/hyperlink" Target="https://www.google.com/search?q=1746-81-2+SDS+safety+data+sheet+filetype:pdf" TargetMode="External"/><Relationship Id="rId446" Type="http://schemas.openxmlformats.org/officeDocument/2006/relationships/hyperlink" Target="https://chemicalsafety.ilo.org/dyn/icsc/showcard.display?p_card_id=0112&amp;p_lang=tr" TargetMode="External"/><Relationship Id="rId1076" Type="http://schemas.openxmlformats.org/officeDocument/2006/relationships/hyperlink" Target="https://chem.echa.europa.eu/substance-search?searchText=107-21-1" TargetMode="External"/><Relationship Id="rId1490" Type="http://schemas.openxmlformats.org/officeDocument/2006/relationships/hyperlink" Target="https://chemicalsafety.ilo.org/dyn/icsc/showcard.display?p_card_id=0375&amp;p_lang=tr" TargetMode="External"/><Relationship Id="rId2127" Type="http://schemas.openxmlformats.org/officeDocument/2006/relationships/hyperlink" Target="https://www.google.com/search?q=135-88-6+SDS+safety+data+sheet+filetype:pdf" TargetMode="External"/><Relationship Id="rId860" Type="http://schemas.openxmlformats.org/officeDocument/2006/relationships/hyperlink" Target="https://chem.echa.europa.eu/substance-search?searchText=6484-52-2" TargetMode="External"/><Relationship Id="rId1143" Type="http://schemas.openxmlformats.org/officeDocument/2006/relationships/hyperlink" Target="https://www.google.com/search?q=108-23-6+SDS+safety+data+sheet+filetype:pdf" TargetMode="External"/><Relationship Id="rId2541" Type="http://schemas.openxmlformats.org/officeDocument/2006/relationships/hyperlink" Target="https://chemicalsafety.ilo.org/dyn/icsc/showcard.display?p_card_id=0652&amp;p_lang=en" TargetMode="External"/><Relationship Id="rId4299" Type="http://schemas.openxmlformats.org/officeDocument/2006/relationships/hyperlink" Target="https://www.google.com/search?q=110-30-5+SDS+safety+data+sheet+filetype:pdf" TargetMode="External"/><Relationship Id="rId5697" Type="http://schemas.openxmlformats.org/officeDocument/2006/relationships/hyperlink" Target="https://chemicalsafety.ilo.org/dyn/icsc/showcard.display?p_card_id=1476&amp;p_lang=en" TargetMode="External"/><Relationship Id="rId6748" Type="http://schemas.openxmlformats.org/officeDocument/2006/relationships/hyperlink" Target="https://chem.echa.europa.eu/substance-search?searchText=92-70-6" TargetMode="External"/><Relationship Id="rId513" Type="http://schemas.openxmlformats.org/officeDocument/2006/relationships/hyperlink" Target="https://chemicalsafety.ilo.org/dyn/icsc/showcard.display?p_card_id=0129&amp;p_lang=en" TargetMode="External"/><Relationship Id="rId5764" Type="http://schemas.openxmlformats.org/officeDocument/2006/relationships/hyperlink" Target="https://chem.echa.europa.eu/substance-search?searchText=141-59-3" TargetMode="External"/><Relationship Id="rId6815" Type="http://schemas.openxmlformats.org/officeDocument/2006/relationships/hyperlink" Target="https://www.google.com/search?q=754-12-1+SDS+safety+data+sheet+filetype:pdf" TargetMode="External"/><Relationship Id="rId1210" Type="http://schemas.openxmlformats.org/officeDocument/2006/relationships/hyperlink" Target="https://chemicalsafety.ilo.org/dyn/icsc/showcard.display?p_card_id=0304&amp;p_lang=tr" TargetMode="External"/><Relationship Id="rId4366" Type="http://schemas.openxmlformats.org/officeDocument/2006/relationships/hyperlink" Target="https://chemicalsafety.ilo.org/dyn/icsc/showcard.display?p_card_id=1129&amp;p_lang=tr" TargetMode="External"/><Relationship Id="rId4780" Type="http://schemas.openxmlformats.org/officeDocument/2006/relationships/hyperlink" Target="https://chem.echa.europa.eu/substance-search?searchText=THINNER+(OBSOLETE)" TargetMode="External"/><Relationship Id="rId5417" Type="http://schemas.openxmlformats.org/officeDocument/2006/relationships/hyperlink" Target="https://chemicalsafety.ilo.org/dyn/icsc/showcard.display?p_card_id=1403&amp;p_lang=en" TargetMode="External"/><Relationship Id="rId5831" Type="http://schemas.openxmlformats.org/officeDocument/2006/relationships/hyperlink" Target="https://www.google.com/search?q=6106-20-3+SDS+safety+data+sheet+filetype:pdf" TargetMode="External"/><Relationship Id="rId3382" Type="http://schemas.openxmlformats.org/officeDocument/2006/relationships/hyperlink" Target="https://chemicalsafety.ilo.org/dyn/icsc/showcard.display?p_card_id=0869&amp;p_lang=tr" TargetMode="External"/><Relationship Id="rId4019" Type="http://schemas.openxmlformats.org/officeDocument/2006/relationships/hyperlink" Target="https://www.google.com/search?q=12124-99-1+SDS+safety+data+sheet+filetype:pdf" TargetMode="External"/><Relationship Id="rId4433" Type="http://schemas.openxmlformats.org/officeDocument/2006/relationships/hyperlink" Target="https://chemicalsafety.ilo.org/dyn/icsc/showcard.display?p_card_id=1147&amp;p_lang=en" TargetMode="External"/><Relationship Id="rId3035" Type="http://schemas.openxmlformats.org/officeDocument/2006/relationships/hyperlink" Target="https://www.google.com/search?q=106-51-4+SDS+safety+data+sheet+filetype:pdf" TargetMode="External"/><Relationship Id="rId4500" Type="http://schemas.openxmlformats.org/officeDocument/2006/relationships/hyperlink" Target="https://chem.echa.europa.eu/substance-search?searchText=124-63-0" TargetMode="External"/><Relationship Id="rId370" Type="http://schemas.openxmlformats.org/officeDocument/2006/relationships/hyperlink" Target="https://chemicalsafety.ilo.org/dyn/icsc/showcard.display?p_card_id=0093&amp;p_lang=tr" TargetMode="External"/><Relationship Id="rId2051" Type="http://schemas.openxmlformats.org/officeDocument/2006/relationships/hyperlink" Target="https://www.google.com/search?q=75-52-5+SDS+safety+data+sheet+filetype:pdf" TargetMode="External"/><Relationship Id="rId3102" Type="http://schemas.openxmlformats.org/officeDocument/2006/relationships/hyperlink" Target="https://chemicalsafety.ilo.org/dyn/icsc/showcard.display?p_card_id=0796&amp;p_lang=tr" TargetMode="External"/><Relationship Id="rId6258" Type="http://schemas.openxmlformats.org/officeDocument/2006/relationships/hyperlink" Target="https://chemicalsafety.ilo.org/dyn/icsc/showcard.display?p_card_id=1619&amp;p_lang=tr" TargetMode="External"/><Relationship Id="rId5274" Type="http://schemas.openxmlformats.org/officeDocument/2006/relationships/hyperlink" Target="https://chemicalsafety.ilo.org/dyn/icsc/showcard.display?p_card_id=1365&amp;p_lang=tr" TargetMode="External"/><Relationship Id="rId6325" Type="http://schemas.openxmlformats.org/officeDocument/2006/relationships/hyperlink" Target="https://chemicalsafety.ilo.org/dyn/icsc/showcard.display?p_card_id=1638&amp;p_lang=en" TargetMode="External"/><Relationship Id="rId6672" Type="http://schemas.openxmlformats.org/officeDocument/2006/relationships/hyperlink" Target="https://chem.echa.europa.eu/substance-search?searchText=105-53-3" TargetMode="External"/><Relationship Id="rId2868" Type="http://schemas.openxmlformats.org/officeDocument/2006/relationships/hyperlink" Target="https://chem.echa.europa.eu/substance-search?searchText=107-40-4" TargetMode="External"/><Relationship Id="rId3919" Type="http://schemas.openxmlformats.org/officeDocument/2006/relationships/hyperlink" Target="https://www.google.com/search?q=7681-82-5+SDS+safety+data+sheet+filetype:pdf" TargetMode="External"/><Relationship Id="rId1884" Type="http://schemas.openxmlformats.org/officeDocument/2006/relationships/hyperlink" Target="https://chem.echa.europa.eu/substance-search?searchText=149-57-5" TargetMode="External"/><Relationship Id="rId2935" Type="http://schemas.openxmlformats.org/officeDocument/2006/relationships/hyperlink" Target="https://www.google.com/search?q=8018-01-7+SDS+safety+data+sheet+filetype:pdf" TargetMode="External"/><Relationship Id="rId4290" Type="http://schemas.openxmlformats.org/officeDocument/2006/relationships/hyperlink" Target="https://chemicalsafety.ilo.org/dyn/icsc/showcard.display?p_card_id=1110&amp;p_lang=tr" TargetMode="External"/><Relationship Id="rId5341" Type="http://schemas.openxmlformats.org/officeDocument/2006/relationships/hyperlink" Target="https://chemicalsafety.ilo.org/dyn/icsc/showcard.display?p_card_id=1382&amp;p_lang=en" TargetMode="External"/><Relationship Id="rId907" Type="http://schemas.openxmlformats.org/officeDocument/2006/relationships/hyperlink" Target="https://www.google.com/search?q=28434-00-6+SDS+safety+data+sheet+filetype:pdf" TargetMode="External"/><Relationship Id="rId1537" Type="http://schemas.openxmlformats.org/officeDocument/2006/relationships/hyperlink" Target="https://chemicalsafety.ilo.org/dyn/icsc/showcard.display?p_card_id=0387&amp;p_lang=en" TargetMode="External"/><Relationship Id="rId1951" Type="http://schemas.openxmlformats.org/officeDocument/2006/relationships/hyperlink" Target="https://www.google.com/search?q=110-19-0+SDS+safety+data+sheet+filetype:pdf" TargetMode="External"/><Relationship Id="rId1604" Type="http://schemas.openxmlformats.org/officeDocument/2006/relationships/hyperlink" Target="https://chem.echa.europa.eu/substance-search?searchText=1306-23-6" TargetMode="External"/><Relationship Id="rId4010" Type="http://schemas.openxmlformats.org/officeDocument/2006/relationships/hyperlink" Target="https://chemicalsafety.ilo.org/dyn/icsc/showcard.display?p_card_id=1033&amp;p_lang=tr" TargetMode="External"/><Relationship Id="rId6182" Type="http://schemas.openxmlformats.org/officeDocument/2006/relationships/hyperlink" Target="https://chemicalsafety.ilo.org/dyn/icsc/showcard.display?p_card_id=1600&amp;p_lang=tr" TargetMode="External"/><Relationship Id="rId697" Type="http://schemas.openxmlformats.org/officeDocument/2006/relationships/hyperlink" Target="https://chemicalsafety.ilo.org/dyn/icsc/showcard.display?p_card_id=0175&amp;p_lang=en" TargetMode="External"/><Relationship Id="rId2378" Type="http://schemas.openxmlformats.org/officeDocument/2006/relationships/hyperlink" Target="https://chemicalsafety.ilo.org/dyn/icsc/showcard.display?p_card_id=0609&amp;p_lang=tr" TargetMode="External"/><Relationship Id="rId3429" Type="http://schemas.openxmlformats.org/officeDocument/2006/relationships/hyperlink" Target="https://chemicalsafety.ilo.org/dyn/icsc/showcard.display?p_card_id=0881&amp;p_lang=en" TargetMode="External"/><Relationship Id="rId3776" Type="http://schemas.openxmlformats.org/officeDocument/2006/relationships/hyperlink" Target="https://chem.echa.europa.eu/substance-search?searchText=118-96-7" TargetMode="External"/><Relationship Id="rId4827" Type="http://schemas.openxmlformats.org/officeDocument/2006/relationships/hyperlink" Target="https://www.google.com/search?q=61788-32-7+SDS+safety+data+sheet+filetype:pdf" TargetMode="External"/><Relationship Id="rId2792" Type="http://schemas.openxmlformats.org/officeDocument/2006/relationships/hyperlink" Target="https://chem.echa.europa.eu/substance-search?searchText=112-50-5" TargetMode="External"/><Relationship Id="rId3843" Type="http://schemas.openxmlformats.org/officeDocument/2006/relationships/hyperlink" Target="https://www.google.com/search?q=3689-24-5+SDS+safety+data+sheet+filetype:pdf" TargetMode="External"/><Relationship Id="rId764" Type="http://schemas.openxmlformats.org/officeDocument/2006/relationships/hyperlink" Target="https://chem.echa.europa.eu/substance-search?searchText=114-26-1" TargetMode="External"/><Relationship Id="rId1394" Type="http://schemas.openxmlformats.org/officeDocument/2006/relationships/hyperlink" Target="https://chemicalsafety.ilo.org/dyn/icsc/showcard.display?p_card_id=0350&amp;p_lang=tr" TargetMode="External"/><Relationship Id="rId2445" Type="http://schemas.openxmlformats.org/officeDocument/2006/relationships/hyperlink" Target="https://chemicalsafety.ilo.org/dyn/icsc/showcard.display?p_card_id=0626&amp;p_lang=en" TargetMode="External"/><Relationship Id="rId3910" Type="http://schemas.openxmlformats.org/officeDocument/2006/relationships/hyperlink" Target="https://chemicalsafety.ilo.org/dyn/icsc/showcard.display?p_card_id=1007&amp;p_lang=tr" TargetMode="External"/><Relationship Id="rId417" Type="http://schemas.openxmlformats.org/officeDocument/2006/relationships/hyperlink" Target="https://chemicalsafety.ilo.org/dyn/icsc/showcard.display?p_card_id=0105&amp;p_lang=en" TargetMode="External"/><Relationship Id="rId831" Type="http://schemas.openxmlformats.org/officeDocument/2006/relationships/hyperlink" Target="https://www.google.com/search?q=108-24-7+SDS+safety+data+sheet+filetype:pdf" TargetMode="External"/><Relationship Id="rId1047" Type="http://schemas.openxmlformats.org/officeDocument/2006/relationships/hyperlink" Target="https://www.google.com/search?q=122-66-7+SDS+safety+data+sheet+filetype:pdf" TargetMode="External"/><Relationship Id="rId1461" Type="http://schemas.openxmlformats.org/officeDocument/2006/relationships/hyperlink" Target="https://chemicalsafety.ilo.org/dyn/icsc/showcard.display?p_card_id=0367&amp;p_lang=en" TargetMode="External"/><Relationship Id="rId2512" Type="http://schemas.openxmlformats.org/officeDocument/2006/relationships/hyperlink" Target="https://chem.echa.europa.eu/substance-search?searchText=75-68-3" TargetMode="External"/><Relationship Id="rId5668" Type="http://schemas.openxmlformats.org/officeDocument/2006/relationships/hyperlink" Target="https://chem.echa.europa.eu/substance-search?searchText=509-14-8" TargetMode="External"/><Relationship Id="rId6719" Type="http://schemas.openxmlformats.org/officeDocument/2006/relationships/hyperlink" Target="https://www.google.com/search?q=25498-49-1+SDS+safety+data+sheet+filetype:pdf" TargetMode="External"/><Relationship Id="rId1114" Type="http://schemas.openxmlformats.org/officeDocument/2006/relationships/hyperlink" Target="https://chemicalsafety.ilo.org/dyn/icsc/showcard.display?p_card_id=0280&amp;p_lang=tr" TargetMode="External"/><Relationship Id="rId4684" Type="http://schemas.openxmlformats.org/officeDocument/2006/relationships/hyperlink" Target="https://chem.echa.europa.eu/substance-search?searchText=10124-50-2" TargetMode="External"/><Relationship Id="rId5735" Type="http://schemas.openxmlformats.org/officeDocument/2006/relationships/hyperlink" Target="https://www.google.com/search?q=9002-86-2+SDS+safety+data+sheet+filetype:pdf" TargetMode="External"/><Relationship Id="rId3286" Type="http://schemas.openxmlformats.org/officeDocument/2006/relationships/hyperlink" Target="https://chemicalsafety.ilo.org/dyn/icsc/showcard.display?p_card_id=0844&amp;p_lang=tr" TargetMode="External"/><Relationship Id="rId4337" Type="http://schemas.openxmlformats.org/officeDocument/2006/relationships/hyperlink" Target="https://chemicalsafety.ilo.org/dyn/icsc/showcard.display?p_card_id=1122&amp;p_lang=en" TargetMode="External"/><Relationship Id="rId3353" Type="http://schemas.openxmlformats.org/officeDocument/2006/relationships/hyperlink" Target="https://chemicalsafety.ilo.org/dyn/icsc/showcard.display?p_card_id=0861&amp;p_lang=en" TargetMode="External"/><Relationship Id="rId4751" Type="http://schemas.openxmlformats.org/officeDocument/2006/relationships/hyperlink" Target="https://www.google.com/search?q=7550-45-0+SDS+safety+data+sheet+filetype:pdf" TargetMode="External"/><Relationship Id="rId5802" Type="http://schemas.openxmlformats.org/officeDocument/2006/relationships/hyperlink" Target="https://chemicalsafety.ilo.org/dyn/icsc/showcard.display?p_card_id=1504&amp;p_lang=tr" TargetMode="External"/><Relationship Id="rId274" Type="http://schemas.openxmlformats.org/officeDocument/2006/relationships/hyperlink" Target="https://chemicalsafety.ilo.org/dyn/icsc/showcard.display?p_card_id=0069&amp;p_lang=tr" TargetMode="External"/><Relationship Id="rId3006" Type="http://schemas.openxmlformats.org/officeDocument/2006/relationships/hyperlink" Target="https://chemicalsafety.ilo.org/dyn/icsc/showcard.display?p_card_id=0772&amp;p_lang=tr" TargetMode="External"/><Relationship Id="rId4404" Type="http://schemas.openxmlformats.org/officeDocument/2006/relationships/hyperlink" Target="https://chem.echa.europa.eu/substance-search?searchText=650-51-1" TargetMode="External"/><Relationship Id="rId3420" Type="http://schemas.openxmlformats.org/officeDocument/2006/relationships/hyperlink" Target="https://chem.echa.europa.eu/substance-search?searchText=75-18-3" TargetMode="External"/><Relationship Id="rId6576" Type="http://schemas.openxmlformats.org/officeDocument/2006/relationships/hyperlink" Target="https://chem.echa.europa.eu/substance-search?searchText=25321-09-9" TargetMode="External"/><Relationship Id="rId341" Type="http://schemas.openxmlformats.org/officeDocument/2006/relationships/hyperlink" Target="https://chemicalsafety.ilo.org/dyn/icsc/showcard.display?p_card_id=0086&amp;p_lang=en" TargetMode="External"/><Relationship Id="rId2022" Type="http://schemas.openxmlformats.org/officeDocument/2006/relationships/hyperlink" Target="https://chemicalsafety.ilo.org/dyn/icsc/showcard.display?p_card_id=0514&amp;p_lang=tr" TargetMode="External"/><Relationship Id="rId5178" Type="http://schemas.openxmlformats.org/officeDocument/2006/relationships/hyperlink" Target="https://chemicalsafety.ilo.org/dyn/icsc/showcard.display?p_card_id=1341&amp;p_lang=tr" TargetMode="External"/><Relationship Id="rId5592" Type="http://schemas.openxmlformats.org/officeDocument/2006/relationships/hyperlink" Target="https://chem.echa.europa.eu/substance-search?searchText=101-54-2" TargetMode="External"/><Relationship Id="rId6229" Type="http://schemas.openxmlformats.org/officeDocument/2006/relationships/hyperlink" Target="https://chemicalsafety.ilo.org/dyn/icsc/showcard.display?p_card_id=1612&amp;p_lang=en" TargetMode="External"/><Relationship Id="rId6643" Type="http://schemas.openxmlformats.org/officeDocument/2006/relationships/hyperlink" Target="https://www.google.com/search?q=624-49-7+SDS+safety+data+sheet+filetype:pdf" TargetMode="External"/><Relationship Id="rId1788" Type="http://schemas.openxmlformats.org/officeDocument/2006/relationships/hyperlink" Target="https://chem.echa.europa.eu/substance-search?searchText=87-59-2" TargetMode="External"/><Relationship Id="rId2839" Type="http://schemas.openxmlformats.org/officeDocument/2006/relationships/hyperlink" Target="https://www.google.com/search?q=193-39-5+SDS+safety+data+sheet+filetype:pdf" TargetMode="External"/><Relationship Id="rId4194" Type="http://schemas.openxmlformats.org/officeDocument/2006/relationships/hyperlink" Target="https://chemicalsafety.ilo.org/dyn/icsc/showcard.display?p_card_id=1083&amp;p_lang=tr" TargetMode="External"/><Relationship Id="rId5245" Type="http://schemas.openxmlformats.org/officeDocument/2006/relationships/hyperlink" Target="https://chemicalsafety.ilo.org/dyn/icsc/showcard.display?p_card_id=1358&amp;p_lang=en" TargetMode="External"/><Relationship Id="rId6710" Type="http://schemas.openxmlformats.org/officeDocument/2006/relationships/hyperlink" Target="https://chemicalsafety.ilo.org/dyn/icsc/showcard.display?p_card_id=1749&amp;p_lang=tr" TargetMode="External"/><Relationship Id="rId4261" Type="http://schemas.openxmlformats.org/officeDocument/2006/relationships/hyperlink" Target="https://chemicalsafety.ilo.org/dyn/icsc/showcard.display?p_card_id=1103&amp;p_lang=en" TargetMode="External"/><Relationship Id="rId5312" Type="http://schemas.openxmlformats.org/officeDocument/2006/relationships/hyperlink" Target="https://chem.echa.europa.eu/substance-search?searchText=117-08-8" TargetMode="External"/><Relationship Id="rId1508" Type="http://schemas.openxmlformats.org/officeDocument/2006/relationships/hyperlink" Target="https://chem.echa.europa.eu/substance-search?searchText=50-81-7" TargetMode="External"/><Relationship Id="rId1855" Type="http://schemas.openxmlformats.org/officeDocument/2006/relationships/hyperlink" Target="https://www.google.com/search?q=75-08-1+SDS+safety+data+sheet+filetype:pdf" TargetMode="External"/><Relationship Id="rId2906" Type="http://schemas.openxmlformats.org/officeDocument/2006/relationships/hyperlink" Target="https://chemicalsafety.ilo.org/dyn/icsc/showcard.display?p_card_id=0747&amp;p_lang=tr" TargetMode="External"/><Relationship Id="rId1922" Type="http://schemas.openxmlformats.org/officeDocument/2006/relationships/hyperlink" Target="https://chemicalsafety.ilo.org/dyn/icsc/showcard.display?p_card_id=0487&amp;p_lang=tr" TargetMode="External"/><Relationship Id="rId6086" Type="http://schemas.openxmlformats.org/officeDocument/2006/relationships/hyperlink" Target="https://chemicalsafety.ilo.org/dyn/icsc/showcard.display?p_card_id=1576&amp;p_lang=tr" TargetMode="External"/><Relationship Id="rId2696" Type="http://schemas.openxmlformats.org/officeDocument/2006/relationships/hyperlink" Target="https://chem.echa.europa.eu/substance-search?searchText=7803-51-2" TargetMode="External"/><Relationship Id="rId3747" Type="http://schemas.openxmlformats.org/officeDocument/2006/relationships/hyperlink" Target="https://www.google.com/search?q=119-93-7+SDS+safety+data+sheet+filetype:pdf" TargetMode="External"/><Relationship Id="rId6153" Type="http://schemas.openxmlformats.org/officeDocument/2006/relationships/hyperlink" Target="https://chemicalsafety.ilo.org/dyn/icsc/showcard.display?p_card_id=1593&amp;p_lang=en" TargetMode="External"/><Relationship Id="rId668" Type="http://schemas.openxmlformats.org/officeDocument/2006/relationships/hyperlink" Target="https://chem.echa.europa.eu/substance-search?searchText=7553-56-2" TargetMode="External"/><Relationship Id="rId1298" Type="http://schemas.openxmlformats.org/officeDocument/2006/relationships/hyperlink" Target="https://chemicalsafety.ilo.org/dyn/icsc/showcard.display?p_card_id=0326&amp;p_lang=tr" TargetMode="External"/><Relationship Id="rId2349" Type="http://schemas.openxmlformats.org/officeDocument/2006/relationships/hyperlink" Target="https://chemicalsafety.ilo.org/dyn/icsc/showcard.display?p_card_id=0601&amp;p_lang=en" TargetMode="External"/><Relationship Id="rId2763" Type="http://schemas.openxmlformats.org/officeDocument/2006/relationships/hyperlink" Target="https://www.google.com/search?q=7447-41-8+SDS+safety+data+sheet+filetype:pdf" TargetMode="External"/><Relationship Id="rId3814" Type="http://schemas.openxmlformats.org/officeDocument/2006/relationships/hyperlink" Target="https://chemicalsafety.ilo.org/dyn/icsc/showcard.display?p_card_id=0978&amp;p_lang=tr" TargetMode="External"/><Relationship Id="rId6220" Type="http://schemas.openxmlformats.org/officeDocument/2006/relationships/hyperlink" Target="https://chem.echa.europa.eu/substance-search?searchText=91-66-7" TargetMode="External"/><Relationship Id="rId735" Type="http://schemas.openxmlformats.org/officeDocument/2006/relationships/hyperlink" Target="https://www.google.com/search?q=7757-79-1+SDS+safety+data+sheet+filetype:pdf" TargetMode="External"/><Relationship Id="rId1365" Type="http://schemas.openxmlformats.org/officeDocument/2006/relationships/hyperlink" Target="https://chemicalsafety.ilo.org/dyn/icsc/showcard.display?p_card_id=0343&amp;p_lang=en" TargetMode="External"/><Relationship Id="rId2416" Type="http://schemas.openxmlformats.org/officeDocument/2006/relationships/hyperlink" Target="https://chem.echa.europa.eu/substance-search?searchText=111-42-2" TargetMode="External"/><Relationship Id="rId1018" Type="http://schemas.openxmlformats.org/officeDocument/2006/relationships/hyperlink" Target="https://chemicalsafety.ilo.org/dyn/icsc/showcard.display?p_card_id=0256&amp;p_lang=tr" TargetMode="External"/><Relationship Id="rId1432" Type="http://schemas.openxmlformats.org/officeDocument/2006/relationships/hyperlink" Target="https://chem.echa.europa.eu/substance-search?searchText=6834-92-0" TargetMode="External"/><Relationship Id="rId2830" Type="http://schemas.openxmlformats.org/officeDocument/2006/relationships/hyperlink" Target="https://chemicalsafety.ilo.org/dyn/icsc/showcard.display?p_card_id=0728&amp;p_lang=tr" TargetMode="External"/><Relationship Id="rId4588" Type="http://schemas.openxmlformats.org/officeDocument/2006/relationships/hyperlink" Target="https://chem.echa.europa.eu/substance-search?searchText=110-16-7" TargetMode="External"/><Relationship Id="rId5639" Type="http://schemas.openxmlformats.org/officeDocument/2006/relationships/hyperlink" Target="https://www.google.com/search?q=95-49-8+SDS+safety+data+sheet+filetype:pdf" TargetMode="External"/><Relationship Id="rId5986" Type="http://schemas.openxmlformats.org/officeDocument/2006/relationships/hyperlink" Target="https://chemicalsafety.ilo.org/dyn/icsc/showcard.display?p_card_id=1551&amp;p_lang=tr" TargetMode="External"/><Relationship Id="rId71" Type="http://schemas.openxmlformats.org/officeDocument/2006/relationships/hyperlink" Target="https://www.google.com/search?q=109-79-5+SDS+safety+data+sheet+filetype:pdf" TargetMode="External"/><Relationship Id="rId802" Type="http://schemas.openxmlformats.org/officeDocument/2006/relationships/hyperlink" Target="https://chemicalsafety.ilo.org/dyn/icsc/showcard.display?p_card_id=0201&amp;p_lang=tr" TargetMode="External"/><Relationship Id="rId4655" Type="http://schemas.openxmlformats.org/officeDocument/2006/relationships/hyperlink" Target="https://www.google.com/search?q=7779-88-6+SDS+safety+data+sheet+filetype:pdf" TargetMode="External"/><Relationship Id="rId5706" Type="http://schemas.openxmlformats.org/officeDocument/2006/relationships/hyperlink" Target="https://chemicalsafety.ilo.org/dyn/icsc/showcard.display?p_card_id=1478&amp;p_lang=tr" TargetMode="External"/><Relationship Id="rId178" Type="http://schemas.openxmlformats.org/officeDocument/2006/relationships/hyperlink" Target="https://chemicalsafety.ilo.org/dyn/icsc/showcard.display?p_card_id=0045&amp;p_lang=tr" TargetMode="External"/><Relationship Id="rId3257" Type="http://schemas.openxmlformats.org/officeDocument/2006/relationships/hyperlink" Target="https://chemicalsafety.ilo.org/dyn/icsc/showcard.display?p_card_id=0836&amp;p_lang=en" TargetMode="External"/><Relationship Id="rId3671" Type="http://schemas.openxmlformats.org/officeDocument/2006/relationships/hyperlink" Target="https://www.google.com/search?q=107-10-8+SDS+safety+data+sheet+filetype:pdf" TargetMode="External"/><Relationship Id="rId4308" Type="http://schemas.openxmlformats.org/officeDocument/2006/relationships/hyperlink" Target="https://chem.echa.europa.eu/substance-search?searchText=7616-94-6" TargetMode="External"/><Relationship Id="rId4722" Type="http://schemas.openxmlformats.org/officeDocument/2006/relationships/hyperlink" Target="https://chemicalsafety.ilo.org/dyn/icsc/showcard.display?p_card_id=1223&amp;p_lang=tr" TargetMode="External"/><Relationship Id="rId592" Type="http://schemas.openxmlformats.org/officeDocument/2006/relationships/hyperlink" Target="https://chem.echa.europa.eu/substance-search?searchText=77-78-1" TargetMode="External"/><Relationship Id="rId2273" Type="http://schemas.openxmlformats.org/officeDocument/2006/relationships/hyperlink" Target="https://chemicalsafety.ilo.org/dyn/icsc/showcard.display?p_card_id=0580&amp;p_lang=en" TargetMode="External"/><Relationship Id="rId3324" Type="http://schemas.openxmlformats.org/officeDocument/2006/relationships/hyperlink" Target="https://chem.echa.europa.eu/substance-search?searchText=67-48-1" TargetMode="External"/><Relationship Id="rId245" Type="http://schemas.openxmlformats.org/officeDocument/2006/relationships/hyperlink" Target="https://chemicalsafety.ilo.org/dyn/icsc/showcard.display?p_card_id=0062&amp;p_lang=en" TargetMode="External"/><Relationship Id="rId2340" Type="http://schemas.openxmlformats.org/officeDocument/2006/relationships/hyperlink" Target="https://chem.echa.europa.eu/substance-search?searchText=593-60-2" TargetMode="External"/><Relationship Id="rId5496" Type="http://schemas.openxmlformats.org/officeDocument/2006/relationships/hyperlink" Target="https://chem.echa.europa.eu/substance-search?searchText=2179-59-1" TargetMode="External"/><Relationship Id="rId6547" Type="http://schemas.openxmlformats.org/officeDocument/2006/relationships/hyperlink" Target="https://www.google.com/search?q=90-13-1+SDS+safety+data+sheet+filetype:pdf" TargetMode="External"/><Relationship Id="rId312" Type="http://schemas.openxmlformats.org/officeDocument/2006/relationships/hyperlink" Target="https://chem.echa.europa.eu/substance-search?searchText=108-88-3" TargetMode="External"/><Relationship Id="rId4098" Type="http://schemas.openxmlformats.org/officeDocument/2006/relationships/hyperlink" Target="https://chemicalsafety.ilo.org/dyn/icsc/showcard.display?p_card_id=1055&amp;p_lang=tr" TargetMode="External"/><Relationship Id="rId5149" Type="http://schemas.openxmlformats.org/officeDocument/2006/relationships/hyperlink" Target="https://chemicalsafety.ilo.org/dyn/icsc/showcard.display?p_card_id=1334&amp;p_lang=en" TargetMode="External"/><Relationship Id="rId5563" Type="http://schemas.openxmlformats.org/officeDocument/2006/relationships/hyperlink" Target="https://www.google.com/search?q=56-84-8+SDS+safety+data+sheet+filetype:pdf" TargetMode="External"/><Relationship Id="rId4165" Type="http://schemas.openxmlformats.org/officeDocument/2006/relationships/hyperlink" Target="https://chemicalsafety.ilo.org/dyn/icsc/showcard.display?p_card_id=1075&amp;p_lang=en" TargetMode="External"/><Relationship Id="rId5216" Type="http://schemas.openxmlformats.org/officeDocument/2006/relationships/hyperlink" Target="https://chem.echa.europa.eu/substance-search?searchText=77-93-0" TargetMode="External"/><Relationship Id="rId6614" Type="http://schemas.openxmlformats.org/officeDocument/2006/relationships/hyperlink" Target="https://chemicalsafety.ilo.org/dyn/icsc/showcard.display?p_card_id=1724&amp;p_lang=tr" TargetMode="External"/><Relationship Id="rId1759" Type="http://schemas.openxmlformats.org/officeDocument/2006/relationships/hyperlink" Target="https://www.google.com/search?q=109-89-7+SDS+safety+data+sheet+filetype:pdf" TargetMode="External"/><Relationship Id="rId3181" Type="http://schemas.openxmlformats.org/officeDocument/2006/relationships/hyperlink" Target="https://chemicalsafety.ilo.org/dyn/icsc/showcard.display?p_card_id=0816&amp;p_lang=en" TargetMode="External"/><Relationship Id="rId5630" Type="http://schemas.openxmlformats.org/officeDocument/2006/relationships/hyperlink" Target="https://chemicalsafety.ilo.org/dyn/icsc/showcard.display?p_card_id=1456&amp;p_lang=tr" TargetMode="External"/><Relationship Id="rId1826" Type="http://schemas.openxmlformats.org/officeDocument/2006/relationships/hyperlink" Target="https://chemicalsafety.ilo.org/dyn/icsc/showcard.display?p_card_id=0463&amp;p_lang=tr" TargetMode="External"/><Relationship Id="rId4232" Type="http://schemas.openxmlformats.org/officeDocument/2006/relationships/hyperlink" Target="https://chem.echa.europa.eu/substance-search?searchText=62-54-4" TargetMode="External"/><Relationship Id="rId3998" Type="http://schemas.openxmlformats.org/officeDocument/2006/relationships/hyperlink" Target="https://chemicalsafety.ilo.org/dyn/icsc/showcard.display?p_card_id=1030&amp;p_lang=tr" TargetMode="External"/><Relationship Id="rId6057" Type="http://schemas.openxmlformats.org/officeDocument/2006/relationships/hyperlink" Target="https://chemicalsafety.ilo.org/dyn/icsc/showcard.display?p_card_id=1569&amp;p_lang=en" TargetMode="External"/><Relationship Id="rId6471" Type="http://schemas.openxmlformats.org/officeDocument/2006/relationships/hyperlink" Target="https://www.google.com/search?q=16470-24-9+SDS+safety+data+sheet+filetype:pdf" TargetMode="External"/><Relationship Id="rId986" Type="http://schemas.openxmlformats.org/officeDocument/2006/relationships/hyperlink" Target="https://chemicalsafety.ilo.org/dyn/icsc/showcard.display?p_card_id=0248&amp;p_lang=tr" TargetMode="External"/><Relationship Id="rId2667" Type="http://schemas.openxmlformats.org/officeDocument/2006/relationships/hyperlink" Target="https://www.google.com/search?q=512-56-1+SDS+safety+data+sheet+filetype:pdf" TargetMode="External"/><Relationship Id="rId3718" Type="http://schemas.openxmlformats.org/officeDocument/2006/relationships/hyperlink" Target="https://chemicalsafety.ilo.org/dyn/icsc/showcard.display?p_card_id=0953&amp;p_lang=tr" TargetMode="External"/><Relationship Id="rId5073" Type="http://schemas.openxmlformats.org/officeDocument/2006/relationships/hyperlink" Target="https://chemicalsafety.ilo.org/dyn/icsc/showcard.display?p_card_id=1313&amp;p_lang=en" TargetMode="External"/><Relationship Id="rId6124" Type="http://schemas.openxmlformats.org/officeDocument/2006/relationships/hyperlink" Target="https://chem.echa.europa.eu/substance-search?searchText=7646-93-7" TargetMode="External"/><Relationship Id="rId639" Type="http://schemas.openxmlformats.org/officeDocument/2006/relationships/hyperlink" Target="https://www.google.com/search?q=1071-83-6+SDS+safety+data+sheet+filetype:pdf" TargetMode="External"/><Relationship Id="rId1269" Type="http://schemas.openxmlformats.org/officeDocument/2006/relationships/hyperlink" Target="https://chemicalsafety.ilo.org/dyn/icsc/showcard.display?p_card_id=0319&amp;p_lang=en" TargetMode="External"/><Relationship Id="rId5140" Type="http://schemas.openxmlformats.org/officeDocument/2006/relationships/hyperlink" Target="https://chem.echa.europa.eu/substance-search?searchText=140-11-4" TargetMode="External"/><Relationship Id="rId1683" Type="http://schemas.openxmlformats.org/officeDocument/2006/relationships/hyperlink" Target="https://www.google.com/search?q=108-94-1+SDS+safety+data+sheet+filetype:pdf" TargetMode="External"/><Relationship Id="rId2734" Type="http://schemas.openxmlformats.org/officeDocument/2006/relationships/hyperlink" Target="https://chemicalsafety.ilo.org/dyn/icsc/showcard.display?p_card_id=0704&amp;p_lang=tr" TargetMode="External"/><Relationship Id="rId706" Type="http://schemas.openxmlformats.org/officeDocument/2006/relationships/hyperlink" Target="https://chemicalsafety.ilo.org/dyn/icsc/showcard.display?p_card_id=0177&amp;p_lang=tr" TargetMode="External"/><Relationship Id="rId1336" Type="http://schemas.openxmlformats.org/officeDocument/2006/relationships/hyperlink" Target="https://chem.echa.europa.eu/substance-search?searchText=7696-12-0" TargetMode="External"/><Relationship Id="rId1750" Type="http://schemas.openxmlformats.org/officeDocument/2006/relationships/hyperlink" Target="https://chemicalsafety.ilo.org/dyn/icsc/showcard.display?p_card_id=0442&amp;p_lang=tr" TargetMode="External"/><Relationship Id="rId2801" Type="http://schemas.openxmlformats.org/officeDocument/2006/relationships/hyperlink" Target="https://chemicalsafety.ilo.org/dyn/icsc/showcard.display?p_card_id=0721&amp;p_lang=en" TargetMode="External"/><Relationship Id="rId5957" Type="http://schemas.openxmlformats.org/officeDocument/2006/relationships/hyperlink" Target="https://chemicalsafety.ilo.org/dyn/icsc/showcard.display?p_card_id=1544&amp;p_lang=en" TargetMode="External"/><Relationship Id="rId42" Type="http://schemas.openxmlformats.org/officeDocument/2006/relationships/hyperlink" Target="https://chemicalsafety.ilo.org/dyn/icsc/showcard.display?p_card_id=0011&amp;p_lang=tr" TargetMode="External"/><Relationship Id="rId1403" Type="http://schemas.openxmlformats.org/officeDocument/2006/relationships/hyperlink" Target="https://www.google.com/search?q=111-30-8+SDS+safety+data+sheet+filetype:pdf" TargetMode="External"/><Relationship Id="rId4559" Type="http://schemas.openxmlformats.org/officeDocument/2006/relationships/hyperlink" Target="https://www.google.com/search?q=7601-54-9+SDS+safety+data+sheet+filetype:pdf" TargetMode="External"/><Relationship Id="rId4973" Type="http://schemas.openxmlformats.org/officeDocument/2006/relationships/hyperlink" Target="https://chemicalsafety.ilo.org/dyn/icsc/showcard.display?p_card_id=1286&amp;p_lang=en" TargetMode="External"/><Relationship Id="rId3575" Type="http://schemas.openxmlformats.org/officeDocument/2006/relationships/hyperlink" Target="https://www.google.com/search?q=79-41-4+SDS+safety+data+sheet+filetype:pdf" TargetMode="External"/><Relationship Id="rId4626" Type="http://schemas.openxmlformats.org/officeDocument/2006/relationships/hyperlink" Target="https://chemicalsafety.ilo.org/dyn/icsc/showcard.display?p_card_id=1198&amp;p_lang=tr" TargetMode="External"/><Relationship Id="rId496" Type="http://schemas.openxmlformats.org/officeDocument/2006/relationships/hyperlink" Target="https://chem.echa.europa.eu/substance-search?searchText=6164-98-3" TargetMode="External"/><Relationship Id="rId2177" Type="http://schemas.openxmlformats.org/officeDocument/2006/relationships/hyperlink" Target="https://chemicalsafety.ilo.org/dyn/icsc/showcard.display?p_card_id=0556&amp;p_lang=en" TargetMode="External"/><Relationship Id="rId2591" Type="http://schemas.openxmlformats.org/officeDocument/2006/relationships/hyperlink" Target="https://www.google.com/search?q=107-31-3+SDS+safety+data+sheet+filetype:pdf" TargetMode="External"/><Relationship Id="rId3228" Type="http://schemas.openxmlformats.org/officeDocument/2006/relationships/hyperlink" Target="https://chem.echa.europa.eu/substance-search?searchText=7727-43-7" TargetMode="External"/><Relationship Id="rId3642" Type="http://schemas.openxmlformats.org/officeDocument/2006/relationships/hyperlink" Target="https://chemicalsafety.ilo.org/dyn/icsc/showcard.display?p_card_id=0934&amp;p_lang=tr" TargetMode="External"/><Relationship Id="rId6798" Type="http://schemas.openxmlformats.org/officeDocument/2006/relationships/hyperlink" Target="https://chemicalsafety.ilo.org/dyn/icsc/showcard.display?p_card_id=1772&amp;p_lang=tr" TargetMode="External"/><Relationship Id="rId149" Type="http://schemas.openxmlformats.org/officeDocument/2006/relationships/hyperlink" Target="https://chemicalsafety.ilo.org/dyn/icsc/showcard.display?p_card_id=0038&amp;p_lang=en" TargetMode="External"/><Relationship Id="rId563" Type="http://schemas.openxmlformats.org/officeDocument/2006/relationships/hyperlink" Target="https://www.google.com/search?q=554-00-7+SDS+safety+data+sheet+filetype:pdf" TargetMode="External"/><Relationship Id="rId1193" Type="http://schemas.openxmlformats.org/officeDocument/2006/relationships/hyperlink" Target="https://chemicalsafety.ilo.org/dyn/icsc/showcard.display?p_card_id=0300&amp;p_lang=en" TargetMode="External"/><Relationship Id="rId2244" Type="http://schemas.openxmlformats.org/officeDocument/2006/relationships/hyperlink" Target="https://chem.echa.europa.eu/substance-search?searchText=8001-58-9" TargetMode="External"/><Relationship Id="rId216" Type="http://schemas.openxmlformats.org/officeDocument/2006/relationships/hyperlink" Target="https://chem.echa.europa.eu/substance-search?searchText=94-74-6" TargetMode="External"/><Relationship Id="rId1260" Type="http://schemas.openxmlformats.org/officeDocument/2006/relationships/hyperlink" Target="https://chem.echa.europa.eu/substance-search?searchText=88-89-1" TargetMode="External"/><Relationship Id="rId630" Type="http://schemas.openxmlformats.org/officeDocument/2006/relationships/hyperlink" Target="https://chemicalsafety.ilo.org/dyn/icsc/showcard.display?p_card_id=0158&amp;p_lang=tr" TargetMode="External"/><Relationship Id="rId2311" Type="http://schemas.openxmlformats.org/officeDocument/2006/relationships/hyperlink" Target="https://www.google.com/search?q=933-75-5+SDS+safety+data+sheet+filetype:pdf" TargetMode="External"/><Relationship Id="rId4069" Type="http://schemas.openxmlformats.org/officeDocument/2006/relationships/hyperlink" Target="https://chemicalsafety.ilo.org/dyn/icsc/showcard.display?p_card_id=1048&amp;p_lang=en" TargetMode="External"/><Relationship Id="rId5467" Type="http://schemas.openxmlformats.org/officeDocument/2006/relationships/hyperlink" Target="https://www.google.com/search?q=65996-93-2+SDS+safety+data+sheet+filetype:pdf" TargetMode="External"/><Relationship Id="rId5881" Type="http://schemas.openxmlformats.org/officeDocument/2006/relationships/hyperlink" Target="https://chemicalsafety.ilo.org/dyn/icsc/showcard.display?p_card_id=1524&amp;p_lang=en" TargetMode="External"/><Relationship Id="rId6518" Type="http://schemas.openxmlformats.org/officeDocument/2006/relationships/hyperlink" Target="https://chemicalsafety.ilo.org/dyn/icsc/showcard.display?p_card_id=1700&amp;p_lang=tr" TargetMode="External"/><Relationship Id="rId4483" Type="http://schemas.openxmlformats.org/officeDocument/2006/relationships/hyperlink" Target="https://www.google.com/search?q=97-99-4+SDS+safety+data+sheet+filetype:pdf" TargetMode="External"/><Relationship Id="rId5534" Type="http://schemas.openxmlformats.org/officeDocument/2006/relationships/hyperlink" Target="https://chemicalsafety.ilo.org/dyn/icsc/showcard.display?p_card_id=1432&amp;p_lang=tr" TargetMode="External"/><Relationship Id="rId3085" Type="http://schemas.openxmlformats.org/officeDocument/2006/relationships/hyperlink" Target="https://chemicalsafety.ilo.org/dyn/icsc/showcard.display?p_card_id=0792&amp;p_lang=en" TargetMode="External"/><Relationship Id="rId4136" Type="http://schemas.openxmlformats.org/officeDocument/2006/relationships/hyperlink" Target="https://chem.echa.europa.eu/substance-search?searchText=2698-41-1" TargetMode="External"/><Relationship Id="rId4550" Type="http://schemas.openxmlformats.org/officeDocument/2006/relationships/hyperlink" Target="https://chemicalsafety.ilo.org/dyn/icsc/showcard.display?p_card_id=1176&amp;p_lang=tr" TargetMode="External"/><Relationship Id="rId5601" Type="http://schemas.openxmlformats.org/officeDocument/2006/relationships/hyperlink" Target="https://chemicalsafety.ilo.org/dyn/icsc/showcard.display?p_card_id=1449&amp;p_lang=en" TargetMode="External"/><Relationship Id="rId3152" Type="http://schemas.openxmlformats.org/officeDocument/2006/relationships/hyperlink" Target="https://chem.echa.europa.eu/substance-search?searchText=14808-60-7" TargetMode="External"/><Relationship Id="rId4203" Type="http://schemas.openxmlformats.org/officeDocument/2006/relationships/hyperlink" Target="https://www.google.com/search?q=141-82-2+SDS+safety+data+sheet+filetype:pdf" TargetMode="External"/><Relationship Id="rId6375" Type="http://schemas.openxmlformats.org/officeDocument/2006/relationships/hyperlink" Target="https://www.google.com/search?q=1929-82-4+SDS+safety+data+sheet+filetype:pdf" TargetMode="External"/><Relationship Id="rId140" Type="http://schemas.openxmlformats.org/officeDocument/2006/relationships/hyperlink" Target="https://chem.echa.europa.eu/substance-search?searchText=143-10-2" TargetMode="External"/><Relationship Id="rId3969" Type="http://schemas.openxmlformats.org/officeDocument/2006/relationships/hyperlink" Target="https://chemicalsafety.ilo.org/dyn/icsc/showcard.display?p_card_id=1023&amp;p_lang=en" TargetMode="External"/><Relationship Id="rId5391" Type="http://schemas.openxmlformats.org/officeDocument/2006/relationships/hyperlink" Target="https://www.google.com/search?q=92-93-3+SDS+safety+data+sheet+filetype:pdf" TargetMode="External"/><Relationship Id="rId6028" Type="http://schemas.openxmlformats.org/officeDocument/2006/relationships/hyperlink" Target="https://chem.echa.europa.eu/substance-search?searchText=68476-34-6" TargetMode="External"/><Relationship Id="rId6" Type="http://schemas.openxmlformats.org/officeDocument/2006/relationships/hyperlink" Target="https://chemicalsafety.ilo.org/dyn/icsc/showcard.display?p_card_id=0002&amp;p_lang=tr" TargetMode="External"/><Relationship Id="rId2985" Type="http://schemas.openxmlformats.org/officeDocument/2006/relationships/hyperlink" Target="https://chemicalsafety.ilo.org/dyn/icsc/showcard.display?p_card_id=0767&amp;p_lang=en" TargetMode="External"/><Relationship Id="rId5044" Type="http://schemas.openxmlformats.org/officeDocument/2006/relationships/hyperlink" Target="https://chem.echa.europa.eu/substance-search?searchText=35554-44-0" TargetMode="External"/><Relationship Id="rId6442" Type="http://schemas.openxmlformats.org/officeDocument/2006/relationships/hyperlink" Target="https://chemicalsafety.ilo.org/dyn/icsc/showcard.display?p_card_id=1676&amp;p_lang=tr" TargetMode="External"/><Relationship Id="rId957" Type="http://schemas.openxmlformats.org/officeDocument/2006/relationships/hyperlink" Target="https://chemicalsafety.ilo.org/dyn/icsc/showcard.display?p_card_id=0241&amp;p_lang=en" TargetMode="External"/><Relationship Id="rId1587" Type="http://schemas.openxmlformats.org/officeDocument/2006/relationships/hyperlink" Target="https://www.google.com/search?q=141-32-2+SDS+safety+data+sheet+filetype:pdf" TargetMode="External"/><Relationship Id="rId2638" Type="http://schemas.openxmlformats.org/officeDocument/2006/relationships/hyperlink" Target="https://chemicalsafety.ilo.org/dyn/icsc/showcard.display?p_card_id=0677&amp;p_lang=tr" TargetMode="External"/><Relationship Id="rId1654" Type="http://schemas.openxmlformats.org/officeDocument/2006/relationships/hyperlink" Target="https://chemicalsafety.ilo.org/dyn/icsc/showcard.display?p_card_id=0418&amp;p_lang=tr" TargetMode="External"/><Relationship Id="rId2705" Type="http://schemas.openxmlformats.org/officeDocument/2006/relationships/hyperlink" Target="https://chemicalsafety.ilo.org/dyn/icsc/showcard.display?p_card_id=0697&amp;p_lang=en" TargetMode="External"/><Relationship Id="rId4060" Type="http://schemas.openxmlformats.org/officeDocument/2006/relationships/hyperlink" Target="https://chem.echa.europa.eu/substance-search?searchText=7758-19-2" TargetMode="External"/><Relationship Id="rId5111" Type="http://schemas.openxmlformats.org/officeDocument/2006/relationships/hyperlink" Target="https://www.google.com/search?q=10043-92-2+SDS+safety+data+sheet+filetype:pdf" TargetMode="External"/><Relationship Id="rId1307" Type="http://schemas.openxmlformats.org/officeDocument/2006/relationships/hyperlink" Target="https://www.google.com/search?q=5329-14-6+SDS+safety+data+sheet+filetype:pdf" TargetMode="External"/><Relationship Id="rId1721" Type="http://schemas.openxmlformats.org/officeDocument/2006/relationships/hyperlink" Target="https://chemicalsafety.ilo.org/dyn/icsc/showcard.display?p_card_id=0435&amp;p_lang=en" TargetMode="External"/><Relationship Id="rId4877" Type="http://schemas.openxmlformats.org/officeDocument/2006/relationships/hyperlink" Target="https://chemicalsafety.ilo.org/dyn/icsc/showcard.display?p_card_id=1262&amp;p_lang=en" TargetMode="External"/><Relationship Id="rId5928" Type="http://schemas.openxmlformats.org/officeDocument/2006/relationships/hyperlink" Target="https://chem.echa.europa.eu/substance-search?searchText=7440-31-5" TargetMode="External"/><Relationship Id="rId13" Type="http://schemas.openxmlformats.org/officeDocument/2006/relationships/hyperlink" Target="https://chemicalsafety.ilo.org/dyn/icsc/showcard.display?p_card_id=0004&amp;p_lang=en" TargetMode="External"/><Relationship Id="rId3479" Type="http://schemas.openxmlformats.org/officeDocument/2006/relationships/hyperlink" Target="https://www.google.com/search?q=7782-42-5+SDS+safety+data+sheet+filetype:pdf" TargetMode="External"/><Relationship Id="rId2495" Type="http://schemas.openxmlformats.org/officeDocument/2006/relationships/hyperlink" Target="https://www.google.com/search?q=7778-54-3+SDS+safety+data+sheet+filetype:pdf" TargetMode="External"/><Relationship Id="rId3893" Type="http://schemas.openxmlformats.org/officeDocument/2006/relationships/hyperlink" Target="https://chemicalsafety.ilo.org/dyn/icsc/showcard.display?p_card_id=1002&amp;p_lang=en" TargetMode="External"/><Relationship Id="rId4944" Type="http://schemas.openxmlformats.org/officeDocument/2006/relationships/hyperlink" Target="https://chem.echa.europa.eu/substance-search?searchText=107-66-4" TargetMode="External"/><Relationship Id="rId467" Type="http://schemas.openxmlformats.org/officeDocument/2006/relationships/hyperlink" Target="https://www.google.com/search?q=1306-19-0+SDS+safety+data+sheet+filetype:pdf" TargetMode="External"/><Relationship Id="rId1097" Type="http://schemas.openxmlformats.org/officeDocument/2006/relationships/hyperlink" Target="https://chemicalsafety.ilo.org/dyn/icsc/showcard.display?p_card_id=0276&amp;p_lang=en" TargetMode="External"/><Relationship Id="rId2148" Type="http://schemas.openxmlformats.org/officeDocument/2006/relationships/hyperlink" Target="https://chem.echa.europa.eu/substance-search?searchText=3811-04-9" TargetMode="External"/><Relationship Id="rId3546" Type="http://schemas.openxmlformats.org/officeDocument/2006/relationships/hyperlink" Target="https://chemicalsafety.ilo.org/dyn/icsc/showcard.display?p_card_id=0910&amp;p_lang=tr" TargetMode="External"/><Relationship Id="rId3960" Type="http://schemas.openxmlformats.org/officeDocument/2006/relationships/hyperlink" Target="https://chem.echa.europa.eu/substance-search?searchText=96-48-0" TargetMode="External"/><Relationship Id="rId881" Type="http://schemas.openxmlformats.org/officeDocument/2006/relationships/hyperlink" Target="https://chemicalsafety.ilo.org/dyn/icsc/showcard.display?p_card_id=0222&amp;p_lang=en" TargetMode="External"/><Relationship Id="rId2562" Type="http://schemas.openxmlformats.org/officeDocument/2006/relationships/hyperlink" Target="https://chemicalsafety.ilo.org/dyn/icsc/showcard.display?p_card_id=0657&amp;p_lang=tr" TargetMode="External"/><Relationship Id="rId3613" Type="http://schemas.openxmlformats.org/officeDocument/2006/relationships/hyperlink" Target="https://chemicalsafety.ilo.org/dyn/icsc/showcard.display?p_card_id=0927&amp;p_lang=en" TargetMode="External"/><Relationship Id="rId6769" Type="http://schemas.openxmlformats.org/officeDocument/2006/relationships/hyperlink" Target="https://chemicalsafety.ilo.org/dyn/icsc/showcard.display?p_card_id=1765&amp;p_lang=en" TargetMode="External"/><Relationship Id="rId534" Type="http://schemas.openxmlformats.org/officeDocument/2006/relationships/hyperlink" Target="https://chemicalsafety.ilo.org/dyn/icsc/showcard.display?p_card_id=0134&amp;p_lang=tr" TargetMode="External"/><Relationship Id="rId1164" Type="http://schemas.openxmlformats.org/officeDocument/2006/relationships/hyperlink" Target="https://chem.echa.europa.eu/substance-search?searchText=25639-42-3" TargetMode="External"/><Relationship Id="rId2215" Type="http://schemas.openxmlformats.org/officeDocument/2006/relationships/hyperlink" Target="https://www.google.com/search?q=127-09-3+SDS+safety+data+sheet+filetype:pdf" TargetMode="External"/><Relationship Id="rId5785" Type="http://schemas.openxmlformats.org/officeDocument/2006/relationships/hyperlink" Target="https://chemicalsafety.ilo.org/dyn/icsc/showcard.display?p_card_id=1500&amp;p_lang=en" TargetMode="External"/><Relationship Id="rId6836" Type="http://schemas.openxmlformats.org/officeDocument/2006/relationships/hyperlink" Target="https://chem.echa.europa.eu/substance-search?searchText=13463-67-7" TargetMode="External"/><Relationship Id="rId601" Type="http://schemas.openxmlformats.org/officeDocument/2006/relationships/hyperlink" Target="https://chemicalsafety.ilo.org/dyn/icsc/showcard.display?p_card_id=0151&amp;p_lang=en" TargetMode="External"/><Relationship Id="rId1231" Type="http://schemas.openxmlformats.org/officeDocument/2006/relationships/hyperlink" Target="https://www.google.com/search?q=84852-15-3+SDS+safety+data+sheet+filetype:pdf" TargetMode="External"/><Relationship Id="rId4387" Type="http://schemas.openxmlformats.org/officeDocument/2006/relationships/hyperlink" Target="https://www.google.com/search?q=497-19-8+SDS+safety+data+sheet+filetype:pdf" TargetMode="External"/><Relationship Id="rId5438" Type="http://schemas.openxmlformats.org/officeDocument/2006/relationships/hyperlink" Target="https://chemicalsafety.ilo.org/dyn/icsc/showcard.display?p_card_id=1408&amp;p_lang=tr" TargetMode="External"/><Relationship Id="rId5852" Type="http://schemas.openxmlformats.org/officeDocument/2006/relationships/hyperlink" Target="https://chem.echa.europa.eu/substance-search?searchText=66230-04-4" TargetMode="External"/><Relationship Id="rId4454" Type="http://schemas.openxmlformats.org/officeDocument/2006/relationships/hyperlink" Target="https://chemicalsafety.ilo.org/dyn/icsc/showcard.display?p_card_id=1152&amp;p_lang=tr" TargetMode="External"/><Relationship Id="rId5505" Type="http://schemas.openxmlformats.org/officeDocument/2006/relationships/hyperlink" Target="https://chemicalsafety.ilo.org/dyn/icsc/showcard.display?p_card_id=1425&amp;p_lang=en" TargetMode="External"/><Relationship Id="rId3056" Type="http://schemas.openxmlformats.org/officeDocument/2006/relationships/hyperlink" Target="https://chem.echa.europa.eu/substance-search?searchText=10026-22-9" TargetMode="External"/><Relationship Id="rId3470" Type="http://schemas.openxmlformats.org/officeDocument/2006/relationships/hyperlink" Target="https://chemicalsafety.ilo.org/dyn/icsc/showcard.display?p_card_id=0891&amp;p_lang=tr" TargetMode="External"/><Relationship Id="rId4107" Type="http://schemas.openxmlformats.org/officeDocument/2006/relationships/hyperlink" Target="https://www.google.com/search?q=684-16-2+SDS+safety+data+sheet+filetype:pdf" TargetMode="External"/><Relationship Id="rId391" Type="http://schemas.openxmlformats.org/officeDocument/2006/relationships/hyperlink" Target="https://www.google.com/search?q=33089-61-1+SDS+safety+data+sheet+filetype:pdf" TargetMode="External"/><Relationship Id="rId2072" Type="http://schemas.openxmlformats.org/officeDocument/2006/relationships/hyperlink" Target="https://chem.echa.europa.eu/substance-search?searchText=20816-12-0" TargetMode="External"/><Relationship Id="rId3123" Type="http://schemas.openxmlformats.org/officeDocument/2006/relationships/hyperlink" Target="https://www.google.com/search?q=109-06-8+SDS+safety+data+sheet+filetype:pdf" TargetMode="External"/><Relationship Id="rId4521" Type="http://schemas.openxmlformats.org/officeDocument/2006/relationships/hyperlink" Target="https://chemicalsafety.ilo.org/dyn/icsc/showcard.display?p_card_id=1169&amp;p_lang=en" TargetMode="External"/><Relationship Id="rId6279" Type="http://schemas.openxmlformats.org/officeDocument/2006/relationships/hyperlink" Target="https://www.google.com/search?q=7778-39-4+SDS+safety+data+sheet+filetype:pdf" TargetMode="External"/><Relationship Id="rId6693" Type="http://schemas.openxmlformats.org/officeDocument/2006/relationships/hyperlink" Target="https://chemicalsafety.ilo.org/dyn/icsc/showcard.display?p_card_id=1745&amp;p_lang=en" TargetMode="External"/><Relationship Id="rId2889" Type="http://schemas.openxmlformats.org/officeDocument/2006/relationships/hyperlink" Target="https://chemicalsafety.ilo.org/dyn/icsc/showcard.display?p_card_id=0743&amp;p_lang=en" TargetMode="External"/><Relationship Id="rId5295" Type="http://schemas.openxmlformats.org/officeDocument/2006/relationships/hyperlink" Target="https://www.google.com/search?q=7775-11-3+SDS+safety+data+sheet+filetype:pdf" TargetMode="External"/><Relationship Id="rId6346" Type="http://schemas.openxmlformats.org/officeDocument/2006/relationships/hyperlink" Target="https://chemicalsafety.ilo.org/dyn/icsc/showcard.display?p_card_id=1644&amp;p_lang=tr" TargetMode="External"/><Relationship Id="rId6760" Type="http://schemas.openxmlformats.org/officeDocument/2006/relationships/hyperlink" Target="https://chem.echa.europa.eu/substance-search?searchText=98-59-9" TargetMode="External"/><Relationship Id="rId111" Type="http://schemas.openxmlformats.org/officeDocument/2006/relationships/hyperlink" Target="https://www.google.com/search?q=88-73-3+SDS+safety+data+sheet+filetype:pdf" TargetMode="External"/><Relationship Id="rId2956" Type="http://schemas.openxmlformats.org/officeDocument/2006/relationships/hyperlink" Target="https://chem.echa.europa.eu/substance-search?searchText=92-67-1" TargetMode="External"/><Relationship Id="rId5362" Type="http://schemas.openxmlformats.org/officeDocument/2006/relationships/hyperlink" Target="https://chemicalsafety.ilo.org/dyn/icsc/showcard.display?p_card_id=1388&amp;p_lang=tr" TargetMode="External"/><Relationship Id="rId6413" Type="http://schemas.openxmlformats.org/officeDocument/2006/relationships/hyperlink" Target="https://chemicalsafety.ilo.org/dyn/icsc/showcard.display?p_card_id=1669&amp;p_lang=en" TargetMode="External"/><Relationship Id="rId928" Type="http://schemas.openxmlformats.org/officeDocument/2006/relationships/hyperlink" Target="https://chem.echa.europa.eu/substance-search?searchText=60-35-5" TargetMode="External"/><Relationship Id="rId1558" Type="http://schemas.openxmlformats.org/officeDocument/2006/relationships/hyperlink" Target="https://chemicalsafety.ilo.org/dyn/icsc/showcard.display?p_card_id=0392&amp;p_lang=tr" TargetMode="External"/><Relationship Id="rId2609" Type="http://schemas.openxmlformats.org/officeDocument/2006/relationships/hyperlink" Target="https://chemicalsafety.ilo.org/dyn/icsc/showcard.display?p_card_id=0670&amp;p_lang=en" TargetMode="External"/><Relationship Id="rId5015" Type="http://schemas.openxmlformats.org/officeDocument/2006/relationships/hyperlink" Target="https://www.google.com/search?q=107-64-2+SDS+safety+data+sheet+filetype:pdf" TargetMode="External"/><Relationship Id="rId1972" Type="http://schemas.openxmlformats.org/officeDocument/2006/relationships/hyperlink" Target="https://chem.echa.europa.eu/substance-search?searchText=4098-71-9" TargetMode="External"/><Relationship Id="rId4031" Type="http://schemas.openxmlformats.org/officeDocument/2006/relationships/hyperlink" Target="https://www.google.com/search?q=1344-81-6+SDS+safety+data+sheet+filetype:pdf" TargetMode="External"/><Relationship Id="rId1625" Type="http://schemas.openxmlformats.org/officeDocument/2006/relationships/hyperlink" Target="https://chemicalsafety.ilo.org/dyn/icsc/showcard.display?p_card_id=0410&amp;p_lang=en" TargetMode="External"/><Relationship Id="rId3797" Type="http://schemas.openxmlformats.org/officeDocument/2006/relationships/hyperlink" Target="https://chemicalsafety.ilo.org/dyn/icsc/showcard.display?p_card_id=0974&amp;p_lang=en" TargetMode="External"/><Relationship Id="rId4848" Type="http://schemas.openxmlformats.org/officeDocument/2006/relationships/hyperlink" Target="https://chem.echa.europa.eu/substance-search?searchText=10192-30-0" TargetMode="External"/><Relationship Id="rId2399" Type="http://schemas.openxmlformats.org/officeDocument/2006/relationships/hyperlink" Target="https://www.google.com/search?q=10361-37-2+SDS+safety+data+sheet+filetype:pdf" TargetMode="External"/><Relationship Id="rId3864" Type="http://schemas.openxmlformats.org/officeDocument/2006/relationships/hyperlink" Target="https://chem.echa.europa.eu/substance-search?searchText=10043-35-3" TargetMode="External"/><Relationship Id="rId4915" Type="http://schemas.openxmlformats.org/officeDocument/2006/relationships/hyperlink" Target="https://www.google.com/search?q=111479-05-1+SDS+safety+data+sheet+filetype:pdf" TargetMode="External"/><Relationship Id="rId6270" Type="http://schemas.openxmlformats.org/officeDocument/2006/relationships/hyperlink" Target="https://chemicalsafety.ilo.org/dyn/icsc/showcard.display?p_card_id=1622&amp;p_lang=tr" TargetMode="External"/><Relationship Id="rId785" Type="http://schemas.openxmlformats.org/officeDocument/2006/relationships/hyperlink" Target="https://chemicalsafety.ilo.org/dyn/icsc/showcard.display?p_card_id=0197&amp;p_lang=en" TargetMode="External"/><Relationship Id="rId2466" Type="http://schemas.openxmlformats.org/officeDocument/2006/relationships/hyperlink" Target="https://chemicalsafety.ilo.org/dyn/icsc/showcard.display?p_card_id=0631&amp;p_lang=tr" TargetMode="External"/><Relationship Id="rId2880" Type="http://schemas.openxmlformats.org/officeDocument/2006/relationships/hyperlink" Target="https://chem.echa.europa.eu/substance-search?searchText=57-74-9" TargetMode="External"/><Relationship Id="rId3517" Type="http://schemas.openxmlformats.org/officeDocument/2006/relationships/hyperlink" Target="https://chemicalsafety.ilo.org/dyn/icsc/showcard.display?p_card_id=0903&amp;p_lang=en" TargetMode="External"/><Relationship Id="rId3931" Type="http://schemas.openxmlformats.org/officeDocument/2006/relationships/hyperlink" Target="https://www.google.com/search?q=142-04-1+SDS+safety+data+sheet+filetype:pdf" TargetMode="External"/><Relationship Id="rId438" Type="http://schemas.openxmlformats.org/officeDocument/2006/relationships/hyperlink" Target="https://chemicalsafety.ilo.org/dyn/icsc/showcard.display?p_card_id=0110&amp;p_lang=tr" TargetMode="External"/><Relationship Id="rId852" Type="http://schemas.openxmlformats.org/officeDocument/2006/relationships/hyperlink" Target="https://chem.echa.europa.eu/substance-search?searchText=504-29-0" TargetMode="External"/><Relationship Id="rId1068" Type="http://schemas.openxmlformats.org/officeDocument/2006/relationships/hyperlink" Target="https://chem.echa.europa.eu/substance-search?searchText=100-41-4" TargetMode="External"/><Relationship Id="rId1482" Type="http://schemas.openxmlformats.org/officeDocument/2006/relationships/hyperlink" Target="https://chemicalsafety.ilo.org/dyn/icsc/showcard.display?p_card_id=0373&amp;p_lang=tr" TargetMode="External"/><Relationship Id="rId2119" Type="http://schemas.openxmlformats.org/officeDocument/2006/relationships/hyperlink" Target="https://www.google.com/search?q=62-38-4+SDS+safety+data+sheet+filetype:pdf" TargetMode="External"/><Relationship Id="rId2533" Type="http://schemas.openxmlformats.org/officeDocument/2006/relationships/hyperlink" Target="https://chemicalsafety.ilo.org/dyn/icsc/showcard.display?p_card_id=0650&amp;p_lang=en" TargetMode="External"/><Relationship Id="rId5689" Type="http://schemas.openxmlformats.org/officeDocument/2006/relationships/hyperlink" Target="https://chemicalsafety.ilo.org/dyn/icsc/showcard.display?p_card_id=1474&amp;p_lang=en" TargetMode="External"/><Relationship Id="rId505" Type="http://schemas.openxmlformats.org/officeDocument/2006/relationships/hyperlink" Target="https://chemicalsafety.ilo.org/dyn/icsc/showcard.display?p_card_id=0127&amp;p_lang=en" TargetMode="External"/><Relationship Id="rId1135" Type="http://schemas.openxmlformats.org/officeDocument/2006/relationships/hyperlink" Target="https://www.google.com/search?q=124-68-5+SDS+safety+data+sheet+filetype:pdf" TargetMode="External"/><Relationship Id="rId1202" Type="http://schemas.openxmlformats.org/officeDocument/2006/relationships/hyperlink" Target="https://chemicalsafety.ilo.org/dyn/icsc/showcard.display?p_card_id=0302&amp;p_lang=tr" TargetMode="External"/><Relationship Id="rId2600" Type="http://schemas.openxmlformats.org/officeDocument/2006/relationships/hyperlink" Target="https://chem.echa.europa.eu/substance-search?searchText=91-20-3" TargetMode="External"/><Relationship Id="rId4358" Type="http://schemas.openxmlformats.org/officeDocument/2006/relationships/hyperlink" Target="https://chemicalsafety.ilo.org/dyn/icsc/showcard.display?p_card_id=1127&amp;p_lang=tr" TargetMode="External"/><Relationship Id="rId5409" Type="http://schemas.openxmlformats.org/officeDocument/2006/relationships/hyperlink" Target="https://chemicalsafety.ilo.org/dyn/icsc/showcard.display?p_card_id=1401&amp;p_lang=en" TargetMode="External"/><Relationship Id="rId5756" Type="http://schemas.openxmlformats.org/officeDocument/2006/relationships/hyperlink" Target="https://chem.echa.europa.eu/substance-search?searchText=107-03-9" TargetMode="External"/><Relationship Id="rId6807" Type="http://schemas.openxmlformats.org/officeDocument/2006/relationships/hyperlink" Target="https://www.google.com/search?q=68553-00-4+SDS+safety+data+sheet+filetype:pdf" TargetMode="External"/><Relationship Id="rId4772" Type="http://schemas.openxmlformats.org/officeDocument/2006/relationships/hyperlink" Target="https://chem.echa.europa.eu/substance-search?searchText=79-27-6" TargetMode="External"/><Relationship Id="rId5823" Type="http://schemas.openxmlformats.org/officeDocument/2006/relationships/hyperlink" Target="https://www.google.com/search?q=75-99-0+SDS+safety+data+sheet+filetype:pdf" TargetMode="External"/><Relationship Id="rId295" Type="http://schemas.openxmlformats.org/officeDocument/2006/relationships/hyperlink" Target="https://www.google.com/search?q=7446-09-5+SDS+safety+data+sheet+filetype:pdf" TargetMode="External"/><Relationship Id="rId3374" Type="http://schemas.openxmlformats.org/officeDocument/2006/relationships/hyperlink" Target="https://chemicalsafety.ilo.org/dyn/icsc/showcard.display?p_card_id=0867&amp;p_lang=tr" TargetMode="External"/><Relationship Id="rId4425" Type="http://schemas.openxmlformats.org/officeDocument/2006/relationships/hyperlink" Target="https://chemicalsafety.ilo.org/dyn/icsc/showcard.display?p_card_id=1145&amp;p_lang=en" TargetMode="External"/><Relationship Id="rId2390" Type="http://schemas.openxmlformats.org/officeDocument/2006/relationships/hyperlink" Target="https://chemicalsafety.ilo.org/dyn/icsc/showcard.display?p_card_id=0612&amp;p_lang=tr" TargetMode="External"/><Relationship Id="rId3027" Type="http://schemas.openxmlformats.org/officeDocument/2006/relationships/hyperlink" Target="https://www.google.com/search?q=513-77-9+SDS+safety+data+sheet+filetype:pdf" TargetMode="External"/><Relationship Id="rId3441" Type="http://schemas.openxmlformats.org/officeDocument/2006/relationships/hyperlink" Target="https://chemicalsafety.ilo.org/dyn/icsc/showcard.display?p_card_id=0884&amp;p_lang=en" TargetMode="External"/><Relationship Id="rId6597" Type="http://schemas.openxmlformats.org/officeDocument/2006/relationships/hyperlink" Target="https://chemicalsafety.ilo.org/dyn/icsc/showcard.display?p_card_id=1720&amp;p_lang=en" TargetMode="External"/><Relationship Id="rId362" Type="http://schemas.openxmlformats.org/officeDocument/2006/relationships/hyperlink" Target="https://chemicalsafety.ilo.org/dyn/icsc/showcard.display?p_card_id=0091&amp;p_lang=tr" TargetMode="External"/><Relationship Id="rId2043" Type="http://schemas.openxmlformats.org/officeDocument/2006/relationships/hyperlink" Target="https://www.google.com/search?q=65-30-5+SDS+safety+data+sheet+filetype:pdf" TargetMode="External"/><Relationship Id="rId5199" Type="http://schemas.openxmlformats.org/officeDocument/2006/relationships/hyperlink" Target="https://www.google.com/search?q=80-43-3+SDS+safety+data+sheet+filetype:pdf" TargetMode="External"/><Relationship Id="rId6664" Type="http://schemas.openxmlformats.org/officeDocument/2006/relationships/hyperlink" Target="https://chem.echa.europa.eu/substance-search?searchText=527-07-1" TargetMode="External"/><Relationship Id="rId2110" Type="http://schemas.openxmlformats.org/officeDocument/2006/relationships/hyperlink" Target="https://chemicalsafety.ilo.org/dyn/icsc/showcard.display?p_card_id=0538&amp;p_lang=tr" TargetMode="External"/><Relationship Id="rId5266" Type="http://schemas.openxmlformats.org/officeDocument/2006/relationships/hyperlink" Target="https://chemicalsafety.ilo.org/dyn/icsc/showcard.display?p_card_id=1363&amp;p_lang=tr" TargetMode="External"/><Relationship Id="rId5680" Type="http://schemas.openxmlformats.org/officeDocument/2006/relationships/hyperlink" Target="https://chem.echa.europa.eu/substance-search?searchText=25655-41-8" TargetMode="External"/><Relationship Id="rId6317" Type="http://schemas.openxmlformats.org/officeDocument/2006/relationships/hyperlink" Target="https://chemicalsafety.ilo.org/dyn/icsc/showcard.display?p_card_id=1636&amp;p_lang=en" TargetMode="External"/><Relationship Id="rId4282" Type="http://schemas.openxmlformats.org/officeDocument/2006/relationships/hyperlink" Target="https://chemicalsafety.ilo.org/dyn/icsc/showcard.display?p_card_id=1108&amp;p_lang=tr" TargetMode="External"/><Relationship Id="rId5333" Type="http://schemas.openxmlformats.org/officeDocument/2006/relationships/hyperlink" Target="https://chemicalsafety.ilo.org/dyn/icsc/showcard.display?p_card_id=1380&amp;p_lang=en" TargetMode="External"/><Relationship Id="rId6731" Type="http://schemas.openxmlformats.org/officeDocument/2006/relationships/hyperlink" Target="https://www.google.com/search?q=2595-54-2+SDS+safety+data+sheet+filetype:pdf" TargetMode="External"/><Relationship Id="rId1876" Type="http://schemas.openxmlformats.org/officeDocument/2006/relationships/hyperlink" Target="https://chem.echa.europa.eu/substance-search?searchText=74-85-1" TargetMode="External"/><Relationship Id="rId2927" Type="http://schemas.openxmlformats.org/officeDocument/2006/relationships/hyperlink" Target="https://www.google.com/search?q=115-32-2+SDS+safety+data+sheet+filetype:pdf" TargetMode="External"/><Relationship Id="rId1529" Type="http://schemas.openxmlformats.org/officeDocument/2006/relationships/hyperlink" Target="https://chemicalsafety.ilo.org/dyn/icsc/showcard.display?p_card_id=0385&amp;p_lang=en" TargetMode="External"/><Relationship Id="rId1943" Type="http://schemas.openxmlformats.org/officeDocument/2006/relationships/hyperlink" Target="https://www.google.com/search?q=74-90-8+SDS+safety+data+sheet+filetype:pdf" TargetMode="External"/><Relationship Id="rId5400" Type="http://schemas.openxmlformats.org/officeDocument/2006/relationships/hyperlink" Target="https://chem.echa.europa.eu/substance-search?searchText=10141-05-6" TargetMode="External"/><Relationship Id="rId4002" Type="http://schemas.openxmlformats.org/officeDocument/2006/relationships/hyperlink" Target="https://chemicalsafety.ilo.org/dyn/icsc/showcard.display?p_card_id=1031&amp;p_lang=tr" TargetMode="External"/><Relationship Id="rId3768" Type="http://schemas.openxmlformats.org/officeDocument/2006/relationships/hyperlink" Target="https://chem.echa.europa.eu/substance-search?searchText=143-22-6" TargetMode="External"/><Relationship Id="rId4819" Type="http://schemas.openxmlformats.org/officeDocument/2006/relationships/hyperlink" Target="https://www.google.com/search?q=7440-16-6+SDS+safety+data+sheet+filetype:pdf" TargetMode="External"/><Relationship Id="rId6174" Type="http://schemas.openxmlformats.org/officeDocument/2006/relationships/hyperlink" Target="https://chemicalsafety.ilo.org/dyn/icsc/showcard.display?p_card_id=1598&amp;p_lang=tr" TargetMode="External"/><Relationship Id="rId689" Type="http://schemas.openxmlformats.org/officeDocument/2006/relationships/hyperlink" Target="https://chemicalsafety.ilo.org/dyn/icsc/showcard.display?p_card_id=0173&amp;p_lang=en" TargetMode="External"/><Relationship Id="rId2784" Type="http://schemas.openxmlformats.org/officeDocument/2006/relationships/hyperlink" Target="https://chem.echa.europa.eu/substance-search?searchText=7440-09-7" TargetMode="External"/><Relationship Id="rId5190" Type="http://schemas.openxmlformats.org/officeDocument/2006/relationships/hyperlink" Target="https://chemicalsafety.ilo.org/dyn/icsc/showcard.display?p_card_id=1344&amp;p_lang=tr" TargetMode="External"/><Relationship Id="rId6241" Type="http://schemas.openxmlformats.org/officeDocument/2006/relationships/hyperlink" Target="https://chemicalsafety.ilo.org/dyn/icsc/showcard.display?p_card_id=1615&amp;p_lang=en" TargetMode="External"/><Relationship Id="rId756" Type="http://schemas.openxmlformats.org/officeDocument/2006/relationships/hyperlink" Target="https://chem.echa.europa.eu/substance-search?searchText=13171-21-6" TargetMode="External"/><Relationship Id="rId1386" Type="http://schemas.openxmlformats.org/officeDocument/2006/relationships/hyperlink" Target="https://chemicalsafety.ilo.org/dyn/icsc/showcard.display?p_card_id=0348&amp;p_lang=tr" TargetMode="External"/><Relationship Id="rId2437" Type="http://schemas.openxmlformats.org/officeDocument/2006/relationships/hyperlink" Target="https://chemicalsafety.ilo.org/dyn/icsc/showcard.display?p_card_id=0624&amp;p_lang=en" TargetMode="External"/><Relationship Id="rId3835" Type="http://schemas.openxmlformats.org/officeDocument/2006/relationships/hyperlink" Target="https://www.google.com/search?q=7320-34-5+SDS+safety+data+sheet+filetype:pdf" TargetMode="External"/><Relationship Id="rId409" Type="http://schemas.openxmlformats.org/officeDocument/2006/relationships/hyperlink" Target="https://chemicalsafety.ilo.org/dyn/icsc/showcard.display?p_card_id=0103&amp;p_lang=en" TargetMode="External"/><Relationship Id="rId1039" Type="http://schemas.openxmlformats.org/officeDocument/2006/relationships/hyperlink" Target="https://www.google.com/search?q=131-11-3+SDS+safety+data+sheet+filetype:pdf" TargetMode="External"/><Relationship Id="rId2851" Type="http://schemas.openxmlformats.org/officeDocument/2006/relationships/hyperlink" Target="https://www.google.com/search?q=611-15-4+SDS+safety+data+sheet+filetype:pdf" TargetMode="External"/><Relationship Id="rId3902" Type="http://schemas.openxmlformats.org/officeDocument/2006/relationships/hyperlink" Target="https://chemicalsafety.ilo.org/dyn/icsc/showcard.display?p_card_id=1005&amp;p_lang=tr" TargetMode="External"/><Relationship Id="rId92" Type="http://schemas.openxmlformats.org/officeDocument/2006/relationships/hyperlink" Target="https://chem.echa.europa.eu/substance-search?searchText=630-08-0" TargetMode="External"/><Relationship Id="rId823" Type="http://schemas.openxmlformats.org/officeDocument/2006/relationships/hyperlink" Target="https://www.google.com/search?q=75-50-3+SDS+safety+data+sheet+filetype:pdf" TargetMode="External"/><Relationship Id="rId1453" Type="http://schemas.openxmlformats.org/officeDocument/2006/relationships/hyperlink" Target="https://chemicalsafety.ilo.org/dyn/icsc/showcard.display?p_card_id=0365&amp;p_lang=en" TargetMode="External"/><Relationship Id="rId2504" Type="http://schemas.openxmlformats.org/officeDocument/2006/relationships/hyperlink" Target="https://chem.echa.europa.eu/substance-search?searchText=89-98-5" TargetMode="External"/><Relationship Id="rId1106" Type="http://schemas.openxmlformats.org/officeDocument/2006/relationships/hyperlink" Target="https://chemicalsafety.ilo.org/dyn/icsc/showcard.display?p_card_id=0278&amp;p_lang=tr" TargetMode="External"/><Relationship Id="rId1520" Type="http://schemas.openxmlformats.org/officeDocument/2006/relationships/hyperlink" Target="https://chem.echa.europa.eu/substance-search?searchText=17804-35-2" TargetMode="External"/><Relationship Id="rId4676" Type="http://schemas.openxmlformats.org/officeDocument/2006/relationships/hyperlink" Target="https://chem.echa.europa.eu/substance-search?searchText=10290-12-7" TargetMode="External"/><Relationship Id="rId5727" Type="http://schemas.openxmlformats.org/officeDocument/2006/relationships/hyperlink" Target="https://www.google.com/search?q=124-40-3+SDS+safety+data+sheet+filetype:pdf" TargetMode="External"/><Relationship Id="rId3278" Type="http://schemas.openxmlformats.org/officeDocument/2006/relationships/hyperlink" Target="https://chemicalsafety.ilo.org/dyn/icsc/showcard.display?p_card_id=0842&amp;p_lang=tr" TargetMode="External"/><Relationship Id="rId3692" Type="http://schemas.openxmlformats.org/officeDocument/2006/relationships/hyperlink" Target="https://chem.echa.europa.eu/substance-search?searchText=7446-08-4" TargetMode="External"/><Relationship Id="rId4329" Type="http://schemas.openxmlformats.org/officeDocument/2006/relationships/hyperlink" Target="https://chemicalsafety.ilo.org/dyn/icsc/showcard.display?p_card_id=1120&amp;p_lang=en" TargetMode="External"/><Relationship Id="rId4743" Type="http://schemas.openxmlformats.org/officeDocument/2006/relationships/hyperlink" Target="https://www.google.com/search?q=100-97-0+SDS+safety+data+sheet+filetype:pdf" TargetMode="External"/><Relationship Id="rId199" Type="http://schemas.openxmlformats.org/officeDocument/2006/relationships/hyperlink" Target="https://www.google.com/search?q=76-13-1+SDS+safety+data+sheet+filetype:pdf" TargetMode="External"/><Relationship Id="rId2294" Type="http://schemas.openxmlformats.org/officeDocument/2006/relationships/hyperlink" Target="https://chemicalsafety.ilo.org/dyn/icsc/showcard.display?p_card_id=0586&amp;p_lang=tr" TargetMode="External"/><Relationship Id="rId3345" Type="http://schemas.openxmlformats.org/officeDocument/2006/relationships/hyperlink" Target="https://chemicalsafety.ilo.org/dyn/icsc/showcard.display?p_card_id=0859&amp;p_lang=en" TargetMode="External"/><Relationship Id="rId266" Type="http://schemas.openxmlformats.org/officeDocument/2006/relationships/hyperlink" Target="https://chemicalsafety.ilo.org/dyn/icsc/showcard.display?p_card_id=0067&amp;p_lang=tr" TargetMode="External"/><Relationship Id="rId680" Type="http://schemas.openxmlformats.org/officeDocument/2006/relationships/hyperlink" Target="https://chem.echa.europa.eu/substance-search?searchText=98-82-8" TargetMode="External"/><Relationship Id="rId2361" Type="http://schemas.openxmlformats.org/officeDocument/2006/relationships/hyperlink" Target="https://chemicalsafety.ilo.org/dyn/icsc/showcard.display?p_card_id=0604&amp;p_lang=en" TargetMode="External"/><Relationship Id="rId3412" Type="http://schemas.openxmlformats.org/officeDocument/2006/relationships/hyperlink" Target="https://chem.echa.europa.eu/substance-search?searchText=27554-26-3" TargetMode="External"/><Relationship Id="rId4810" Type="http://schemas.openxmlformats.org/officeDocument/2006/relationships/hyperlink" Target="https://chemicalsafety.ilo.org/dyn/icsc/showcard.display?p_card_id=1245&amp;p_lang=tr" TargetMode="External"/><Relationship Id="rId6568" Type="http://schemas.openxmlformats.org/officeDocument/2006/relationships/hyperlink" Target="https://chem.echa.europa.eu/substance-search?searchText=1717-00-6" TargetMode="External"/><Relationship Id="rId333" Type="http://schemas.openxmlformats.org/officeDocument/2006/relationships/hyperlink" Target="https://chemicalsafety.ilo.org/dyn/icsc/showcard.display?p_card_id=0084&amp;p_lang=en" TargetMode="External"/><Relationship Id="rId2014" Type="http://schemas.openxmlformats.org/officeDocument/2006/relationships/hyperlink" Target="https://chemicalsafety.ilo.org/dyn/icsc/showcard.display?p_card_id=0511&amp;p_lang=tr" TargetMode="External"/><Relationship Id="rId1030" Type="http://schemas.openxmlformats.org/officeDocument/2006/relationships/hyperlink" Target="https://chemicalsafety.ilo.org/dyn/icsc/showcard.display?p_card_id=0259&amp;p_lang=tr" TargetMode="External"/><Relationship Id="rId4186" Type="http://schemas.openxmlformats.org/officeDocument/2006/relationships/hyperlink" Target="https://chemicalsafety.ilo.org/dyn/icsc/showcard.display?p_card_id=1081&amp;p_lang=tr" TargetMode="External"/><Relationship Id="rId5584" Type="http://schemas.openxmlformats.org/officeDocument/2006/relationships/hyperlink" Target="https://chem.echa.europa.eu/substance-search?searchText=98-94-2" TargetMode="External"/><Relationship Id="rId6635" Type="http://schemas.openxmlformats.org/officeDocument/2006/relationships/hyperlink" Target="https://www.google.com/search?q=78-40-0+SDS+safety+data+sheet+filetype:pdf" TargetMode="External"/><Relationship Id="rId400" Type="http://schemas.openxmlformats.org/officeDocument/2006/relationships/hyperlink" Target="https://chem.echa.europa.eu/substance-search?searchText=151-56-4" TargetMode="External"/><Relationship Id="rId5237" Type="http://schemas.openxmlformats.org/officeDocument/2006/relationships/hyperlink" Target="https://chemicalsafety.ilo.org/dyn/icsc/showcard.display?p_card_id=1356&amp;p_lang=en" TargetMode="External"/><Relationship Id="rId5651" Type="http://schemas.openxmlformats.org/officeDocument/2006/relationships/hyperlink" Target="https://www.google.com/search?q=6864-37-5+SDS+safety+data+sheet+filetype:pdf" TargetMode="External"/><Relationship Id="rId6702" Type="http://schemas.openxmlformats.org/officeDocument/2006/relationships/hyperlink" Target="https://chemicalsafety.ilo.org/dyn/icsc/showcard.display?p_card_id=1747&amp;p_lang=tr" TargetMode="External"/><Relationship Id="rId1847" Type="http://schemas.openxmlformats.org/officeDocument/2006/relationships/hyperlink" Target="https://www.google.com/search?q=111-43-3+SDS+safety+data+sheet+filetype:pdf" TargetMode="External"/><Relationship Id="rId4253" Type="http://schemas.openxmlformats.org/officeDocument/2006/relationships/hyperlink" Target="https://chemicalsafety.ilo.org/dyn/icsc/showcard.display?p_card_id=1099&amp;p_lang=en" TargetMode="External"/><Relationship Id="rId5304" Type="http://schemas.openxmlformats.org/officeDocument/2006/relationships/hyperlink" Target="https://chem.echa.europa.eu/substance-search?searchText=85-43-8" TargetMode="External"/><Relationship Id="rId4320" Type="http://schemas.openxmlformats.org/officeDocument/2006/relationships/hyperlink" Target="https://chem.echa.europa.eu/substance-search?searchText=7775-09-9" TargetMode="External"/><Relationship Id="rId190" Type="http://schemas.openxmlformats.org/officeDocument/2006/relationships/hyperlink" Target="https://chemicalsafety.ilo.org/dyn/icsc/showcard.display?p_card_id=0048&amp;p_lang=tr" TargetMode="External"/><Relationship Id="rId1914" Type="http://schemas.openxmlformats.org/officeDocument/2006/relationships/hyperlink" Target="https://chemicalsafety.ilo.org/dyn/icsc/showcard.display?p_card_id=0485&amp;p_lang=tr" TargetMode="External"/><Relationship Id="rId6078" Type="http://schemas.openxmlformats.org/officeDocument/2006/relationships/hyperlink" Target="https://chemicalsafety.ilo.org/dyn/icsc/showcard.display?p_card_id=1574&amp;p_lang=tr" TargetMode="External"/><Relationship Id="rId6492" Type="http://schemas.openxmlformats.org/officeDocument/2006/relationships/hyperlink" Target="https://chem.echa.europa.eu/substance-search?searchText=64-02-8" TargetMode="External"/><Relationship Id="rId5094" Type="http://schemas.openxmlformats.org/officeDocument/2006/relationships/hyperlink" Target="https://chemicalsafety.ilo.org/dyn/icsc/showcard.display?p_card_id=1318&amp;p_lang=tr" TargetMode="External"/><Relationship Id="rId6145" Type="http://schemas.openxmlformats.org/officeDocument/2006/relationships/hyperlink" Target="https://chemicalsafety.ilo.org/dyn/icsc/showcard.display?p_card_id=1591&amp;p_lang=en" TargetMode="External"/><Relationship Id="rId2688" Type="http://schemas.openxmlformats.org/officeDocument/2006/relationships/hyperlink" Target="https://chem.echa.europa.eu/substance-search?searchText=99-65-0" TargetMode="External"/><Relationship Id="rId3739" Type="http://schemas.openxmlformats.org/officeDocument/2006/relationships/hyperlink" Target="https://www.google.com/search?q=10025-67-9+SDS+safety+data+sheet+filetype:pdf" TargetMode="External"/><Relationship Id="rId5161" Type="http://schemas.openxmlformats.org/officeDocument/2006/relationships/hyperlink" Target="https://chemicalsafety.ilo.org/dyn/icsc/showcard.display?p_card_id=1337&amp;p_lang=en" TargetMode="External"/><Relationship Id="rId2755" Type="http://schemas.openxmlformats.org/officeDocument/2006/relationships/hyperlink" Target="https://www.google.com/search?q=5470-11-1+SDS+safety+data+sheet+filetype:pdf" TargetMode="External"/><Relationship Id="rId3806" Type="http://schemas.openxmlformats.org/officeDocument/2006/relationships/hyperlink" Target="https://chemicalsafety.ilo.org/dyn/icsc/showcard.display?p_card_id=0976&amp;p_lang=tr" TargetMode="External"/><Relationship Id="rId6212" Type="http://schemas.openxmlformats.org/officeDocument/2006/relationships/hyperlink" Target="https://chem.echa.europa.eu/substance-search?searchText=10294-40-3" TargetMode="External"/><Relationship Id="rId727" Type="http://schemas.openxmlformats.org/officeDocument/2006/relationships/hyperlink" Target="https://www.google.com/search?q=17557-23-2+SDS+safety+data+sheet+filetype:pdf" TargetMode="External"/><Relationship Id="rId1357" Type="http://schemas.openxmlformats.org/officeDocument/2006/relationships/hyperlink" Target="https://chemicalsafety.ilo.org/dyn/icsc/showcard.display?p_card_id=0341&amp;p_lang=en" TargetMode="External"/><Relationship Id="rId1771" Type="http://schemas.openxmlformats.org/officeDocument/2006/relationships/hyperlink" Target="https://www.google.com/search?q=120-55-8+SDS+safety+data+sheet+filetype:pdf" TargetMode="External"/><Relationship Id="rId2408" Type="http://schemas.openxmlformats.org/officeDocument/2006/relationships/hyperlink" Target="https://chem.echa.europa.eu/substance-search?searchText=10294-34-5" TargetMode="External"/><Relationship Id="rId2822" Type="http://schemas.openxmlformats.org/officeDocument/2006/relationships/hyperlink" Target="https://chemicalsafety.ilo.org/dyn/icsc/showcard.display?p_card_id=0726&amp;p_lang=tr" TargetMode="External"/><Relationship Id="rId5978" Type="http://schemas.openxmlformats.org/officeDocument/2006/relationships/hyperlink" Target="https://chemicalsafety.ilo.org/dyn/icsc/showcard.display?p_card_id=1549&amp;p_lang=tr" TargetMode="External"/><Relationship Id="rId63" Type="http://schemas.openxmlformats.org/officeDocument/2006/relationships/hyperlink" Target="https://www.google.com/search?q=100-44-7+SDS+safety+data+sheet+filetype:pdf" TargetMode="External"/><Relationship Id="rId1424" Type="http://schemas.openxmlformats.org/officeDocument/2006/relationships/hyperlink" Target="https://chem.echa.europa.eu/substance-search?searchText=1310-58-3" TargetMode="External"/><Relationship Id="rId4994" Type="http://schemas.openxmlformats.org/officeDocument/2006/relationships/hyperlink" Target="https://chemicalsafety.ilo.org/dyn/icsc/showcard.display?p_card_id=1291&amp;p_lang=tr" TargetMode="External"/><Relationship Id="rId3596" Type="http://schemas.openxmlformats.org/officeDocument/2006/relationships/hyperlink" Target="https://chem.echa.europa.eu/substance-search?searchText=563-80-4" TargetMode="External"/><Relationship Id="rId4647" Type="http://schemas.openxmlformats.org/officeDocument/2006/relationships/hyperlink" Target="https://www.google.com/search?q=102-76-1+SDS+safety+data+sheet+filetype:pdf" TargetMode="External"/><Relationship Id="rId2198" Type="http://schemas.openxmlformats.org/officeDocument/2006/relationships/hyperlink" Target="https://chemicalsafety.ilo.org/dyn/icsc/showcard.display?p_card_id=0561&amp;p_lang=tr" TargetMode="External"/><Relationship Id="rId3249" Type="http://schemas.openxmlformats.org/officeDocument/2006/relationships/hyperlink" Target="https://chemicalsafety.ilo.org/dyn/icsc/showcard.display?p_card_id=0834&amp;p_lang=en" TargetMode="External"/><Relationship Id="rId584" Type="http://schemas.openxmlformats.org/officeDocument/2006/relationships/hyperlink" Target="https://chem.echa.europa.eu/substance-search?searchText=4206-61-5" TargetMode="External"/><Relationship Id="rId2265" Type="http://schemas.openxmlformats.org/officeDocument/2006/relationships/hyperlink" Target="https://chemicalsafety.ilo.org/dyn/icsc/showcard.display?p_card_id=0578&amp;p_lang=en" TargetMode="External"/><Relationship Id="rId3663" Type="http://schemas.openxmlformats.org/officeDocument/2006/relationships/hyperlink" Target="https://www.google.com/search?q=11097-69-1+SDS+safety+data+sheet+filetype:pdf" TargetMode="External"/><Relationship Id="rId4714" Type="http://schemas.openxmlformats.org/officeDocument/2006/relationships/hyperlink" Target="https://chemicalsafety.ilo.org/dyn/icsc/showcard.display?p_card_id=1221&amp;p_lang=tr" TargetMode="External"/><Relationship Id="rId237" Type="http://schemas.openxmlformats.org/officeDocument/2006/relationships/hyperlink" Target="https://chemicalsafety.ilo.org/dyn/icsc/showcard.display?p_card_id=0060&amp;p_lang=en" TargetMode="External"/><Relationship Id="rId3316" Type="http://schemas.openxmlformats.org/officeDocument/2006/relationships/hyperlink" Target="https://chem.echa.europa.eu/substance-search?searchText=2921-88-2" TargetMode="External"/><Relationship Id="rId3730" Type="http://schemas.openxmlformats.org/officeDocument/2006/relationships/hyperlink" Target="https://chemicalsafety.ilo.org/dyn/icsc/showcard.display?p_card_id=0956&amp;p_lang=tr" TargetMode="External"/><Relationship Id="rId651" Type="http://schemas.openxmlformats.org/officeDocument/2006/relationships/hyperlink" Target="https://www.google.com/search?q=7647-01-0+SDS+safety+data+sheet+filetype:pdf" TargetMode="External"/><Relationship Id="rId1281" Type="http://schemas.openxmlformats.org/officeDocument/2006/relationships/hyperlink" Target="https://chemicalsafety.ilo.org/dyn/icsc/showcard.display?p_card_id=0322&amp;p_lang=en" TargetMode="External"/><Relationship Id="rId2332" Type="http://schemas.openxmlformats.org/officeDocument/2006/relationships/hyperlink" Target="https://chem.echa.europa.eu/substance-search?searchText=57-13-6" TargetMode="External"/><Relationship Id="rId5488" Type="http://schemas.openxmlformats.org/officeDocument/2006/relationships/hyperlink" Target="https://chem.echa.europa.eu/substance-search?searchText=76-11-9" TargetMode="External"/><Relationship Id="rId6539" Type="http://schemas.openxmlformats.org/officeDocument/2006/relationships/hyperlink" Target="https://www.google.com/search?q=105-99-7+SDS+safety+data+sheet+filetype:pdf" TargetMode="External"/><Relationship Id="rId304" Type="http://schemas.openxmlformats.org/officeDocument/2006/relationships/hyperlink" Target="https://chem.echa.europa.eu/substance-search?searchText=127-18-4" TargetMode="External"/><Relationship Id="rId5555" Type="http://schemas.openxmlformats.org/officeDocument/2006/relationships/hyperlink" Target="https://www.google.com/search?q=57041-67-5+SDS+safety+data+sheet+filetype:pdf" TargetMode="External"/><Relationship Id="rId6606" Type="http://schemas.openxmlformats.org/officeDocument/2006/relationships/hyperlink" Target="https://chemicalsafety.ilo.org/dyn/icsc/showcard.display?p_card_id=1722&amp;p_lang=tr" TargetMode="External"/><Relationship Id="rId1001" Type="http://schemas.openxmlformats.org/officeDocument/2006/relationships/hyperlink" Target="https://chemicalsafety.ilo.org/dyn/icsc/showcard.display?p_card_id=0252&amp;p_lang=en" TargetMode="External"/><Relationship Id="rId4157" Type="http://schemas.openxmlformats.org/officeDocument/2006/relationships/hyperlink" Target="https://chemicalsafety.ilo.org/dyn/icsc/showcard.display?p_card_id=1073&amp;p_lang=en" TargetMode="External"/><Relationship Id="rId4571" Type="http://schemas.openxmlformats.org/officeDocument/2006/relationships/hyperlink" Target="https://www.google.com/search?q=74-31-7+SDS+safety+data+sheet+filetype:pdf" TargetMode="External"/><Relationship Id="rId5208" Type="http://schemas.openxmlformats.org/officeDocument/2006/relationships/hyperlink" Target="https://chem.echa.europa.eu/substance-search?searchText=24800-44-0" TargetMode="External"/><Relationship Id="rId5622" Type="http://schemas.openxmlformats.org/officeDocument/2006/relationships/hyperlink" Target="https://chemicalsafety.ilo.org/dyn/icsc/showcard.display?p_card_id=1454&amp;p_lang=tr" TargetMode="External"/><Relationship Id="rId3173" Type="http://schemas.openxmlformats.org/officeDocument/2006/relationships/hyperlink" Target="https://chemicalsafety.ilo.org/dyn/icsc/showcard.display?p_card_id=0814&amp;p_lang=en" TargetMode="External"/><Relationship Id="rId4224" Type="http://schemas.openxmlformats.org/officeDocument/2006/relationships/hyperlink" Target="https://chem.echa.europa.eu/substance-search?searchText=78-67-1" TargetMode="External"/><Relationship Id="rId1818" Type="http://schemas.openxmlformats.org/officeDocument/2006/relationships/hyperlink" Target="https://chemicalsafety.ilo.org/dyn/icsc/showcard.display?p_card_id=0460&amp;p_lang=tr" TargetMode="External"/><Relationship Id="rId3240" Type="http://schemas.openxmlformats.org/officeDocument/2006/relationships/hyperlink" Target="https://chem.echa.europa.eu/substance-search?searchText=28553-12-0" TargetMode="External"/><Relationship Id="rId6396" Type="http://schemas.openxmlformats.org/officeDocument/2006/relationships/hyperlink" Target="https://chem.echa.europa.eu/substance-search?searchText=96-24-2" TargetMode="External"/><Relationship Id="rId161" Type="http://schemas.openxmlformats.org/officeDocument/2006/relationships/hyperlink" Target="https://chemicalsafety.ilo.org/dyn/icsc/showcard.display?p_card_id=0041&amp;p_lang=en" TargetMode="External"/><Relationship Id="rId6049" Type="http://schemas.openxmlformats.org/officeDocument/2006/relationships/hyperlink" Target="https://chemicalsafety.ilo.org/dyn/icsc/showcard.display?p_card_id=1567&amp;p_lang=en" TargetMode="External"/><Relationship Id="rId6463" Type="http://schemas.openxmlformats.org/officeDocument/2006/relationships/hyperlink" Target="https://www.google.com/search?q=54593-83-8+SDS+safety+data+sheet+filetype:pdf" TargetMode="External"/><Relationship Id="rId978" Type="http://schemas.openxmlformats.org/officeDocument/2006/relationships/hyperlink" Target="https://chemicalsafety.ilo.org/dyn/icsc/showcard.display?p_card_id=0246&amp;p_lang=tr" TargetMode="External"/><Relationship Id="rId2659" Type="http://schemas.openxmlformats.org/officeDocument/2006/relationships/hyperlink" Target="https://www.google.com/search?q=122-52-1+SDS+safety+data+sheet+filetype:pdf" TargetMode="External"/><Relationship Id="rId5065" Type="http://schemas.openxmlformats.org/officeDocument/2006/relationships/hyperlink" Target="https://chemicalsafety.ilo.org/dyn/icsc/showcard.display?p_card_id=1311&amp;p_lang=en" TargetMode="External"/><Relationship Id="rId6116" Type="http://schemas.openxmlformats.org/officeDocument/2006/relationships/hyperlink" Target="https://chem.echa.europa.eu/substance-search?searchText=626-17-5" TargetMode="External"/><Relationship Id="rId6530" Type="http://schemas.openxmlformats.org/officeDocument/2006/relationships/hyperlink" Target="https://chemicalsafety.ilo.org/dyn/icsc/showcard.display?p_card_id=1703&amp;p_lang=tr" TargetMode="External"/><Relationship Id="rId1675" Type="http://schemas.openxmlformats.org/officeDocument/2006/relationships/hyperlink" Target="https://www.google.com/search?q=107-93-7+SDS+safety+data+sheet+filetype:pdf" TargetMode="External"/><Relationship Id="rId2726" Type="http://schemas.openxmlformats.org/officeDocument/2006/relationships/hyperlink" Target="https://chemicalsafety.ilo.org/dyn/icsc/showcard.display?p_card_id=0702&amp;p_lang=tr" TargetMode="External"/><Relationship Id="rId4081" Type="http://schemas.openxmlformats.org/officeDocument/2006/relationships/hyperlink" Target="https://chemicalsafety.ilo.org/dyn/icsc/showcard.display?p_card_id=1051&amp;p_lang=en" TargetMode="External"/><Relationship Id="rId5132" Type="http://schemas.openxmlformats.org/officeDocument/2006/relationships/hyperlink" Target="https://chem.echa.europa.eu/substance-search?searchText=15545-48-9" TargetMode="External"/><Relationship Id="rId1328" Type="http://schemas.openxmlformats.org/officeDocument/2006/relationships/hyperlink" Target="https://chem.echa.europa.eu/substance-search?searchText=78-10-4" TargetMode="External"/><Relationship Id="rId1742" Type="http://schemas.openxmlformats.org/officeDocument/2006/relationships/hyperlink" Target="https://chemicalsafety.ilo.org/dyn/icsc/showcard.display?p_card_id=0440&amp;p_lang=tr" TargetMode="External"/><Relationship Id="rId4898" Type="http://schemas.openxmlformats.org/officeDocument/2006/relationships/hyperlink" Target="https://chemicalsafety.ilo.org/dyn/icsc/showcard.display?p_card_id=1267&amp;p_lang=tr" TargetMode="External"/><Relationship Id="rId5949" Type="http://schemas.openxmlformats.org/officeDocument/2006/relationships/hyperlink" Target="https://chemicalsafety.ilo.org/dyn/icsc/showcard.display?p_card_id=1542&amp;p_lang=en" TargetMode="External"/><Relationship Id="rId34" Type="http://schemas.openxmlformats.org/officeDocument/2006/relationships/hyperlink" Target="https://chemicalsafety.ilo.org/dyn/icsc/showcard.display?p_card_id=0009&amp;p_lang=tr" TargetMode="External"/><Relationship Id="rId4965" Type="http://schemas.openxmlformats.org/officeDocument/2006/relationships/hyperlink" Target="https://chemicalsafety.ilo.org/dyn/icsc/showcard.display?p_card_id=1284&amp;p_lang=en" TargetMode="External"/><Relationship Id="rId3567" Type="http://schemas.openxmlformats.org/officeDocument/2006/relationships/hyperlink" Target="https://www.google.com/search?q=68-11-1+SDS+safety+data+sheet+filetype:pdf" TargetMode="External"/><Relationship Id="rId3981" Type="http://schemas.openxmlformats.org/officeDocument/2006/relationships/hyperlink" Target="https://chemicalsafety.ilo.org/dyn/icsc/showcard.display?p_card_id=1026&amp;p_lang=en" TargetMode="External"/><Relationship Id="rId4618" Type="http://schemas.openxmlformats.org/officeDocument/2006/relationships/hyperlink" Target="https://chemicalsafety.ilo.org/dyn/icsc/showcard.display?p_card_id=1194&amp;p_lang=tr" TargetMode="External"/><Relationship Id="rId488" Type="http://schemas.openxmlformats.org/officeDocument/2006/relationships/hyperlink" Target="https://chem.echa.europa.eu/substance-search?searchText=1563-66-2" TargetMode="External"/><Relationship Id="rId2169" Type="http://schemas.openxmlformats.org/officeDocument/2006/relationships/hyperlink" Target="https://chemicalsafety.ilo.org/dyn/icsc/showcard.display?p_card_id=0554&amp;p_lang=en" TargetMode="External"/><Relationship Id="rId2583" Type="http://schemas.openxmlformats.org/officeDocument/2006/relationships/hyperlink" Target="https://www.google.com/search?q=506-78-5+SDS+safety+data+sheet+filetype:pdf" TargetMode="External"/><Relationship Id="rId3634" Type="http://schemas.openxmlformats.org/officeDocument/2006/relationships/hyperlink" Target="https://chemicalsafety.ilo.org/dyn/icsc/showcard.display?p_card_id=0932&amp;p_lang=tr" TargetMode="External"/><Relationship Id="rId6040" Type="http://schemas.openxmlformats.org/officeDocument/2006/relationships/hyperlink" Target="https://chem.echa.europa.eu/substance-search?searchText=608-71-9" TargetMode="External"/><Relationship Id="rId555" Type="http://schemas.openxmlformats.org/officeDocument/2006/relationships/hyperlink" Target="https://www.google.com/search?q=1918-00-9+SDS+safety+data+sheet+filetype:pdf" TargetMode="External"/><Relationship Id="rId1185" Type="http://schemas.openxmlformats.org/officeDocument/2006/relationships/hyperlink" Target="https://chemicalsafety.ilo.org/dyn/icsc/showcard.display?p_card_id=0298&amp;p_lang=en" TargetMode="External"/><Relationship Id="rId2236" Type="http://schemas.openxmlformats.org/officeDocument/2006/relationships/hyperlink" Target="https://chem.echa.europa.eu/substance-search?searchText=64-67-5" TargetMode="External"/><Relationship Id="rId2650" Type="http://schemas.openxmlformats.org/officeDocument/2006/relationships/hyperlink" Target="https://chemicalsafety.ilo.org/dyn/icsc/showcard.display?p_card_id=0682&amp;p_lang=tr" TargetMode="External"/><Relationship Id="rId3701" Type="http://schemas.openxmlformats.org/officeDocument/2006/relationships/hyperlink" Target="https://chemicalsafety.ilo.org/dyn/icsc/showcard.display?p_card_id=0949&amp;p_lang=en" TargetMode="External"/><Relationship Id="rId208" Type="http://schemas.openxmlformats.org/officeDocument/2006/relationships/hyperlink" Target="https://chem.echa.europa.eu/substance-search?searchText=7439-92-1" TargetMode="External"/><Relationship Id="rId622" Type="http://schemas.openxmlformats.org/officeDocument/2006/relationships/hyperlink" Target="https://chemicalsafety.ilo.org/dyn/icsc/showcard.display?p_card_id=0156&amp;p_lang=tr" TargetMode="External"/><Relationship Id="rId1252" Type="http://schemas.openxmlformats.org/officeDocument/2006/relationships/hyperlink" Target="https://chem.echa.europa.eu/substance-search?searchText=51-79-6" TargetMode="External"/><Relationship Id="rId2303" Type="http://schemas.openxmlformats.org/officeDocument/2006/relationships/hyperlink" Target="https://www.google.com/search?q=15950-66-0+SDS+safety+data+sheet+filetype:pdf" TargetMode="External"/><Relationship Id="rId5459" Type="http://schemas.openxmlformats.org/officeDocument/2006/relationships/hyperlink" Target="https://www.google.com/search?q=25637-99-4+SDS+safety+data+sheet+filetype:pdf" TargetMode="External"/><Relationship Id="rId4475" Type="http://schemas.openxmlformats.org/officeDocument/2006/relationships/hyperlink" Target="https://www.google.com/search?q=504-20-1+SDS+safety+data+sheet+filetype:pdf" TargetMode="External"/><Relationship Id="rId5873" Type="http://schemas.openxmlformats.org/officeDocument/2006/relationships/hyperlink" Target="https://chemicalsafety.ilo.org/dyn/icsc/showcard.display?p_card_id=1522&amp;p_lang=en" TargetMode="External"/><Relationship Id="rId3077" Type="http://schemas.openxmlformats.org/officeDocument/2006/relationships/hyperlink" Target="https://chemicalsafety.ilo.org/dyn/icsc/showcard.display?p_card_id=0790&amp;p_lang=en" TargetMode="External"/><Relationship Id="rId4128" Type="http://schemas.openxmlformats.org/officeDocument/2006/relationships/hyperlink" Target="https://chem.echa.europa.eu/substance-search?searchText=8006-64-2" TargetMode="External"/><Relationship Id="rId5526" Type="http://schemas.openxmlformats.org/officeDocument/2006/relationships/hyperlink" Target="https://chemicalsafety.ilo.org/dyn/icsc/showcard.display?p_card_id=1430&amp;p_lang=tr" TargetMode="External"/><Relationship Id="rId5940" Type="http://schemas.openxmlformats.org/officeDocument/2006/relationships/hyperlink" Target="https://chem.echa.europa.eu/substance-search?searchText=7784-30-7" TargetMode="External"/><Relationship Id="rId2093" Type="http://schemas.openxmlformats.org/officeDocument/2006/relationships/hyperlink" Target="https://chemicalsafety.ilo.org/dyn/icsc/showcard.display?p_card_id=0534&amp;p_lang=en" TargetMode="External"/><Relationship Id="rId3491" Type="http://schemas.openxmlformats.org/officeDocument/2006/relationships/hyperlink" Target="https://www.google.com/search?q=87-68-3+SDS+safety+data+sheet+filetype:pdf" TargetMode="External"/><Relationship Id="rId4542" Type="http://schemas.openxmlformats.org/officeDocument/2006/relationships/hyperlink" Target="https://chemicalsafety.ilo.org/dyn/icsc/showcard.display?p_card_id=1174&amp;p_lang=tr" TargetMode="External"/><Relationship Id="rId3144" Type="http://schemas.openxmlformats.org/officeDocument/2006/relationships/hyperlink" Target="https://chem.echa.europa.eu/substance-search?searchText=79-09-4" TargetMode="External"/><Relationship Id="rId2160" Type="http://schemas.openxmlformats.org/officeDocument/2006/relationships/hyperlink" Target="https://chem.echa.europa.eu/substance-search?searchText=107-98-2" TargetMode="External"/><Relationship Id="rId3211" Type="http://schemas.openxmlformats.org/officeDocument/2006/relationships/hyperlink" Target="https://www.google.com/search?q=107-11-9+SDS+safety+data+sheet+filetype:pdf" TargetMode="External"/><Relationship Id="rId6367" Type="http://schemas.openxmlformats.org/officeDocument/2006/relationships/hyperlink" Target="https://www.google.com/search?q=1338-24-5+SDS+safety+data+sheet+filetype:pdf" TargetMode="External"/><Relationship Id="rId6781" Type="http://schemas.openxmlformats.org/officeDocument/2006/relationships/hyperlink" Target="https://chemicalsafety.ilo.org/dyn/icsc/showcard.display?p_card_id=1768&amp;p_lang=en" TargetMode="External"/><Relationship Id="rId132" Type="http://schemas.openxmlformats.org/officeDocument/2006/relationships/hyperlink" Target="https://chem.echa.europa.eu/substance-search?searchText=94-75-7" TargetMode="External"/><Relationship Id="rId5383" Type="http://schemas.openxmlformats.org/officeDocument/2006/relationships/hyperlink" Target="https://www.google.com/search?q=7440-06-4+SDS+safety+data+sheet+filetype:pdf" TargetMode="External"/><Relationship Id="rId6434" Type="http://schemas.openxmlformats.org/officeDocument/2006/relationships/hyperlink" Target="https://chemicalsafety.ilo.org/dyn/icsc/showcard.display?p_card_id=1674&amp;p_lang=tr" TargetMode="External"/><Relationship Id="rId1579" Type="http://schemas.openxmlformats.org/officeDocument/2006/relationships/hyperlink" Target="https://www.google.com/search?q=624-64-6+SDS+safety+data+sheet+filetype:pdf" TargetMode="External"/><Relationship Id="rId2977" Type="http://schemas.openxmlformats.org/officeDocument/2006/relationships/hyperlink" Target="https://chemicalsafety.ilo.org/dyn/icsc/showcard.display?p_card_id=0765&amp;p_lang=en" TargetMode="External"/><Relationship Id="rId5036" Type="http://schemas.openxmlformats.org/officeDocument/2006/relationships/hyperlink" Target="https://chem.echa.europa.eu/substance-search?searchText=26471-62-5" TargetMode="External"/><Relationship Id="rId5450" Type="http://schemas.openxmlformats.org/officeDocument/2006/relationships/hyperlink" Target="https://chemicalsafety.ilo.org/dyn/icsc/showcard.display?p_card_id=1411&amp;p_lang=tr" TargetMode="External"/><Relationship Id="rId949" Type="http://schemas.openxmlformats.org/officeDocument/2006/relationships/hyperlink" Target="https://chemicalsafety.ilo.org/dyn/icsc/showcard.display?p_card_id=0239&amp;p_lang=en" TargetMode="External"/><Relationship Id="rId1993" Type="http://schemas.openxmlformats.org/officeDocument/2006/relationships/hyperlink" Target="https://chemicalsafety.ilo.org/dyn/icsc/showcard.display?p_card_id=0505&amp;p_lang=en" TargetMode="External"/><Relationship Id="rId4052" Type="http://schemas.openxmlformats.org/officeDocument/2006/relationships/hyperlink" Target="https://chem.echa.europa.eu/substance-search?searchText=9003-53-6" TargetMode="External"/><Relationship Id="rId5103" Type="http://schemas.openxmlformats.org/officeDocument/2006/relationships/hyperlink" Target="https://www.google.com/search?q=12070-12-1+SDS+safety+data+sheet+filetype:pdf" TargetMode="External"/><Relationship Id="rId6501" Type="http://schemas.openxmlformats.org/officeDocument/2006/relationships/hyperlink" Target="https://chemicalsafety.ilo.org/dyn/icsc/showcard.display?p_card_id=1696&amp;p_lang=en" TargetMode="External"/><Relationship Id="rId1646" Type="http://schemas.openxmlformats.org/officeDocument/2006/relationships/hyperlink" Target="https://chemicalsafety.ilo.org/dyn/icsc/showcard.display?p_card_id=0416&amp;p_lang=tr" TargetMode="External"/><Relationship Id="rId1713" Type="http://schemas.openxmlformats.org/officeDocument/2006/relationships/hyperlink" Target="https://chemicalsafety.ilo.org/dyn/icsc/showcard.display?p_card_id=0433&amp;p_lang=en" TargetMode="External"/><Relationship Id="rId4869" Type="http://schemas.openxmlformats.org/officeDocument/2006/relationships/hyperlink" Target="https://chemicalsafety.ilo.org/dyn/icsc/showcard.display?p_card_id=1260&amp;p_lang=en" TargetMode="External"/><Relationship Id="rId3885" Type="http://schemas.openxmlformats.org/officeDocument/2006/relationships/hyperlink" Target="https://chemicalsafety.ilo.org/dyn/icsc/showcard.display?p_card_id=1000&amp;p_lang=en" TargetMode="External"/><Relationship Id="rId4936" Type="http://schemas.openxmlformats.org/officeDocument/2006/relationships/hyperlink" Target="https://chem.echa.europa.eu/substance-search?searchText=91-57-6" TargetMode="External"/><Relationship Id="rId6291" Type="http://schemas.openxmlformats.org/officeDocument/2006/relationships/hyperlink" Target="https://www.google.com/search?q=7789-41-5+SDS+safety+data+sheet+filetype:pdf" TargetMode="External"/><Relationship Id="rId2487" Type="http://schemas.openxmlformats.org/officeDocument/2006/relationships/hyperlink" Target="https://www.google.com/search?q=106-88-7+SDS+safety+data+sheet+filetype:pdf" TargetMode="External"/><Relationship Id="rId3538" Type="http://schemas.openxmlformats.org/officeDocument/2006/relationships/hyperlink" Target="https://chemicalsafety.ilo.org/dyn/icsc/showcard.display?p_card_id=0908&amp;p_lang=tr" TargetMode="External"/><Relationship Id="rId459" Type="http://schemas.openxmlformats.org/officeDocument/2006/relationships/hyperlink" Target="https://www.google.com/search?q=2426-08-6+SDS+safety+data+sheet+filetype:pdf" TargetMode="External"/><Relationship Id="rId873" Type="http://schemas.openxmlformats.org/officeDocument/2006/relationships/hyperlink" Target="https://chemicalsafety.ilo.org/dyn/icsc/showcard.display?p_card_id=0220&amp;p_lang=en" TargetMode="External"/><Relationship Id="rId1089" Type="http://schemas.openxmlformats.org/officeDocument/2006/relationships/hyperlink" Target="https://chemicalsafety.ilo.org/dyn/icsc/showcard.display?p_card_id=0274&amp;p_lang=en" TargetMode="External"/><Relationship Id="rId2554" Type="http://schemas.openxmlformats.org/officeDocument/2006/relationships/hyperlink" Target="https://chemicalsafety.ilo.org/dyn/icsc/showcard.display?p_card_id=0655&amp;p_lang=tr" TargetMode="External"/><Relationship Id="rId3952" Type="http://schemas.openxmlformats.org/officeDocument/2006/relationships/hyperlink" Target="https://chem.echa.europa.eu/substance-search?searchText=97-88-1" TargetMode="External"/><Relationship Id="rId6011" Type="http://schemas.openxmlformats.org/officeDocument/2006/relationships/hyperlink" Target="https://www.google.com/search?q=70-55-3+SDS+safety+data+sheet+filetype:pdf" TargetMode="External"/><Relationship Id="rId526" Type="http://schemas.openxmlformats.org/officeDocument/2006/relationships/hyperlink" Target="https://chemicalsafety.ilo.org/dyn/icsc/showcard.display?p_card_id=0132&amp;p_lang=tr" TargetMode="External"/><Relationship Id="rId1156" Type="http://schemas.openxmlformats.org/officeDocument/2006/relationships/hyperlink" Target="https://chem.echa.europa.eu/substance-search?searchText=10034-96-5" TargetMode="External"/><Relationship Id="rId2207" Type="http://schemas.openxmlformats.org/officeDocument/2006/relationships/hyperlink" Target="https://www.google.com/search?q=69-72-7+SDS+safety+data+sheet+filetype:pdf" TargetMode="External"/><Relationship Id="rId3605" Type="http://schemas.openxmlformats.org/officeDocument/2006/relationships/hyperlink" Target="https://chemicalsafety.ilo.org/dyn/icsc/showcard.display?p_card_id=0925&amp;p_lang=en" TargetMode="External"/><Relationship Id="rId940" Type="http://schemas.openxmlformats.org/officeDocument/2006/relationships/hyperlink" Target="https://chem.echa.europa.eu/substance-search?searchText=107-07-3" TargetMode="External"/><Relationship Id="rId1570" Type="http://schemas.openxmlformats.org/officeDocument/2006/relationships/hyperlink" Target="https://chemicalsafety.ilo.org/dyn/icsc/showcard.display?p_card_id=0396&amp;p_lang=tr" TargetMode="External"/><Relationship Id="rId2621" Type="http://schemas.openxmlformats.org/officeDocument/2006/relationships/hyperlink" Target="https://chemicalsafety.ilo.org/dyn/icsc/showcard.display?p_card_id=0673&amp;p_lang=en" TargetMode="External"/><Relationship Id="rId5777" Type="http://schemas.openxmlformats.org/officeDocument/2006/relationships/hyperlink" Target="https://chemicalsafety.ilo.org/dyn/icsc/showcard.display?p_card_id=1498&amp;p_lang=en" TargetMode="External"/><Relationship Id="rId6828" Type="http://schemas.openxmlformats.org/officeDocument/2006/relationships/hyperlink" Target="https://chem.echa.europa.eu/substance-search?searchText=116-14-3" TargetMode="External"/><Relationship Id="rId1223" Type="http://schemas.openxmlformats.org/officeDocument/2006/relationships/hyperlink" Target="https://www.google.com/search?q=99-09-2+SDS+safety+data+sheet+filetype:pdf" TargetMode="External"/><Relationship Id="rId4379" Type="http://schemas.openxmlformats.org/officeDocument/2006/relationships/hyperlink" Target="https://www.google.com/search?q=7727-21-1+SDS+safety+data+sheet+filetype:pdf" TargetMode="External"/><Relationship Id="rId4793" Type="http://schemas.openxmlformats.org/officeDocument/2006/relationships/hyperlink" Target="https://chemicalsafety.ilo.org/dyn/icsc/showcard.display?p_card_id=1241&amp;p_lang=en" TargetMode="External"/><Relationship Id="rId5844" Type="http://schemas.openxmlformats.org/officeDocument/2006/relationships/hyperlink" Target="https://chem.echa.europa.eu/substance-search?searchText=1300-72-7" TargetMode="External"/><Relationship Id="rId3395" Type="http://schemas.openxmlformats.org/officeDocument/2006/relationships/hyperlink" Target="https://www.google.com/search?q=141-66-2+SDS+safety+data+sheet+filetype:pdf" TargetMode="External"/><Relationship Id="rId4446" Type="http://schemas.openxmlformats.org/officeDocument/2006/relationships/hyperlink" Target="https://chemicalsafety.ilo.org/dyn/icsc/showcard.display?p_card_id=1150&amp;p_lang=tr" TargetMode="External"/><Relationship Id="rId4860" Type="http://schemas.openxmlformats.org/officeDocument/2006/relationships/hyperlink" Target="https://chem.echa.europa.eu/substance-search?searchText=110-00-9" TargetMode="External"/><Relationship Id="rId5911" Type="http://schemas.openxmlformats.org/officeDocument/2006/relationships/hyperlink" Target="https://www.google.com/search?q=1308-38-9+SDS+safety+data+sheet+filetype:pdf" TargetMode="External"/><Relationship Id="rId3048" Type="http://schemas.openxmlformats.org/officeDocument/2006/relationships/hyperlink" Target="https://chem.echa.europa.eu/substance-search?searchText=7440-48-4" TargetMode="External"/><Relationship Id="rId3462" Type="http://schemas.openxmlformats.org/officeDocument/2006/relationships/hyperlink" Target="https://chemicalsafety.ilo.org/dyn/icsc/showcard.display?p_card_id=0889&amp;p_lang=tr" TargetMode="External"/><Relationship Id="rId4513" Type="http://schemas.openxmlformats.org/officeDocument/2006/relationships/hyperlink" Target="https://chemicalsafety.ilo.org/dyn/icsc/showcard.display?p_card_id=1167&amp;p_lang=en" TargetMode="External"/><Relationship Id="rId383" Type="http://schemas.openxmlformats.org/officeDocument/2006/relationships/hyperlink" Target="https://www.google.com/search?q=106-92-3+SDS+safety+data+sheet+filetype:pdf" TargetMode="External"/><Relationship Id="rId2064" Type="http://schemas.openxmlformats.org/officeDocument/2006/relationships/hyperlink" Target="https://chem.echa.europa.eu/substance-search?searchText=86-30-6" TargetMode="External"/><Relationship Id="rId3115" Type="http://schemas.openxmlformats.org/officeDocument/2006/relationships/hyperlink" Target="https://www.google.com/search?q=108-31-6+SDS+safety+data+sheet+filetype:pdf" TargetMode="External"/><Relationship Id="rId6685" Type="http://schemas.openxmlformats.org/officeDocument/2006/relationships/hyperlink" Target="https://chemicalsafety.ilo.org/dyn/icsc/showcard.display?p_card_id=1743&amp;p_lang=en" TargetMode="External"/><Relationship Id="rId450" Type="http://schemas.openxmlformats.org/officeDocument/2006/relationships/hyperlink" Target="https://chemicalsafety.ilo.org/dyn/icsc/showcard.display?p_card_id=0113&amp;p_lang=tr" TargetMode="External"/><Relationship Id="rId1080" Type="http://schemas.openxmlformats.org/officeDocument/2006/relationships/hyperlink" Target="https://chem.echa.europa.eu/substance-search?searchText=117-81-7" TargetMode="External"/><Relationship Id="rId2131" Type="http://schemas.openxmlformats.org/officeDocument/2006/relationships/hyperlink" Target="https://www.google.com/search?q=732-11-6+SDS+safety+data+sheet+filetype:pdf" TargetMode="External"/><Relationship Id="rId5287" Type="http://schemas.openxmlformats.org/officeDocument/2006/relationships/hyperlink" Target="https://www.google.com/search?q=7789-09-5+SDS+safety+data+sheet+filetype:pdf" TargetMode="External"/><Relationship Id="rId6338" Type="http://schemas.openxmlformats.org/officeDocument/2006/relationships/hyperlink" Target="https://chemicalsafety.ilo.org/dyn/icsc/showcard.display?p_card_id=1642&amp;p_lang=tr" TargetMode="External"/><Relationship Id="rId103" Type="http://schemas.openxmlformats.org/officeDocument/2006/relationships/hyperlink" Target="https://www.google.com/search?q=106-47-8+SDS+safety+data+sheet+filetype:pdf" TargetMode="External"/><Relationship Id="rId6752" Type="http://schemas.openxmlformats.org/officeDocument/2006/relationships/hyperlink" Target="https://chem.echa.europa.eu/substance-search?searchText=556-82-1" TargetMode="External"/><Relationship Id="rId1897" Type="http://schemas.openxmlformats.org/officeDocument/2006/relationships/hyperlink" Target="https://chemicalsafety.ilo.org/dyn/icsc/showcard.display?p_card_id=0481&amp;p_lang=en" TargetMode="External"/><Relationship Id="rId2948" Type="http://schemas.openxmlformats.org/officeDocument/2006/relationships/hyperlink" Target="https://chem.echa.europa.eu/substance-search?searchText=137-26-8" TargetMode="External"/><Relationship Id="rId5354" Type="http://schemas.openxmlformats.org/officeDocument/2006/relationships/hyperlink" Target="https://chemicalsafety.ilo.org/dyn/icsc/showcard.display?p_card_id=1386&amp;p_lang=tr" TargetMode="External"/><Relationship Id="rId6405" Type="http://schemas.openxmlformats.org/officeDocument/2006/relationships/hyperlink" Target="https://chemicalsafety.ilo.org/dyn/icsc/showcard.display?p_card_id=1667&amp;p_lang=en" TargetMode="External"/><Relationship Id="rId1964" Type="http://schemas.openxmlformats.org/officeDocument/2006/relationships/hyperlink" Target="https://chem.echa.europa.eu/substance-search?searchText=26952-21-6" TargetMode="External"/><Relationship Id="rId4370" Type="http://schemas.openxmlformats.org/officeDocument/2006/relationships/hyperlink" Target="https://chemicalsafety.ilo.org/dyn/icsc/showcard.display?p_card_id=1131&amp;p_lang=tr" TargetMode="External"/><Relationship Id="rId5007" Type="http://schemas.openxmlformats.org/officeDocument/2006/relationships/hyperlink" Target="https://www.google.com/search?q=107-86-8+SDS+safety+data+sheet+filetype:pdf" TargetMode="External"/><Relationship Id="rId5421" Type="http://schemas.openxmlformats.org/officeDocument/2006/relationships/hyperlink" Target="https://chemicalsafety.ilo.org/dyn/icsc/showcard.display?p_card_id=1404&amp;p_lang=en" TargetMode="External"/><Relationship Id="rId1617" Type="http://schemas.openxmlformats.org/officeDocument/2006/relationships/hyperlink" Target="https://chemicalsafety.ilo.org/dyn/icsc/showcard.display?p_card_id=0408&amp;p_lang=en" TargetMode="External"/><Relationship Id="rId4023" Type="http://schemas.openxmlformats.org/officeDocument/2006/relationships/hyperlink" Target="https://www.google.com/search?q=1113-38-8+SDS+safety+data+sheet+filetype:pdf" TargetMode="External"/><Relationship Id="rId3789" Type="http://schemas.openxmlformats.org/officeDocument/2006/relationships/hyperlink" Target="https://chemicalsafety.ilo.org/dyn/icsc/showcard.display?p_card_id=0971&amp;p_lang=en" TargetMode="External"/><Relationship Id="rId6195" Type="http://schemas.openxmlformats.org/officeDocument/2006/relationships/hyperlink" Target="https://www.google.com/search?q=7784-46-5+SDS+safety+data+sheet+filetype:pdf" TargetMode="External"/><Relationship Id="rId6262" Type="http://schemas.openxmlformats.org/officeDocument/2006/relationships/hyperlink" Target="https://chemicalsafety.ilo.org/dyn/icsc/showcard.display?p_card_id=1620&amp;p_lang=tr" TargetMode="External"/><Relationship Id="rId3856" Type="http://schemas.openxmlformats.org/officeDocument/2006/relationships/hyperlink" Target="https://chem.echa.europa.eu/substance-search?searchText=7429-90-5" TargetMode="External"/><Relationship Id="rId4907" Type="http://schemas.openxmlformats.org/officeDocument/2006/relationships/hyperlink" Target="https://www.google.com/search?q=95737-68-1+SDS+safety+data+sheet+filetype: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4"/>
  <dimension ref="A1:DR3000"/>
  <sheetViews>
    <sheetView tabSelected="1" zoomScaleNormal="100" workbookViewId="0">
      <pane ySplit="16" topLeftCell="A17" activePane="bottomLeft" state="frozen"/>
      <selection pane="bottomLeft" activeCell="D3" sqref="D3:G3"/>
    </sheetView>
  </sheetViews>
  <sheetFormatPr defaultColWidth="8.7109375" defaultRowHeight="15" customHeight="1" x14ac:dyDescent="0.25"/>
  <cols>
    <col min="1" max="1" width="8" customWidth="1"/>
    <col min="2" max="3" width="14" customWidth="1"/>
    <col min="4" max="4" width="18" customWidth="1"/>
    <col min="5" max="5" width="14" customWidth="1"/>
    <col min="6" max="6" width="16" customWidth="1"/>
    <col min="7" max="7" width="18" customWidth="1"/>
    <col min="8" max="8" width="22" customWidth="1"/>
    <col min="9" max="9" width="14" customWidth="1"/>
    <col min="10" max="10" width="20" customWidth="1"/>
    <col min="11" max="14" width="14" customWidth="1"/>
    <col min="15" max="15" width="12" customWidth="1"/>
    <col min="16" max="16" width="10" customWidth="1"/>
    <col min="17" max="17" width="8" customWidth="1"/>
    <col min="18" max="18" width="12" customWidth="1"/>
    <col min="19" max="19" width="14" customWidth="1"/>
    <col min="20" max="22" width="12" customWidth="1"/>
    <col min="23" max="23" width="16" customWidth="1"/>
    <col min="24" max="24" width="28" customWidth="1"/>
    <col min="25" max="26" width="12" customWidth="1"/>
    <col min="27" max="30" width="8" customWidth="1"/>
    <col min="31" max="32" width="12" customWidth="1"/>
    <col min="33" max="33" width="16" customWidth="1"/>
    <col min="34" max="35" width="18" customWidth="1"/>
  </cols>
  <sheetData>
    <row r="1" spans="1:35" ht="30" customHeight="1" x14ac:dyDescent="0.25">
      <c r="A1" s="55" t="s">
        <v>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</row>
    <row r="2" spans="1:35" ht="19.5" customHeight="1" x14ac:dyDescent="0.25">
      <c r="A2" s="50" t="s">
        <v>1</v>
      </c>
      <c r="B2" s="51"/>
      <c r="C2" s="51"/>
      <c r="D2" s="51"/>
      <c r="E2" s="51"/>
      <c r="F2" s="51"/>
      <c r="G2" s="51"/>
      <c r="H2" s="56" t="s">
        <v>2</v>
      </c>
      <c r="I2" s="51"/>
      <c r="J2" s="51"/>
      <c r="K2" s="51"/>
      <c r="L2" s="51"/>
      <c r="M2" s="51"/>
      <c r="N2" s="51"/>
    </row>
    <row r="3" spans="1:35" ht="21.75" customHeight="1" x14ac:dyDescent="0.25">
      <c r="A3" s="52" t="s">
        <v>3</v>
      </c>
      <c r="B3" s="45"/>
      <c r="C3" s="46"/>
      <c r="D3" s="58"/>
      <c r="E3" s="45"/>
      <c r="F3" s="45"/>
      <c r="G3" s="46"/>
      <c r="H3" s="49" t="s">
        <v>5</v>
      </c>
      <c r="I3" s="45"/>
      <c r="J3" s="46"/>
      <c r="K3" s="48"/>
      <c r="L3" s="45"/>
      <c r="M3" s="45"/>
      <c r="N3" s="46"/>
      <c r="AH3" s="1" t="s">
        <v>3</v>
      </c>
      <c r="AI3" s="2">
        <f t="shared" ref="AI3:AI8" si="0">D3</f>
        <v>0</v>
      </c>
    </row>
    <row r="4" spans="1:35" ht="21.75" customHeight="1" x14ac:dyDescent="0.25">
      <c r="A4" s="52" t="s">
        <v>6</v>
      </c>
      <c r="B4" s="45"/>
      <c r="C4" s="46"/>
      <c r="D4" s="47" t="str">
        <f>IFERROR(INDEX(DB!$B$2:$U$1134,MATCH(UPPER(TRIM($D$3)),DB!$B$2:$B$1134,0),2),IFERROR(INDEX(DB!$B$2:$U$1134,MATCH(UPPER(TRIM($D$3)),DB!$J$2:$J$1134,0),2),""))</f>
        <v/>
      </c>
      <c r="E4" s="45"/>
      <c r="F4" s="45"/>
      <c r="G4" s="46"/>
      <c r="H4" s="49" t="s">
        <v>7</v>
      </c>
      <c r="I4" s="45"/>
      <c r="J4" s="46"/>
      <c r="K4" s="48"/>
      <c r="L4" s="45"/>
      <c r="M4" s="45"/>
      <c r="N4" s="46"/>
      <c r="AH4" s="1" t="s">
        <v>6</v>
      </c>
      <c r="AI4" s="2" t="str">
        <f t="shared" si="0"/>
        <v/>
      </c>
    </row>
    <row r="5" spans="1:35" ht="21.75" customHeight="1" x14ac:dyDescent="0.25">
      <c r="A5" s="52" t="s">
        <v>8</v>
      </c>
      <c r="B5" s="45"/>
      <c r="C5" s="46"/>
      <c r="D5" s="47" t="str">
        <f>IFERROR(INDEX(DB!$B$2:$U$1134,MATCH(UPPER(TRIM($D$3)),DB!$B$2:$B$1134,0),3),IFERROR(INDEX(DB!$B$2:$U$1134,MATCH(UPPER(TRIM($D$3)),DB!$J$2:$J$1134,0),3),""))</f>
        <v/>
      </c>
      <c r="E5" s="45"/>
      <c r="F5" s="45"/>
      <c r="G5" s="46"/>
      <c r="H5" s="49" t="s">
        <v>9</v>
      </c>
      <c r="I5" s="45"/>
      <c r="J5" s="46"/>
      <c r="K5" s="48"/>
      <c r="L5" s="45"/>
      <c r="M5" s="45"/>
      <c r="N5" s="46"/>
      <c r="AH5" s="1" t="s">
        <v>8</v>
      </c>
      <c r="AI5" s="2" t="str">
        <f t="shared" si="0"/>
        <v/>
      </c>
    </row>
    <row r="6" spans="1:35" ht="21.75" customHeight="1" x14ac:dyDescent="0.25">
      <c r="A6" s="52" t="s">
        <v>10</v>
      </c>
      <c r="B6" s="45"/>
      <c r="C6" s="46"/>
      <c r="D6" s="47" t="str">
        <f>IFERROR(INDEX(DB!$B$2:$U$1134,MATCH(UPPER(TRIM($D$3)),DB!$B$2:$B$1134,0),4),IFERROR(INDEX(DB!$B$2:$U$1134,MATCH(UPPER(TRIM($D$3)),DB!$J$2:$J$1134,0),4),""))</f>
        <v/>
      </c>
      <c r="E6" s="45"/>
      <c r="F6" s="45"/>
      <c r="G6" s="46"/>
      <c r="H6" s="49" t="s">
        <v>11</v>
      </c>
      <c r="I6" s="45"/>
      <c r="J6" s="46"/>
      <c r="K6" s="48"/>
      <c r="L6" s="45"/>
      <c r="M6" s="45"/>
      <c r="N6" s="46"/>
      <c r="AH6" s="1" t="s">
        <v>10</v>
      </c>
      <c r="AI6" s="2" t="str">
        <f t="shared" si="0"/>
        <v/>
      </c>
    </row>
    <row r="7" spans="1:35" ht="21.75" customHeight="1" x14ac:dyDescent="0.25">
      <c r="A7" s="52" t="s">
        <v>12</v>
      </c>
      <c r="B7" s="45"/>
      <c r="C7" s="46"/>
      <c r="D7" s="47" t="str">
        <f>IFERROR(INDEX(DB!$B$2:$U$1134,MATCH(UPPER(TRIM($D$3)),DB!$B$2:$B$1134,0),5),IFERROR(INDEX(DB!$B$2:$U$1134,MATCH(UPPER(TRIM($D$3)),DB!$J$2:$J$1134,0),5),""))</f>
        <v/>
      </c>
      <c r="E7" s="45"/>
      <c r="F7" s="45"/>
      <c r="G7" s="46"/>
      <c r="H7" s="49" t="s">
        <v>13</v>
      </c>
      <c r="I7" s="45"/>
      <c r="J7" s="46"/>
      <c r="K7" s="48"/>
      <c r="L7" s="45"/>
      <c r="M7" s="45"/>
      <c r="N7" s="46"/>
      <c r="AH7" s="1" t="s">
        <v>12</v>
      </c>
      <c r="AI7" s="2" t="str">
        <f t="shared" si="0"/>
        <v/>
      </c>
    </row>
    <row r="8" spans="1:35" ht="21.75" customHeight="1" x14ac:dyDescent="0.25">
      <c r="A8" s="52" t="s">
        <v>14</v>
      </c>
      <c r="B8" s="45"/>
      <c r="C8" s="46"/>
      <c r="D8" s="47" t="str">
        <f>IFERROR(INDEX(DB!$B$2:$U$1134,MATCH(UPPER(TRIM($D$3)),DB!$B$2:$B$1134,0),6),IFERROR(INDEX(DB!$B$2:$U$1134,MATCH(UPPER(TRIM($D$3)),DB!$J$2:$J$1134,0),6),""))</f>
        <v/>
      </c>
      <c r="E8" s="45"/>
      <c r="F8" s="45"/>
      <c r="G8" s="46"/>
      <c r="H8" s="49" t="s">
        <v>15</v>
      </c>
      <c r="I8" s="45"/>
      <c r="J8" s="46"/>
      <c r="K8" s="48"/>
      <c r="L8" s="45"/>
      <c r="M8" s="45"/>
      <c r="N8" s="46"/>
      <c r="AH8" s="1" t="s">
        <v>14</v>
      </c>
      <c r="AI8" s="2" t="str">
        <f t="shared" si="0"/>
        <v/>
      </c>
    </row>
    <row r="9" spans="1:35" ht="21.75" customHeight="1" x14ac:dyDescent="0.25">
      <c r="A9" s="52" t="s">
        <v>16</v>
      </c>
      <c r="B9" s="45"/>
      <c r="C9" s="46"/>
      <c r="D9" s="47" t="str">
        <f>IFERROR(INDEX(DB!$B$2:$U$1134,MATCH(UPPER(TRIM($D$3)),DB!$B$2:$B$1134,0),7),IFERROR(INDEX(DB!$B$2:$U$1134,MATCH(UPPER(TRIM($D$3)),DB!$J$2:$J$1134,0),7),""))</f>
        <v/>
      </c>
      <c r="E9" s="45"/>
      <c r="F9" s="45"/>
      <c r="G9" s="46"/>
      <c r="H9" s="49" t="s">
        <v>17</v>
      </c>
      <c r="I9" s="45"/>
      <c r="J9" s="46"/>
      <c r="K9" s="48"/>
      <c r="L9" s="45"/>
      <c r="M9" s="45"/>
      <c r="N9" s="46"/>
      <c r="AH9" s="1" t="s">
        <v>18</v>
      </c>
      <c r="AI9" s="2" t="str">
        <f>D10</f>
        <v/>
      </c>
    </row>
    <row r="10" spans="1:35" ht="21.75" customHeight="1" x14ac:dyDescent="0.25">
      <c r="A10" s="52" t="s">
        <v>18</v>
      </c>
      <c r="B10" s="45"/>
      <c r="C10" s="46"/>
      <c r="D10" s="47" t="str">
        <f>IFERROR(INDEX(DB!$B$2:$U$1134,MATCH(UPPER(TRIM($D$3)),DB!$B$2:$B$1134,0),8),IFERROR(INDEX(DB!$B$2:$U$1134,MATCH(UPPER(TRIM($D$3)),DB!$J$2:$J$1134,0),8),""))</f>
        <v/>
      </c>
      <c r="E10" s="45"/>
      <c r="F10" s="45"/>
      <c r="G10" s="46"/>
      <c r="H10" s="49" t="s">
        <v>19</v>
      </c>
      <c r="I10" s="45"/>
      <c r="J10" s="46"/>
      <c r="K10" s="48"/>
      <c r="L10" s="45"/>
      <c r="M10" s="45"/>
      <c r="N10" s="46"/>
      <c r="AH10" s="1" t="s">
        <v>20</v>
      </c>
      <c r="AI10" s="2"/>
    </row>
    <row r="11" spans="1:35" ht="19.5" customHeight="1" x14ac:dyDescent="0.25">
      <c r="A11" s="51"/>
      <c r="B11" s="51"/>
      <c r="C11" s="51"/>
      <c r="H11" s="49" t="s">
        <v>21</v>
      </c>
      <c r="I11" s="45"/>
      <c r="J11" s="46"/>
      <c r="K11" s="48"/>
      <c r="L11" s="45"/>
      <c r="M11" s="45"/>
      <c r="N11" s="46"/>
    </row>
    <row r="12" spans="1:35" ht="24" customHeight="1" x14ac:dyDescent="0.25">
      <c r="A12" s="57" t="s">
        <v>22</v>
      </c>
      <c r="B12" s="51"/>
      <c r="C12" s="51"/>
      <c r="D12" s="51" t="str">
        <f>IF(D8="","",IF(OR(D8="E",D8="D"),IF(OR(D9="Yüksek",D9="Çok Yüksek",D9="Çok Yüksek (Gaz)",D9="Toz"),4,IF(D9="Orta",3,2)),IF(D8="C",IF(OR(D9="Yüksek",D9="Çok Yüksek",D9="Çok Yüksek (Gaz)",D9="Toz"),3,IF(D9="Orta",2,1)),IF(D8="B",IF(OR(D9="Yüksek",D9="Çok Yüksek",D9="Çok Yüksek (Gaz)",D9="Toz"),2,1),1))))</f>
        <v/>
      </c>
      <c r="E12" s="51"/>
      <c r="F12" s="51"/>
      <c r="G12" s="51"/>
      <c r="H12" s="51" t="s">
        <v>23</v>
      </c>
      <c r="I12" s="51"/>
      <c r="J12" s="51"/>
      <c r="K12" s="51" t="str">
        <f>IF(D12="","",CHOOSE(D12,"Düşük","Orta","Yüksek","Kritik"))</f>
        <v/>
      </c>
      <c r="L12" s="51"/>
      <c r="M12" s="51"/>
      <c r="N12" s="51"/>
      <c r="AH12" s="1" t="s">
        <v>24</v>
      </c>
      <c r="AI12" s="2">
        <f t="shared" ref="AI12:AI16" si="1">K3</f>
        <v>0</v>
      </c>
    </row>
    <row r="13" spans="1:35" ht="27.75" customHeight="1" x14ac:dyDescent="0.25">
      <c r="A13" s="53" t="s">
        <v>25</v>
      </c>
      <c r="B13" s="45"/>
      <c r="C13" s="46"/>
      <c r="D13" s="54" t="str">
        <f>IF($D$12="","",IF($D$12=1,"İyi uygulama + genel havalandırma. Kapalı kap/etiketleme.",IF($D$12=2,"Yerel kontrol (LEV) / kapalı ekipman. KKD uygunluğu kontrol.",IF($D$12=3,"Mühendislik kontrolü güçlendir (kapalı sistem/LEV) + prosedür. KKD zorunlu.","Uzman değerlendirmesi + mümkünse tam kapalı sistem. İzinli çalışma ve izleme."))))</f>
        <v/>
      </c>
      <c r="E13" s="45"/>
      <c r="F13" s="45"/>
      <c r="G13" s="45"/>
      <c r="H13" s="45"/>
      <c r="I13" s="45"/>
      <c r="J13" s="45"/>
      <c r="K13" s="45"/>
      <c r="L13" s="45"/>
      <c r="M13" s="45"/>
      <c r="N13" s="46"/>
      <c r="AH13" s="1" t="s">
        <v>7</v>
      </c>
      <c r="AI13" s="2">
        <f t="shared" si="1"/>
        <v>0</v>
      </c>
    </row>
    <row r="14" spans="1:35" ht="21.75" customHeight="1" x14ac:dyDescent="0.25">
      <c r="A14" s="53" t="s">
        <v>26</v>
      </c>
      <c r="B14" s="45"/>
      <c r="C14" s="46"/>
      <c r="D14" s="59" t="str">
        <f>IF(D12="","",IF(D12=1,"Uygun",IF(D12=2,"Koşullu Uygun","Uygun Değil")))</f>
        <v/>
      </c>
      <c r="E14" s="45"/>
      <c r="F14" s="45"/>
      <c r="G14" s="46"/>
      <c r="H14" s="45" t="str">
        <f>IF(D4&lt;&gt;"",HYPERLINK("https://www.google.com/search?q="&amp;D4&amp;"+SDS","SDS Ara"),"")</f>
        <v/>
      </c>
      <c r="I14" s="45"/>
      <c r="J14" s="45" t="str">
        <f>IF(D4="","",IF(D10&lt;&gt;"",HYPERLINK("https://chemicalsafety.ilo.org/dyn/icsc/showcard.display?p_card_id="&amp;RIGHT("0000"&amp;D10,4)&amp;"&amp;p_lang=tr&amp;p_version=2","ICSC"),""))</f>
        <v/>
      </c>
      <c r="K14" s="45"/>
      <c r="L14" s="46" t="str">
        <f>IF(D4&lt;&gt;"",HYPERLINK("https://chem.echa.europa.eu/substance-search?searchText="&amp;D4,"ECHA Ara"),"")</f>
        <v/>
      </c>
      <c r="M14" s="45"/>
      <c r="N14" s="46"/>
      <c r="AH14" s="1" t="s">
        <v>27</v>
      </c>
      <c r="AI14" s="2">
        <f t="shared" si="1"/>
        <v>0</v>
      </c>
    </row>
    <row r="15" spans="1:35" ht="15" customHeight="1" x14ac:dyDescent="0.2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6"/>
      <c r="AH15" s="1" t="s">
        <v>11</v>
      </c>
      <c r="AI15" s="2">
        <f t="shared" si="1"/>
        <v>0</v>
      </c>
    </row>
    <row r="16" spans="1:35" ht="36" customHeight="1" x14ac:dyDescent="0.25">
      <c r="A16" s="3" t="s">
        <v>28</v>
      </c>
      <c r="B16" s="3" t="s">
        <v>29</v>
      </c>
      <c r="C16" s="3" t="s">
        <v>30</v>
      </c>
      <c r="D16" s="3" t="s">
        <v>31</v>
      </c>
      <c r="E16" s="3" t="s">
        <v>24</v>
      </c>
      <c r="F16" s="3" t="s">
        <v>7</v>
      </c>
      <c r="G16" s="3" t="s">
        <v>9</v>
      </c>
      <c r="H16" s="3" t="s">
        <v>3</v>
      </c>
      <c r="I16" s="3" t="s">
        <v>6</v>
      </c>
      <c r="J16" s="3" t="s">
        <v>32</v>
      </c>
      <c r="K16" s="3" t="s">
        <v>10</v>
      </c>
      <c r="L16" s="3" t="s">
        <v>12</v>
      </c>
      <c r="M16" s="3" t="s">
        <v>14</v>
      </c>
      <c r="N16" s="3" t="s">
        <v>16</v>
      </c>
      <c r="O16" s="3" t="s">
        <v>13</v>
      </c>
      <c r="P16" s="3" t="s">
        <v>11</v>
      </c>
      <c r="Q16" s="3" t="s">
        <v>33</v>
      </c>
      <c r="R16" s="3" t="s">
        <v>19</v>
      </c>
      <c r="S16" s="3" t="s">
        <v>15</v>
      </c>
      <c r="T16" s="3" t="s">
        <v>17</v>
      </c>
      <c r="U16" s="3" t="s">
        <v>34</v>
      </c>
      <c r="V16" s="3" t="s">
        <v>35</v>
      </c>
      <c r="W16" s="3" t="s">
        <v>36</v>
      </c>
      <c r="X16" s="3" t="s">
        <v>37</v>
      </c>
      <c r="Y16" s="3" t="s">
        <v>23</v>
      </c>
      <c r="Z16" s="3" t="s">
        <v>26</v>
      </c>
      <c r="AA16" s="3" t="s">
        <v>38</v>
      </c>
      <c r="AB16" s="3" t="s">
        <v>39</v>
      </c>
      <c r="AC16" s="3" t="s">
        <v>40</v>
      </c>
      <c r="AD16" s="3" t="s">
        <v>18</v>
      </c>
      <c r="AE16" s="3" t="s">
        <v>41</v>
      </c>
      <c r="AF16" s="3" t="s">
        <v>42</v>
      </c>
      <c r="AG16" s="3" t="s">
        <v>43</v>
      </c>
      <c r="AH16" s="1" t="s">
        <v>44</v>
      </c>
      <c r="AI16" s="2">
        <f t="shared" si="1"/>
        <v>0</v>
      </c>
    </row>
    <row r="17" spans="1:35" ht="15" customHeight="1" x14ac:dyDescent="0.25">
      <c r="A17" s="6" t="str">
        <f t="shared" ref="A17:A47" si="2">IF(H17="","",ROW()-16)</f>
        <v/>
      </c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 t="str">
        <f>IF(H17="","",IFERROR(INDEX(DB!$B$2:$U$1713,MATCH(UPPER(TRIM(H17)),DB!$B$2:$B$1713,0),6),IFERROR(INDEX(DB!$B$2:$U$1713,MATCH(UPPER(TRIM(H17)),DB!$J$2:$J$1713,0),6),"")))</f>
        <v/>
      </c>
      <c r="N17" s="6" t="str">
        <f>IF(H17="","",IFERROR(INDEX(DB!$B$2:$U$1713,MATCH(UPPER(TRIM(H17)),DB!$B$2:$B$1713,0),7),IFERROR(INDEX(DB!$B$2:$U$1713,MATCH(UPPER(TRIM(H17)),DB!$J$2:$J$1713,0),7),"")))</f>
        <v/>
      </c>
      <c r="O17" s="6"/>
      <c r="P17" s="6"/>
      <c r="Q17" s="6"/>
      <c r="R17" s="6"/>
      <c r="S17" s="6"/>
      <c r="T17" s="6"/>
      <c r="U17" s="6"/>
      <c r="V17" s="6" t="str">
        <f t="shared" ref="V17:V47" si="3">IF(M17="","",IF(OR(M17="E",M17="D"),IF(OR(N17="Yüksek",N17="Çok Yüksek",N17="Çok Yüksek (Gaz)",N17="Toz"),4,IF(N17="Orta",3,2)),IF(M17="C",IF(OR(N17="Yüksek",N17="Çok Yüksek",N17="Çok Yüksek (Gaz)",N17="Toz"),3,IF(N17="Orta",2,1)),IF(M17="B",IF(OR(N17="Yüksek",N17="Çok Yüksek",N17="Çok Yüksek (Gaz)",N17="Toz"),2,1),1))))</f>
        <v/>
      </c>
      <c r="W17" s="6"/>
      <c r="X17" s="6" t="str">
        <f t="shared" ref="X17:X47" si="4">IF($V17="","",IF($V17=1,"İyi uygulama + genel havalandırma. Kapalı kap/etiketleme.",IF($V17=2,"Yerel kontrol (LEV) / kapalı ekipman. KKD uygunluğu kontrol.",IF($V17=3,"Mühendislik kontrolü güçlendir (kapalı sistem/LEV) + prosedür. KKD zorunlu.","Uzman değerlendirmesi + mümkünse tam kapalı sistem. İzinli çalışma ve izleme."))))</f>
        <v/>
      </c>
      <c r="Y17" s="6" t="str">
        <f t="shared" ref="Y17:Y48" si="5">IF(V17="","",CHOOSE(V17,"Düşük","Orta","Yüksek","Kritik"))</f>
        <v/>
      </c>
      <c r="Z17" s="6" t="str">
        <f t="shared" ref="Z17:Z47" si="6">IF(V17="","",IF(V17=1,"Uygun",IF(V17=2,"Koşullu Uygun","Uygun Değil")))</f>
        <v/>
      </c>
      <c r="AA17" s="6"/>
      <c r="AB17" s="6"/>
      <c r="AC17" s="6"/>
      <c r="AD17" s="6" t="str">
        <f>IF(H17="","",IFERROR(INDEX(DB!$B$2:$U$1713,MATCH(UPPER(TRIM(H17)),DB!$B$2:$B$1713,0),8),IFERROR(INDEX(DB!$B$2:$U$1713,MATCH(UPPER(TRIM(H17)),DB!$J$2:$J$1713,0),8),"")))</f>
        <v/>
      </c>
      <c r="AE17" s="6"/>
      <c r="AF17" s="6"/>
      <c r="AG17" s="6"/>
      <c r="AH17" t="s">
        <v>17</v>
      </c>
      <c r="AI17">
        <f>K9</f>
        <v>0</v>
      </c>
    </row>
    <row r="18" spans="1:35" ht="15" customHeight="1" x14ac:dyDescent="0.25">
      <c r="A18" s="4" t="str">
        <f t="shared" si="2"/>
        <v/>
      </c>
      <c r="B18" s="4"/>
      <c r="C18" s="4"/>
      <c r="D18" s="5"/>
      <c r="E18" s="4"/>
      <c r="F18" s="4"/>
      <c r="G18" s="4"/>
      <c r="H18" s="4"/>
      <c r="I18" s="4"/>
      <c r="J18" s="4"/>
      <c r="K18" s="4"/>
      <c r="L18" s="4"/>
      <c r="M18" s="4" t="str">
        <f>IF(H18="","",IFERROR(INDEX(DB!$B$2:$U$1713,MATCH(UPPER(TRIM(H18)),DB!$B$2:$B$1713,0),6),IFERROR(INDEX(DB!$B$2:$U$1713,MATCH(UPPER(TRIM(H18)),DB!$J$2:$J$1713,0),6),"")))</f>
        <v/>
      </c>
      <c r="N18" s="4" t="str">
        <f>IF(H18="","",IFERROR(INDEX(DB!$B$2:$U$1713,MATCH(UPPER(TRIM(H18)),DB!$B$2:$B$1713,0),7),IFERROR(INDEX(DB!$B$2:$U$1713,MATCH(UPPER(TRIM(H18)),DB!$J$2:$J$1713,0),7),"")))</f>
        <v/>
      </c>
      <c r="O18" s="4"/>
      <c r="P18" s="4"/>
      <c r="Q18" s="4"/>
      <c r="R18" s="4"/>
      <c r="S18" s="4"/>
      <c r="T18" s="4"/>
      <c r="U18" s="4"/>
      <c r="V18" s="4" t="str">
        <f t="shared" si="3"/>
        <v/>
      </c>
      <c r="W18" s="4"/>
      <c r="X18" s="4" t="str">
        <f t="shared" si="4"/>
        <v/>
      </c>
      <c r="Y18" s="4" t="str">
        <f t="shared" si="5"/>
        <v/>
      </c>
      <c r="Z18" s="4" t="str">
        <f t="shared" si="6"/>
        <v/>
      </c>
      <c r="AA18" s="4"/>
      <c r="AB18" s="4"/>
      <c r="AC18" s="4"/>
      <c r="AD18" s="4" t="str">
        <f>IF(H18="","",IFERROR(INDEX(DB!$B$2:$U$1713,MATCH(UPPER(TRIM(H18)),DB!$B$2:$B$1713,0),8),IFERROR(INDEX(DB!$B$2:$U$1713,MATCH(UPPER(TRIM(H18)),DB!$J$2:$J$1713,0),8),"")))</f>
        <v/>
      </c>
      <c r="AE18" s="4"/>
      <c r="AF18" s="4"/>
      <c r="AG18" s="4"/>
      <c r="AH18" t="s">
        <v>19</v>
      </c>
      <c r="AI18">
        <f>K10</f>
        <v>0</v>
      </c>
    </row>
    <row r="19" spans="1:35" ht="15" customHeight="1" x14ac:dyDescent="0.25">
      <c r="A19" s="6" t="str">
        <f t="shared" si="2"/>
        <v/>
      </c>
      <c r="B19" s="6"/>
      <c r="C19" s="6"/>
      <c r="D19" s="7"/>
      <c r="E19" s="6"/>
      <c r="F19" s="6"/>
      <c r="G19" s="6"/>
      <c r="H19" s="6"/>
      <c r="I19" s="6"/>
      <c r="J19" s="6"/>
      <c r="K19" s="6"/>
      <c r="L19" s="6"/>
      <c r="M19" s="6" t="str">
        <f>IF(H19="","",IFERROR(INDEX(DB!$B$2:$U$1713,MATCH(UPPER(TRIM(H19)),DB!$B$2:$B$1713,0),6),IFERROR(INDEX(DB!$B$2:$U$1713,MATCH(UPPER(TRIM(H19)),DB!$J$2:$J$1713,0),6),"")))</f>
        <v/>
      </c>
      <c r="N19" s="6" t="str">
        <f>IF(H19="","",IFERROR(INDEX(DB!$B$2:$U$1713,MATCH(UPPER(TRIM(H19)),DB!$B$2:$B$1713,0),7),IFERROR(INDEX(DB!$B$2:$U$1713,MATCH(UPPER(TRIM(H19)),DB!$J$2:$J$1713,0),7),"")))</f>
        <v/>
      </c>
      <c r="O19" s="6"/>
      <c r="P19" s="6"/>
      <c r="Q19" s="6"/>
      <c r="R19" s="6"/>
      <c r="S19" s="6"/>
      <c r="T19" s="6"/>
      <c r="U19" s="6"/>
      <c r="V19" s="6" t="str">
        <f t="shared" si="3"/>
        <v/>
      </c>
      <c r="W19" s="6"/>
      <c r="X19" s="6" t="str">
        <f t="shared" si="4"/>
        <v/>
      </c>
      <c r="Y19" s="6" t="str">
        <f t="shared" si="5"/>
        <v/>
      </c>
      <c r="Z19" s="6" t="str">
        <f t="shared" si="6"/>
        <v/>
      </c>
      <c r="AA19" s="6"/>
      <c r="AB19" s="6"/>
      <c r="AC19" s="6"/>
      <c r="AD19" s="6" t="str">
        <f>IF(H19="","",IFERROR(INDEX(DB!$B$2:$U$1713,MATCH(UPPER(TRIM(H19)),DB!$B$2:$B$1713,0),8),IFERROR(INDEX(DB!$B$2:$U$1713,MATCH(UPPER(TRIM(H19)),DB!$J$2:$J$1713,0),8),"")))</f>
        <v/>
      </c>
      <c r="AE19" s="6"/>
      <c r="AF19" s="6"/>
      <c r="AG19" s="6"/>
      <c r="AH19" t="s">
        <v>21</v>
      </c>
      <c r="AI19">
        <f>K11</f>
        <v>0</v>
      </c>
    </row>
    <row r="20" spans="1:35" ht="15" customHeight="1" x14ac:dyDescent="0.25">
      <c r="A20" s="4" t="str">
        <f t="shared" si="2"/>
        <v/>
      </c>
      <c r="B20" s="4"/>
      <c r="C20" s="4"/>
      <c r="D20" s="5"/>
      <c r="E20" s="4"/>
      <c r="F20" s="4"/>
      <c r="G20" s="4"/>
      <c r="H20" s="4"/>
      <c r="I20" s="4"/>
      <c r="J20" s="4"/>
      <c r="K20" s="4"/>
      <c r="L20" s="4"/>
      <c r="M20" s="4" t="str">
        <f>IF(H20="","",IFERROR(INDEX(DB!$B$2:$U$1713,MATCH(UPPER(TRIM(H20)),DB!$B$2:$B$1713,0),6),IFERROR(INDEX(DB!$B$2:$U$1713,MATCH(UPPER(TRIM(H20)),DB!$J$2:$J$1713,0),6),"")))</f>
        <v/>
      </c>
      <c r="N20" s="4" t="str">
        <f>IF(H20="","",IFERROR(INDEX(DB!$B$2:$U$1713,MATCH(UPPER(TRIM(H20)),DB!$B$2:$B$1713,0),7),IFERROR(INDEX(DB!$B$2:$U$1713,MATCH(UPPER(TRIM(H20)),DB!$J$2:$J$1713,0),7),"")))</f>
        <v/>
      </c>
      <c r="O20" s="4"/>
      <c r="P20" s="4"/>
      <c r="Q20" s="4"/>
      <c r="R20" s="4"/>
      <c r="S20" s="4"/>
      <c r="T20" s="4"/>
      <c r="U20" s="4"/>
      <c r="V20" s="4" t="str">
        <f t="shared" si="3"/>
        <v/>
      </c>
      <c r="W20" s="4"/>
      <c r="X20" s="4" t="str">
        <f t="shared" si="4"/>
        <v/>
      </c>
      <c r="Y20" s="4" t="str">
        <f t="shared" si="5"/>
        <v/>
      </c>
      <c r="Z20" s="4" t="str">
        <f t="shared" si="6"/>
        <v/>
      </c>
      <c r="AA20" s="4"/>
      <c r="AB20" s="4"/>
      <c r="AC20" s="4"/>
      <c r="AD20" s="4" t="str">
        <f>IF(H20="","",IFERROR(INDEX(DB!$B$2:$U$1713,MATCH(UPPER(TRIM(H20)),DB!$B$2:$B$1713,0),8),IFERROR(INDEX(DB!$B$2:$U$1713,MATCH(UPPER(TRIM(H20)),DB!$J$2:$J$1713,0),8),"")))</f>
        <v/>
      </c>
      <c r="AE20" s="4"/>
      <c r="AF20" s="4"/>
      <c r="AG20" s="4"/>
    </row>
    <row r="21" spans="1:35" ht="15" customHeight="1" x14ac:dyDescent="0.25">
      <c r="A21" s="6" t="str">
        <f t="shared" si="2"/>
        <v/>
      </c>
      <c r="B21" s="6"/>
      <c r="C21" s="6"/>
      <c r="D21" s="7"/>
      <c r="E21" s="6"/>
      <c r="F21" s="6"/>
      <c r="G21" s="6"/>
      <c r="H21" s="6"/>
      <c r="I21" s="6"/>
      <c r="J21" s="6"/>
      <c r="K21" s="6"/>
      <c r="L21" s="6"/>
      <c r="M21" s="6" t="str">
        <f>IF(H21="","",IFERROR(INDEX(DB!$B$2:$U$1713,MATCH(UPPER(TRIM(H21)),DB!$B$2:$B$1713,0),6),IFERROR(INDEX(DB!$B$2:$U$1713,MATCH(UPPER(TRIM(H21)),DB!$J$2:$J$1713,0),6),"")))</f>
        <v/>
      </c>
      <c r="N21" s="6" t="str">
        <f>IF(H21="","",IFERROR(INDEX(DB!$B$2:$U$1713,MATCH(UPPER(TRIM(H21)),DB!$B$2:$B$1713,0),7),IFERROR(INDEX(DB!$B$2:$U$1713,MATCH(UPPER(TRIM(H21)),DB!$J$2:$J$1713,0),7),"")))</f>
        <v/>
      </c>
      <c r="O21" s="6"/>
      <c r="P21" s="6"/>
      <c r="Q21" s="6"/>
      <c r="R21" s="6"/>
      <c r="S21" s="6"/>
      <c r="T21" s="6"/>
      <c r="U21" s="6"/>
      <c r="V21" s="6" t="str">
        <f t="shared" si="3"/>
        <v/>
      </c>
      <c r="W21" s="6"/>
      <c r="X21" s="6" t="str">
        <f t="shared" si="4"/>
        <v/>
      </c>
      <c r="Y21" s="6" t="str">
        <f t="shared" si="5"/>
        <v/>
      </c>
      <c r="Z21" s="6" t="str">
        <f t="shared" si="6"/>
        <v/>
      </c>
      <c r="AA21" s="6"/>
      <c r="AB21" s="6"/>
      <c r="AC21" s="6"/>
      <c r="AD21" s="6" t="str">
        <f>IF(H21="","",IFERROR(INDEX(DB!$B$2:$U$1713,MATCH(UPPER(TRIM(H21)),DB!$B$2:$B$1713,0),8),IFERROR(INDEX(DB!$B$2:$U$1713,MATCH(UPPER(TRIM(H21)),DB!$J$2:$J$1713,0),8),"")))</f>
        <v/>
      </c>
      <c r="AE21" s="6"/>
      <c r="AF21" s="6"/>
      <c r="AG21" s="6"/>
    </row>
    <row r="22" spans="1:35" ht="15" customHeight="1" x14ac:dyDescent="0.25">
      <c r="A22" s="4" t="str">
        <f t="shared" si="2"/>
        <v/>
      </c>
      <c r="B22" s="4"/>
      <c r="C22" s="4"/>
      <c r="D22" s="5"/>
      <c r="E22" s="4"/>
      <c r="F22" s="4"/>
      <c r="G22" s="4"/>
      <c r="H22" s="4"/>
      <c r="I22" s="4"/>
      <c r="J22" s="4"/>
      <c r="K22" s="4"/>
      <c r="L22" s="4"/>
      <c r="M22" s="4" t="str">
        <f>IF(H22="","",IFERROR(INDEX(DB!$B$2:$U$1713,MATCH(UPPER(TRIM(H22)),DB!$B$2:$B$1713,0),6),IFERROR(INDEX(DB!$B$2:$U$1713,MATCH(UPPER(TRIM(H22)),DB!$J$2:$J$1713,0),6),"")))</f>
        <v/>
      </c>
      <c r="N22" s="4" t="str">
        <f>IF(H22="","",IFERROR(INDEX(DB!$B$2:$U$1713,MATCH(UPPER(TRIM(H22)),DB!$B$2:$B$1713,0),7),IFERROR(INDEX(DB!$B$2:$U$1713,MATCH(UPPER(TRIM(H22)),DB!$J$2:$J$1713,0),7),"")))</f>
        <v/>
      </c>
      <c r="O22" s="4"/>
      <c r="P22" s="4"/>
      <c r="Q22" s="4"/>
      <c r="R22" s="4"/>
      <c r="S22" s="4"/>
      <c r="T22" s="4"/>
      <c r="U22" s="4"/>
      <c r="V22" s="4" t="str">
        <f t="shared" si="3"/>
        <v/>
      </c>
      <c r="W22" s="4"/>
      <c r="X22" s="4" t="str">
        <f t="shared" si="4"/>
        <v/>
      </c>
      <c r="Y22" s="4" t="str">
        <f t="shared" si="5"/>
        <v/>
      </c>
      <c r="Z22" s="4" t="str">
        <f t="shared" si="6"/>
        <v/>
      </c>
      <c r="AA22" s="4"/>
      <c r="AB22" s="4"/>
      <c r="AC22" s="4"/>
      <c r="AD22" s="4" t="str">
        <f>IF(H22="","",IFERROR(INDEX(DB!$B$2:$U$1713,MATCH(UPPER(TRIM(H22)),DB!$B$2:$B$1713,0),8),IFERROR(INDEX(DB!$B$2:$U$1713,MATCH(UPPER(TRIM(H22)),DB!$J$2:$J$1713,0),8),"")))</f>
        <v/>
      </c>
      <c r="AE22" s="4"/>
      <c r="AF22" s="4"/>
      <c r="AG22" s="4"/>
    </row>
    <row r="23" spans="1:35" ht="15" customHeight="1" x14ac:dyDescent="0.25">
      <c r="A23" s="6" t="str">
        <f t="shared" si="2"/>
        <v/>
      </c>
      <c r="B23" s="6"/>
      <c r="C23" s="6"/>
      <c r="D23" s="7"/>
      <c r="E23" s="6"/>
      <c r="F23" s="6"/>
      <c r="G23" s="6"/>
      <c r="H23" s="6"/>
      <c r="I23" s="6"/>
      <c r="J23" s="6"/>
      <c r="K23" s="6"/>
      <c r="L23" s="6"/>
      <c r="M23" s="6" t="str">
        <f>IF(H23="","",IFERROR(INDEX(DB!$B$2:$U$1713,MATCH(UPPER(TRIM(H23)),DB!$B$2:$B$1713,0),6),IFERROR(INDEX(DB!$B$2:$U$1713,MATCH(UPPER(TRIM(H23)),DB!$J$2:$J$1713,0),6),"")))</f>
        <v/>
      </c>
      <c r="N23" s="6" t="str">
        <f>IF(H23="","",IFERROR(INDEX(DB!$B$2:$U$1713,MATCH(UPPER(TRIM(H23)),DB!$B$2:$B$1713,0),7),IFERROR(INDEX(DB!$B$2:$U$1713,MATCH(UPPER(TRIM(H23)),DB!$J$2:$J$1713,0),7),"")))</f>
        <v/>
      </c>
      <c r="O23" s="6"/>
      <c r="P23" s="6"/>
      <c r="Q23" s="6"/>
      <c r="R23" s="6"/>
      <c r="S23" s="6"/>
      <c r="T23" s="6"/>
      <c r="U23" s="6"/>
      <c r="V23" s="6" t="str">
        <f t="shared" si="3"/>
        <v/>
      </c>
      <c r="W23" s="6"/>
      <c r="X23" s="6" t="str">
        <f t="shared" si="4"/>
        <v/>
      </c>
      <c r="Y23" s="6" t="str">
        <f t="shared" si="5"/>
        <v/>
      </c>
      <c r="Z23" s="6" t="str">
        <f t="shared" si="6"/>
        <v/>
      </c>
      <c r="AA23" s="6"/>
      <c r="AB23" s="6"/>
      <c r="AC23" s="6"/>
      <c r="AD23" s="6" t="str">
        <f>IF(H23="","",IFERROR(INDEX(DB!$B$2:$U$1713,MATCH(UPPER(TRIM(H23)),DB!$B$2:$B$1713,0),8),IFERROR(INDEX(DB!$B$2:$U$1713,MATCH(UPPER(TRIM(H23)),DB!$J$2:$J$1713,0),8),"")))</f>
        <v/>
      </c>
      <c r="AE23" s="6"/>
      <c r="AF23" s="6"/>
      <c r="AG23" s="6"/>
      <c r="AI23" t="str">
        <f>IF(AI4&lt;&gt;"",HYPERLINK("https://echa.europa.eu/search-for-chemicals?search_criteria_ecnumber=" &amp; AI4,"ECHA"),"")</f>
        <v/>
      </c>
    </row>
    <row r="24" spans="1:35" ht="15" customHeight="1" x14ac:dyDescent="0.25">
      <c r="A24" s="4" t="str">
        <f t="shared" si="2"/>
        <v/>
      </c>
      <c r="B24" s="4"/>
      <c r="C24" s="4"/>
      <c r="D24" s="5" t="str">
        <f t="shared" ref="D24:D55" si="7">IF(B22="","",B22+365)</f>
        <v/>
      </c>
      <c r="E24" s="4"/>
      <c r="F24" s="4"/>
      <c r="G24" s="4"/>
      <c r="H24" s="4"/>
      <c r="I24" s="4" t="str">
        <f>IFERROR(INDEX(DB!$C$2:$C$2267,MATCH(UPPER(TRIM($H22)),DB!$B$2:$B$2267,0)),IFERROR(INDEX(DB!$C$2:$C$2267,MATCH(UPPER(TRIM($H22)),DB!$J$2:$J$2267,0)),""))</f>
        <v/>
      </c>
      <c r="J24" s="4" t="str">
        <f>IF(H22="","",IFERROR(INDEX(DB!$B$2:$U$2267,MATCH(UPPER(TRIM($H22)),DB!$B$2:$B$2267,0),3),IFERROR(INDEX(DB!$B$2:$U$2267,MATCH(UPPER(TRIM($H22)),DB!$J$2:$J$2267,0),3),"")))</f>
        <v/>
      </c>
      <c r="K24" s="4" t="str">
        <f>IF(H22="","",IFERROR(INDEX(DB!$B$2:$U$2267,MATCH(UPPER(TRIM($H22)),DB!$B$2:$B$2267,0),4),IFERROR(INDEX(DB!$B$2:$U$2267,MATCH(UPPER(TRIM($H22)),DB!$J$2:$J$2267,0),4),"")))</f>
        <v/>
      </c>
      <c r="L24" s="4" t="str">
        <f>IF(H22="","",IFERROR(INDEX(DB!$B$2:$U$2267,MATCH(UPPER(TRIM($H22)),DB!$B$2:$B$2267,0),5),IFERROR(INDEX(DB!$B$2:$U$2267,MATCH(UPPER(TRIM($H22)),DB!$J$2:$J$2267,0),5),"")))</f>
        <v/>
      </c>
      <c r="M24" s="4" t="str">
        <f>IF(H22="","",IFERROR(INDEX(DB!$B$2:$U$2267,MATCH(UPPER(TRIM($H22)),DB!$B$2:$B$2267,0),6),IFERROR(INDEX(DB!$B$2:$U$2267,MATCH(UPPER(TRIM($H22)),DB!$J$2:$J$2267,0),6),"")))</f>
        <v/>
      </c>
      <c r="N24" s="4" t="str">
        <f>IF(H24="","",IFERROR(INDEX(DB!$B$2:$U$1713,MATCH(UPPER(TRIM(H24)),DB!$B$2:$B$1713,0),7),IFERROR(INDEX(DB!$B$2:$U$1713,MATCH(UPPER(TRIM(H24)),DB!$J$2:$J$1713,0),7),"")))</f>
        <v/>
      </c>
      <c r="O24" s="4"/>
      <c r="P24" s="4"/>
      <c r="Q24" s="4"/>
      <c r="R24" s="4"/>
      <c r="S24" s="4"/>
      <c r="T24" s="4"/>
      <c r="U24" s="4"/>
      <c r="V24" s="4" t="str">
        <f t="shared" si="3"/>
        <v/>
      </c>
      <c r="W24" s="4"/>
      <c r="X24" s="4" t="str">
        <f t="shared" si="4"/>
        <v/>
      </c>
      <c r="Y24" s="4" t="str">
        <f t="shared" si="5"/>
        <v/>
      </c>
      <c r="Z24" s="4" t="str">
        <f t="shared" si="6"/>
        <v/>
      </c>
      <c r="AA24" s="4"/>
      <c r="AB24" s="4"/>
      <c r="AC24" s="4"/>
      <c r="AD24" s="4" t="str">
        <f>IF(H24="","",IFERROR(INDEX(DB!$B$2:$U$1713,MATCH(UPPER(TRIM(H24)),DB!$B$2:$B$1713,0),8),IFERROR(INDEX(DB!$B$2:$U$1713,MATCH(UPPER(TRIM(H24)),DB!$J$2:$J$1713,0),8),"")))</f>
        <v/>
      </c>
      <c r="AE24" s="4"/>
      <c r="AF24" s="4"/>
      <c r="AG24" s="4"/>
      <c r="AI24" t="str">
        <f>IF(AI4&lt;&gt;"",HYPERLINK("https://echa.europa.eu/search-for-chemicals?search_criteria_ecnumber=" &amp; AI4,"ECHA"),"")</f>
        <v/>
      </c>
    </row>
    <row r="25" spans="1:35" ht="15" customHeight="1" x14ac:dyDescent="0.25">
      <c r="A25" s="6" t="str">
        <f t="shared" si="2"/>
        <v/>
      </c>
      <c r="B25" s="6"/>
      <c r="C25" s="6"/>
      <c r="D25" s="7" t="str">
        <f t="shared" si="7"/>
        <v/>
      </c>
      <c r="E25" s="6"/>
      <c r="F25" s="6"/>
      <c r="G25" s="6"/>
      <c r="H25" s="6"/>
      <c r="I25" s="6" t="str">
        <f>IFERROR(INDEX(DB!$C$2:$C$2267,MATCH(UPPER(TRIM($H23)),DB!$B$2:$B$2267,0)),IFERROR(INDEX(DB!$C$2:$C$2267,MATCH(UPPER(TRIM($H23)),DB!$J$2:$J$2267,0)),""))</f>
        <v/>
      </c>
      <c r="J25" s="6" t="str">
        <f>IF(H23="","",IFERROR(INDEX(DB!$B$2:$U$2267,MATCH(UPPER(TRIM($H23)),DB!$B$2:$B$2267,0),3),IFERROR(INDEX(DB!$B$2:$U$2267,MATCH(UPPER(TRIM($H23)),DB!$J$2:$J$2267,0),3),"")))</f>
        <v/>
      </c>
      <c r="K25" s="6" t="str">
        <f>IF(H23="","",IFERROR(INDEX(DB!$B$2:$U$2267,MATCH(UPPER(TRIM($H23)),DB!$B$2:$B$2267,0),4),IFERROR(INDEX(DB!$B$2:$U$2267,MATCH(UPPER(TRIM($H23)),DB!$J$2:$J$2267,0),4),"")))</f>
        <v/>
      </c>
      <c r="L25" s="6" t="str">
        <f>IF(H23="","",IFERROR(INDEX(DB!$B$2:$U$2267,MATCH(UPPER(TRIM($H23)),DB!$B$2:$B$2267,0),5),IFERROR(INDEX(DB!$B$2:$U$2267,MATCH(UPPER(TRIM($H23)),DB!$J$2:$J$2267,0),5),"")))</f>
        <v/>
      </c>
      <c r="M25" s="6" t="str">
        <f>IF(H23="","",IFERROR(INDEX(DB!$B$2:$U$2267,MATCH(UPPER(TRIM($H23)),DB!$B$2:$B$2267,0),6),IFERROR(INDEX(DB!$B$2:$U$2267,MATCH(UPPER(TRIM($H23)),DB!$J$2:$J$2267,0),6),"")))</f>
        <v/>
      </c>
      <c r="N25" s="6" t="str">
        <f>IF(H25="","",IFERROR(INDEX(DB!$B$2:$U$1713,MATCH(UPPER(TRIM(H25)),DB!$B$2:$B$1713,0),7),IFERROR(INDEX(DB!$B$2:$U$1713,MATCH(UPPER(TRIM(H25)),DB!$J$2:$J$1713,0),7),"")))</f>
        <v/>
      </c>
      <c r="O25" s="6"/>
      <c r="P25" s="6"/>
      <c r="Q25" s="6"/>
      <c r="R25" s="6"/>
      <c r="S25" s="6"/>
      <c r="T25" s="6"/>
      <c r="U25" s="6"/>
      <c r="V25" s="6" t="str">
        <f t="shared" si="3"/>
        <v/>
      </c>
      <c r="W25" s="6"/>
      <c r="X25" s="6" t="str">
        <f t="shared" si="4"/>
        <v/>
      </c>
      <c r="Y25" s="6" t="str">
        <f t="shared" si="5"/>
        <v/>
      </c>
      <c r="Z25" s="6" t="str">
        <f t="shared" si="6"/>
        <v/>
      </c>
      <c r="AA25" s="6"/>
      <c r="AB25" s="6"/>
      <c r="AC25" s="6"/>
      <c r="AD25" s="6" t="str">
        <f>IF(H25="","",IFERROR(INDEX(DB!$B$2:$U$1713,MATCH(UPPER(TRIM(H25)),DB!$B$2:$B$1713,0),8),IFERROR(INDEX(DB!$B$2:$U$1713,MATCH(UPPER(TRIM(H25)),DB!$J$2:$J$1713,0),8),"")))</f>
        <v/>
      </c>
      <c r="AE25" s="6"/>
      <c r="AF25" s="6"/>
      <c r="AG25" s="6"/>
      <c r="AI25" t="str">
        <f>IF(AI4&lt;&gt;"",HYPERLINK("https://echa.europa.eu/search-for-chemicals?search_criteria_ecnumber=" &amp; AI4,"ECHA"),"")</f>
        <v/>
      </c>
    </row>
    <row r="26" spans="1:35" ht="15" customHeight="1" x14ac:dyDescent="0.25">
      <c r="A26" s="4" t="str">
        <f t="shared" si="2"/>
        <v/>
      </c>
      <c r="B26" s="4"/>
      <c r="C26" s="4"/>
      <c r="D26" s="5" t="str">
        <f t="shared" si="7"/>
        <v/>
      </c>
      <c r="E26" s="4"/>
      <c r="F26" s="4"/>
      <c r="G26" s="4"/>
      <c r="H26" s="4"/>
      <c r="I26" s="4" t="str">
        <f>IFERROR(INDEX(DB!$C$2:$C$2267,MATCH(UPPER(TRIM($H24)),DB!$B$2:$B$2267,0)),IFERROR(INDEX(DB!$C$2:$C$2267,MATCH(UPPER(TRIM($H24)),DB!$J$2:$J$2267,0)),""))</f>
        <v/>
      </c>
      <c r="J26" s="4" t="str">
        <f>IF(H24="","",IFERROR(INDEX(DB!$B$2:$U$2267,MATCH(UPPER(TRIM($H24)),DB!$B$2:$B$2267,0),3),IFERROR(INDEX(DB!$B$2:$U$2267,MATCH(UPPER(TRIM($H24)),DB!$J$2:$J$2267,0),3),"")))</f>
        <v/>
      </c>
      <c r="K26" s="4" t="str">
        <f>IF(H24="","",IFERROR(INDEX(DB!$B$2:$U$2267,MATCH(UPPER(TRIM($H24)),DB!$B$2:$B$2267,0),4),IFERROR(INDEX(DB!$B$2:$U$2267,MATCH(UPPER(TRIM($H24)),DB!$J$2:$J$2267,0),4),"")))</f>
        <v/>
      </c>
      <c r="L26" s="4" t="str">
        <f>IF(H24="","",IFERROR(INDEX(DB!$B$2:$U$2267,MATCH(UPPER(TRIM($H24)),DB!$B$2:$B$2267,0),5),IFERROR(INDEX(DB!$B$2:$U$2267,MATCH(UPPER(TRIM($H24)),DB!$J$2:$J$2267,0),5),"")))</f>
        <v/>
      </c>
      <c r="M26" s="4" t="str">
        <f>IF(H24="","",IFERROR(INDEX(DB!$B$2:$U$2267,MATCH(UPPER(TRIM($H24)),DB!$B$2:$B$2267,0),6),IFERROR(INDEX(DB!$B$2:$U$2267,MATCH(UPPER(TRIM($H24)),DB!$J$2:$J$2267,0),6),"")))</f>
        <v/>
      </c>
      <c r="N26" s="4" t="str">
        <f>IF(H26="","",IFERROR(INDEX(DB!$B$2:$U$1713,MATCH(UPPER(TRIM(H26)),DB!$B$2:$B$1713,0),7),IFERROR(INDEX(DB!$B$2:$U$1713,MATCH(UPPER(TRIM(H26)),DB!$J$2:$J$1713,0),7),"")))</f>
        <v/>
      </c>
      <c r="O26" s="4"/>
      <c r="P26" s="4"/>
      <c r="Q26" s="4"/>
      <c r="R26" s="4"/>
      <c r="S26" s="4"/>
      <c r="T26" s="4"/>
      <c r="U26" s="4"/>
      <c r="V26" s="4" t="str">
        <f t="shared" si="3"/>
        <v/>
      </c>
      <c r="W26" s="4"/>
      <c r="X26" s="4" t="str">
        <f t="shared" si="4"/>
        <v/>
      </c>
      <c r="Y26" s="4" t="str">
        <f t="shared" si="5"/>
        <v/>
      </c>
      <c r="Z26" s="4" t="str">
        <f t="shared" si="6"/>
        <v/>
      </c>
      <c r="AA26" s="4"/>
      <c r="AB26" s="4"/>
      <c r="AC26" s="4"/>
      <c r="AD26" s="4" t="str">
        <f>IF(H26="","",IFERROR(INDEX(DB!$B$2:$U$1713,MATCH(UPPER(TRIM(H26)),DB!$B$2:$B$1713,0),8),IFERROR(INDEX(DB!$B$2:$U$1713,MATCH(UPPER(TRIM(H26)),DB!$J$2:$J$1713,0),8),"")))</f>
        <v/>
      </c>
      <c r="AE26" s="4"/>
      <c r="AF26" s="4"/>
      <c r="AG26" s="4"/>
      <c r="AI26" t="str">
        <f>IF(AI4&lt;&gt;"",HYPERLINK("https://echa.europa.eu/search-for-chemicals?search_criteria_ecnumber=" &amp; AI4,"ECHA"),"")</f>
        <v/>
      </c>
    </row>
    <row r="27" spans="1:35" ht="15" customHeight="1" x14ac:dyDescent="0.25">
      <c r="A27" s="6" t="str">
        <f t="shared" si="2"/>
        <v/>
      </c>
      <c r="B27" s="6"/>
      <c r="C27" s="6"/>
      <c r="D27" s="7" t="str">
        <f t="shared" si="7"/>
        <v/>
      </c>
      <c r="E27" s="6"/>
      <c r="F27" s="6"/>
      <c r="G27" s="6"/>
      <c r="H27" s="6"/>
      <c r="I27" s="6" t="str">
        <f>IFERROR(INDEX(DB!$C$2:$C$2267,MATCH(UPPER(TRIM($H25)),DB!$B$2:$B$2267,0)),IFERROR(INDEX(DB!$C$2:$C$2267,MATCH(UPPER(TRIM($H25)),DB!$J$2:$J$2267,0)),""))</f>
        <v/>
      </c>
      <c r="J27" s="6" t="str">
        <f>IF(H25="","",IFERROR(INDEX(DB!$B$2:$U$2267,MATCH(UPPER(TRIM($H25)),DB!$B$2:$B$2267,0),3),IFERROR(INDEX(DB!$B$2:$U$2267,MATCH(UPPER(TRIM($H25)),DB!$J$2:$J$2267,0),3),"")))</f>
        <v/>
      </c>
      <c r="K27" s="6" t="str">
        <f>IF(H25="","",IFERROR(INDEX(DB!$B$2:$U$2267,MATCH(UPPER(TRIM($H25)),DB!$B$2:$B$2267,0),4),IFERROR(INDEX(DB!$B$2:$U$2267,MATCH(UPPER(TRIM($H25)),DB!$J$2:$J$2267,0),4),"")))</f>
        <v/>
      </c>
      <c r="L27" s="6" t="str">
        <f>IF(H25="","",IFERROR(INDEX(DB!$B$2:$U$2267,MATCH(UPPER(TRIM($H25)),DB!$B$2:$B$2267,0),5),IFERROR(INDEX(DB!$B$2:$U$2267,MATCH(UPPER(TRIM($H25)),DB!$J$2:$J$2267,0),5),"")))</f>
        <v/>
      </c>
      <c r="M27" s="6" t="str">
        <f>IF(H25="","",IFERROR(INDEX(DB!$B$2:$U$2267,MATCH(UPPER(TRIM($H25)),DB!$B$2:$B$2267,0),6),IFERROR(INDEX(DB!$B$2:$U$2267,MATCH(UPPER(TRIM($H25)),DB!$J$2:$J$2267,0),6),"")))</f>
        <v/>
      </c>
      <c r="N27" s="6" t="str">
        <f>IF(H27="","",IFERROR(INDEX(DB!$B$2:$U$1713,MATCH(UPPER(TRIM(H27)),DB!$B$2:$B$1713,0),7),IFERROR(INDEX(DB!$B$2:$U$1713,MATCH(UPPER(TRIM(H27)),DB!$J$2:$J$1713,0),7),"")))</f>
        <v/>
      </c>
      <c r="O27" s="6"/>
      <c r="P27" s="6"/>
      <c r="Q27" s="6"/>
      <c r="R27" s="6"/>
      <c r="S27" s="6"/>
      <c r="T27" s="6"/>
      <c r="U27" s="6"/>
      <c r="V27" s="6" t="str">
        <f t="shared" si="3"/>
        <v/>
      </c>
      <c r="W27" s="6"/>
      <c r="X27" s="6" t="str">
        <f t="shared" si="4"/>
        <v/>
      </c>
      <c r="Y27" s="6" t="str">
        <f t="shared" si="5"/>
        <v/>
      </c>
      <c r="Z27" s="6" t="str">
        <f t="shared" si="6"/>
        <v/>
      </c>
      <c r="AA27" s="6"/>
      <c r="AB27" s="6"/>
      <c r="AC27" s="6"/>
      <c r="AD27" s="6" t="str">
        <f>IF(H27="","",IFERROR(INDEX(DB!$B$2:$U$1713,MATCH(UPPER(TRIM(H27)),DB!$B$2:$B$1713,0),8),IFERROR(INDEX(DB!$B$2:$U$1713,MATCH(UPPER(TRIM(H27)),DB!$J$2:$J$1713,0),8),"")))</f>
        <v/>
      </c>
      <c r="AE27" s="6"/>
      <c r="AF27" s="6"/>
      <c r="AG27" s="6"/>
      <c r="AI27" t="str">
        <f>IF(AI4&lt;&gt;"",HYPERLINK("https://echa.europa.eu/search-for-chemicals?search_criteria_ecnumber=" &amp; AI4,"ECHA"),"")</f>
        <v/>
      </c>
    </row>
    <row r="28" spans="1:35" ht="15" customHeight="1" x14ac:dyDescent="0.25">
      <c r="A28" s="4" t="str">
        <f t="shared" si="2"/>
        <v/>
      </c>
      <c r="B28" s="4"/>
      <c r="C28" s="4"/>
      <c r="D28" s="5" t="str">
        <f t="shared" si="7"/>
        <v/>
      </c>
      <c r="E28" s="4"/>
      <c r="F28" s="4"/>
      <c r="G28" s="4"/>
      <c r="H28" s="4"/>
      <c r="I28" s="4" t="str">
        <f>IFERROR(INDEX(DB!$C$2:$C$2267,MATCH(UPPER(TRIM($H26)),DB!$B$2:$B$2267,0)),IFERROR(INDEX(DB!$C$2:$C$2267,MATCH(UPPER(TRIM($H26)),DB!$J$2:$J$2267,0)),""))</f>
        <v/>
      </c>
      <c r="J28" s="4" t="str">
        <f>IF(H26="","",IFERROR(INDEX(DB!$B$2:$U$2267,MATCH(UPPER(TRIM($H26)),DB!$B$2:$B$2267,0),3),IFERROR(INDEX(DB!$B$2:$U$2267,MATCH(UPPER(TRIM($H26)),DB!$J$2:$J$2267,0),3),"")))</f>
        <v/>
      </c>
      <c r="K28" s="4" t="str">
        <f>IF(H26="","",IFERROR(INDEX(DB!$B$2:$U$2267,MATCH(UPPER(TRIM($H26)),DB!$B$2:$B$2267,0),4),IFERROR(INDEX(DB!$B$2:$U$2267,MATCH(UPPER(TRIM($H26)),DB!$J$2:$J$2267,0),4),"")))</f>
        <v/>
      </c>
      <c r="L28" s="4" t="str">
        <f>IF(H26="","",IFERROR(INDEX(DB!$B$2:$U$2267,MATCH(UPPER(TRIM($H26)),DB!$B$2:$B$2267,0),5),IFERROR(INDEX(DB!$B$2:$U$2267,MATCH(UPPER(TRIM($H26)),DB!$J$2:$J$2267,0),5),"")))</f>
        <v/>
      </c>
      <c r="M28" s="4" t="str">
        <f>IF(H26="","",IFERROR(INDEX(DB!$B$2:$U$2267,MATCH(UPPER(TRIM($H26)),DB!$B$2:$B$2267,0),6),IFERROR(INDEX(DB!$B$2:$U$2267,MATCH(UPPER(TRIM($H26)),DB!$J$2:$J$2267,0),6),"")))</f>
        <v/>
      </c>
      <c r="N28" s="4" t="str">
        <f>IF(H28="","",IFERROR(INDEX(DB!$B$2:$U$1713,MATCH(UPPER(TRIM(H28)),DB!$B$2:$B$1713,0),7),IFERROR(INDEX(DB!$B$2:$U$1713,MATCH(UPPER(TRIM(H28)),DB!$J$2:$J$1713,0),7),"")))</f>
        <v/>
      </c>
      <c r="O28" s="4"/>
      <c r="P28" s="4"/>
      <c r="Q28" s="4"/>
      <c r="R28" s="4"/>
      <c r="S28" s="4"/>
      <c r="T28" s="4"/>
      <c r="U28" s="4"/>
      <c r="V28" s="4" t="str">
        <f t="shared" si="3"/>
        <v/>
      </c>
      <c r="W28" s="4"/>
      <c r="X28" s="4" t="str">
        <f t="shared" si="4"/>
        <v/>
      </c>
      <c r="Y28" s="4" t="str">
        <f t="shared" si="5"/>
        <v/>
      </c>
      <c r="Z28" s="4" t="str">
        <f t="shared" si="6"/>
        <v/>
      </c>
      <c r="AA28" s="4"/>
      <c r="AB28" s="4"/>
      <c r="AC28" s="4"/>
      <c r="AD28" s="4" t="str">
        <f>IF(H28="","",IFERROR(INDEX(DB!$B$2:$U$1713,MATCH(UPPER(TRIM(H28)),DB!$B$2:$B$1713,0),8),IFERROR(INDEX(DB!$B$2:$U$1713,MATCH(UPPER(TRIM(H28)),DB!$J$2:$J$1713,0),8),"")))</f>
        <v/>
      </c>
      <c r="AE28" s="4"/>
      <c r="AF28" s="4"/>
      <c r="AG28" s="4"/>
      <c r="AI28" t="str">
        <f>IF(AI4&lt;&gt;"",HYPERLINK("https://echa.europa.eu/search-for-chemicals?search_criteria_ecnumber=" &amp; AI4,"ECHA"),"")</f>
        <v/>
      </c>
    </row>
    <row r="29" spans="1:35" ht="15" customHeight="1" x14ac:dyDescent="0.25">
      <c r="A29" s="6" t="str">
        <f t="shared" si="2"/>
        <v/>
      </c>
      <c r="B29" s="6"/>
      <c r="C29" s="6"/>
      <c r="D29" s="7" t="str">
        <f t="shared" si="7"/>
        <v/>
      </c>
      <c r="E29" s="6"/>
      <c r="F29" s="6"/>
      <c r="G29" s="6"/>
      <c r="H29" s="6"/>
      <c r="I29" s="6" t="str">
        <f>IFERROR(INDEX(DB!$C$2:$C$2267,MATCH(UPPER(TRIM($H27)),DB!$B$2:$B$2267,0)),IFERROR(INDEX(DB!$C$2:$C$2267,MATCH(UPPER(TRIM($H27)),DB!$J$2:$J$2267,0)),""))</f>
        <v/>
      </c>
      <c r="J29" s="6" t="str">
        <f>IF(H27="","",IFERROR(INDEX(DB!$B$2:$U$2267,MATCH(UPPER(TRIM($H27)),DB!$B$2:$B$2267,0),3),IFERROR(INDEX(DB!$B$2:$U$2267,MATCH(UPPER(TRIM($H27)),DB!$J$2:$J$2267,0),3),"")))</f>
        <v/>
      </c>
      <c r="K29" s="6" t="str">
        <f>IF(H27="","",IFERROR(INDEX(DB!$B$2:$U$2267,MATCH(UPPER(TRIM($H27)),DB!$B$2:$B$2267,0),4),IFERROR(INDEX(DB!$B$2:$U$2267,MATCH(UPPER(TRIM($H27)),DB!$J$2:$J$2267,0),4),"")))</f>
        <v/>
      </c>
      <c r="L29" s="6" t="str">
        <f>IF(H27="","",IFERROR(INDEX(DB!$B$2:$U$2267,MATCH(UPPER(TRIM($H27)),DB!$B$2:$B$2267,0),5),IFERROR(INDEX(DB!$B$2:$U$2267,MATCH(UPPER(TRIM($H27)),DB!$J$2:$J$2267,0),5),"")))</f>
        <v/>
      </c>
      <c r="M29" s="6" t="str">
        <f>IF(H27="","",IFERROR(INDEX(DB!$B$2:$U$2267,MATCH(UPPER(TRIM($H27)),DB!$B$2:$B$2267,0),6),IFERROR(INDEX(DB!$B$2:$U$2267,MATCH(UPPER(TRIM($H27)),DB!$J$2:$J$2267,0),6),"")))</f>
        <v/>
      </c>
      <c r="N29" s="6" t="str">
        <f>IF(H29="","",IFERROR(INDEX(DB!$B$2:$U$1713,MATCH(UPPER(TRIM(H29)),DB!$B$2:$B$1713,0),7),IFERROR(INDEX(DB!$B$2:$U$1713,MATCH(UPPER(TRIM(H29)),DB!$J$2:$J$1713,0),7),"")))</f>
        <v/>
      </c>
      <c r="O29" s="6"/>
      <c r="P29" s="6"/>
      <c r="Q29" s="6"/>
      <c r="R29" s="6"/>
      <c r="S29" s="6"/>
      <c r="T29" s="6"/>
      <c r="U29" s="6"/>
      <c r="V29" s="6" t="str">
        <f t="shared" si="3"/>
        <v/>
      </c>
      <c r="W29" s="6"/>
      <c r="X29" s="6" t="str">
        <f t="shared" si="4"/>
        <v/>
      </c>
      <c r="Y29" s="6" t="str">
        <f t="shared" si="5"/>
        <v/>
      </c>
      <c r="Z29" s="6" t="str">
        <f t="shared" si="6"/>
        <v/>
      </c>
      <c r="AA29" s="6"/>
      <c r="AB29" s="6"/>
      <c r="AC29" s="6"/>
      <c r="AD29" s="6" t="str">
        <f>IF(H29="","",IFERROR(INDEX(DB!$B$2:$U$1713,MATCH(UPPER(TRIM(H29)),DB!$B$2:$B$1713,0),8),IFERROR(INDEX(DB!$B$2:$U$1713,MATCH(UPPER(TRIM(H29)),DB!$J$2:$J$1713,0),8),"")))</f>
        <v/>
      </c>
      <c r="AE29" s="6"/>
      <c r="AF29" s="6"/>
      <c r="AG29" s="6"/>
      <c r="AI29" t="str">
        <f>IF(AI4&lt;&gt;"",HYPERLINK("https://echa.europa.eu/search-for-chemicals?search_criteria_ecnumber=" &amp; AI4,"ECHA"),"")</f>
        <v/>
      </c>
    </row>
    <row r="30" spans="1:35" ht="15" customHeight="1" x14ac:dyDescent="0.25">
      <c r="A30" s="4" t="str">
        <f t="shared" si="2"/>
        <v/>
      </c>
      <c r="B30" s="4"/>
      <c r="C30" s="4"/>
      <c r="D30" s="5" t="str">
        <f t="shared" si="7"/>
        <v/>
      </c>
      <c r="E30" s="4"/>
      <c r="F30" s="4"/>
      <c r="G30" s="4"/>
      <c r="H30" s="4"/>
      <c r="I30" s="4" t="str">
        <f>IFERROR(INDEX(DB!$C$2:$C$2267,MATCH(UPPER(TRIM($H28)),DB!$B$2:$B$2267,0)),IFERROR(INDEX(DB!$C$2:$C$2267,MATCH(UPPER(TRIM($H28)),DB!$J$2:$J$2267,0)),""))</f>
        <v/>
      </c>
      <c r="J30" s="4" t="str">
        <f>IF(H28="","",IFERROR(INDEX(DB!$B$2:$U$2267,MATCH(UPPER(TRIM($H28)),DB!$B$2:$B$2267,0),3),IFERROR(INDEX(DB!$B$2:$U$2267,MATCH(UPPER(TRIM($H28)),DB!$J$2:$J$2267,0),3),"")))</f>
        <v/>
      </c>
      <c r="K30" s="4" t="str">
        <f>IF(H28="","",IFERROR(INDEX(DB!$B$2:$U$2267,MATCH(UPPER(TRIM($H28)),DB!$B$2:$B$2267,0),4),IFERROR(INDEX(DB!$B$2:$U$2267,MATCH(UPPER(TRIM($H28)),DB!$J$2:$J$2267,0),4),"")))</f>
        <v/>
      </c>
      <c r="L30" s="4" t="str">
        <f>IF(H28="","",IFERROR(INDEX(DB!$B$2:$U$2267,MATCH(UPPER(TRIM($H28)),DB!$B$2:$B$2267,0),5),IFERROR(INDEX(DB!$B$2:$U$2267,MATCH(UPPER(TRIM($H28)),DB!$J$2:$J$2267,0),5),"")))</f>
        <v/>
      </c>
      <c r="M30" s="4" t="str">
        <f>IF(H28="","",IFERROR(INDEX(DB!$B$2:$U$2267,MATCH(UPPER(TRIM($H28)),DB!$B$2:$B$2267,0),6),IFERROR(INDEX(DB!$B$2:$U$2267,MATCH(UPPER(TRIM($H28)),DB!$J$2:$J$2267,0),6),"")))</f>
        <v/>
      </c>
      <c r="N30" s="4" t="str">
        <f>IF(H30="","",IFERROR(INDEX(DB!$B$2:$U$1713,MATCH(UPPER(TRIM(H30)),DB!$B$2:$B$1713,0),7),IFERROR(INDEX(DB!$B$2:$U$1713,MATCH(UPPER(TRIM(H30)),DB!$J$2:$J$1713,0),7),"")))</f>
        <v/>
      </c>
      <c r="O30" s="4"/>
      <c r="P30" s="4"/>
      <c r="Q30" s="4"/>
      <c r="R30" s="4"/>
      <c r="S30" s="4"/>
      <c r="T30" s="4"/>
      <c r="U30" s="4"/>
      <c r="V30" s="4" t="str">
        <f t="shared" si="3"/>
        <v/>
      </c>
      <c r="W30" s="4"/>
      <c r="X30" s="4" t="str">
        <f t="shared" si="4"/>
        <v/>
      </c>
      <c r="Y30" s="4" t="str">
        <f t="shared" si="5"/>
        <v/>
      </c>
      <c r="Z30" s="4" t="str">
        <f t="shared" si="6"/>
        <v/>
      </c>
      <c r="AA30" s="4"/>
      <c r="AB30" s="4"/>
      <c r="AC30" s="4"/>
      <c r="AD30" s="4" t="str">
        <f>IF(H30="","",IFERROR(INDEX(DB!$B$2:$U$1713,MATCH(UPPER(TRIM(H30)),DB!$B$2:$B$1713,0),8),IFERROR(INDEX(DB!$B$2:$U$1713,MATCH(UPPER(TRIM(H30)),DB!$J$2:$J$1713,0),8),"")))</f>
        <v/>
      </c>
      <c r="AE30" s="4"/>
      <c r="AF30" s="4"/>
      <c r="AG30" s="4"/>
      <c r="AI30" t="str">
        <f>IF(AI4&lt;&gt;"",HYPERLINK("https://echa.europa.eu/search-for-chemicals?search_criteria_ecnumber=" &amp; AI4,"ECHA"),"")</f>
        <v/>
      </c>
    </row>
    <row r="31" spans="1:35" ht="15" customHeight="1" x14ac:dyDescent="0.25">
      <c r="A31" s="6" t="str">
        <f t="shared" si="2"/>
        <v/>
      </c>
      <c r="B31" s="6"/>
      <c r="C31" s="6"/>
      <c r="D31" s="7" t="str">
        <f t="shared" si="7"/>
        <v/>
      </c>
      <c r="E31" s="6"/>
      <c r="F31" s="6"/>
      <c r="G31" s="6"/>
      <c r="H31" s="6"/>
      <c r="I31" s="6" t="str">
        <f>IFERROR(INDEX(DB!$C$2:$C$2267,MATCH(UPPER(TRIM($H29)),DB!$B$2:$B$2267,0)),IFERROR(INDEX(DB!$C$2:$C$2267,MATCH(UPPER(TRIM($H29)),DB!$J$2:$J$2267,0)),""))</f>
        <v/>
      </c>
      <c r="J31" s="6" t="str">
        <f>IF(H29="","",IFERROR(INDEX(DB!$B$2:$U$2267,MATCH(UPPER(TRIM($H29)),DB!$B$2:$B$2267,0),3),IFERROR(INDEX(DB!$B$2:$U$2267,MATCH(UPPER(TRIM($H29)),DB!$J$2:$J$2267,0),3),"")))</f>
        <v/>
      </c>
      <c r="K31" s="6" t="str">
        <f>IF(H29="","",IFERROR(INDEX(DB!$B$2:$U$2267,MATCH(UPPER(TRIM($H29)),DB!$B$2:$B$2267,0),4),IFERROR(INDEX(DB!$B$2:$U$2267,MATCH(UPPER(TRIM($H29)),DB!$J$2:$J$2267,0),4),"")))</f>
        <v/>
      </c>
      <c r="L31" s="6" t="str">
        <f>IF(H29="","",IFERROR(INDEX(DB!$B$2:$U$2267,MATCH(UPPER(TRIM($H29)),DB!$B$2:$B$2267,0),5),IFERROR(INDEX(DB!$B$2:$U$2267,MATCH(UPPER(TRIM($H29)),DB!$J$2:$J$2267,0),5),"")))</f>
        <v/>
      </c>
      <c r="M31" s="6" t="str">
        <f>IF(H29="","",IFERROR(INDEX(DB!$B$2:$U$2267,MATCH(UPPER(TRIM($H29)),DB!$B$2:$B$2267,0),6),IFERROR(INDEX(DB!$B$2:$U$2267,MATCH(UPPER(TRIM($H29)),DB!$J$2:$J$2267,0),6),"")))</f>
        <v/>
      </c>
      <c r="N31" s="6" t="str">
        <f>IF(H31="","",IFERROR(INDEX(DB!$B$2:$U$1713,MATCH(UPPER(TRIM(H31)),DB!$B$2:$B$1713,0),7),IFERROR(INDEX(DB!$B$2:$U$1713,MATCH(UPPER(TRIM(H31)),DB!$J$2:$J$1713,0),7),"")))</f>
        <v/>
      </c>
      <c r="O31" s="6"/>
      <c r="P31" s="6"/>
      <c r="Q31" s="6"/>
      <c r="R31" s="6"/>
      <c r="S31" s="6"/>
      <c r="T31" s="6"/>
      <c r="U31" s="6"/>
      <c r="V31" s="6" t="str">
        <f t="shared" si="3"/>
        <v/>
      </c>
      <c r="W31" s="6"/>
      <c r="X31" s="6" t="str">
        <f t="shared" si="4"/>
        <v/>
      </c>
      <c r="Y31" s="6" t="str">
        <f t="shared" si="5"/>
        <v/>
      </c>
      <c r="Z31" s="6" t="str">
        <f t="shared" si="6"/>
        <v/>
      </c>
      <c r="AA31" s="6"/>
      <c r="AB31" s="6"/>
      <c r="AC31" s="6"/>
      <c r="AD31" s="6" t="str">
        <f>IF(H31="","",IFERROR(INDEX(DB!$B$2:$U$1713,MATCH(UPPER(TRIM(H31)),DB!$B$2:$B$1713,0),8),IFERROR(INDEX(DB!$B$2:$U$1713,MATCH(UPPER(TRIM(H31)),DB!$J$2:$J$1713,0),8),"")))</f>
        <v/>
      </c>
      <c r="AE31" s="6"/>
      <c r="AF31" s="6"/>
      <c r="AG31" s="6"/>
      <c r="AI31" t="str">
        <f>IF(AI4&lt;&gt;"",HYPERLINK("https://echa.europa.eu/search-for-chemicals?search_criteria_ecnumber=" &amp; AI4,"ECHA"),"")</f>
        <v/>
      </c>
    </row>
    <row r="32" spans="1:35" ht="15" customHeight="1" x14ac:dyDescent="0.25">
      <c r="A32" s="4" t="str">
        <f t="shared" si="2"/>
        <v/>
      </c>
      <c r="B32" s="4"/>
      <c r="C32" s="4"/>
      <c r="D32" s="5" t="str">
        <f t="shared" si="7"/>
        <v/>
      </c>
      <c r="E32" s="4"/>
      <c r="F32" s="4"/>
      <c r="G32" s="4"/>
      <c r="H32" s="4"/>
      <c r="I32" s="4" t="str">
        <f>IFERROR(INDEX(DB!$C$2:$C$2267,MATCH(UPPER(TRIM($H30)),DB!$B$2:$B$2267,0)),IFERROR(INDEX(DB!$C$2:$C$2267,MATCH(UPPER(TRIM($H30)),DB!$J$2:$J$2267,0)),""))</f>
        <v/>
      </c>
      <c r="J32" s="4" t="str">
        <f>IF(H30="","",IFERROR(INDEX(DB!$B$2:$U$2267,MATCH(UPPER(TRIM($H30)),DB!$B$2:$B$2267,0),3),IFERROR(INDEX(DB!$B$2:$U$2267,MATCH(UPPER(TRIM($H30)),DB!$J$2:$J$2267,0),3),"")))</f>
        <v/>
      </c>
      <c r="K32" s="4" t="str">
        <f>IF(H30="","",IFERROR(INDEX(DB!$B$2:$U$2267,MATCH(UPPER(TRIM($H30)),DB!$B$2:$B$2267,0),4),IFERROR(INDEX(DB!$B$2:$U$2267,MATCH(UPPER(TRIM($H30)),DB!$J$2:$J$2267,0),4),"")))</f>
        <v/>
      </c>
      <c r="L32" s="4" t="str">
        <f>IF(H30="","",IFERROR(INDEX(DB!$B$2:$U$2267,MATCH(UPPER(TRIM($H30)),DB!$B$2:$B$2267,0),5),IFERROR(INDEX(DB!$B$2:$U$2267,MATCH(UPPER(TRIM($H30)),DB!$J$2:$J$2267,0),5),"")))</f>
        <v/>
      </c>
      <c r="M32" s="4" t="str">
        <f>IF(H30="","",IFERROR(INDEX(DB!$B$2:$U$2267,MATCH(UPPER(TRIM($H30)),DB!$B$2:$B$2267,0),6),IFERROR(INDEX(DB!$B$2:$U$2267,MATCH(UPPER(TRIM($H30)),DB!$J$2:$J$2267,0),6),"")))</f>
        <v/>
      </c>
      <c r="N32" s="4" t="str">
        <f>IF(H32="","",IFERROR(INDEX(DB!$B$2:$U$1713,MATCH(UPPER(TRIM(H32)),DB!$B$2:$B$1713,0),7),IFERROR(INDEX(DB!$B$2:$U$1713,MATCH(UPPER(TRIM(H32)),DB!$J$2:$J$1713,0),7),"")))</f>
        <v/>
      </c>
      <c r="O32" s="4"/>
      <c r="P32" s="4"/>
      <c r="Q32" s="4"/>
      <c r="R32" s="4"/>
      <c r="S32" s="4"/>
      <c r="T32" s="4"/>
      <c r="U32" s="4"/>
      <c r="V32" s="4" t="str">
        <f t="shared" si="3"/>
        <v/>
      </c>
      <c r="W32" s="4"/>
      <c r="X32" s="4" t="str">
        <f t="shared" si="4"/>
        <v/>
      </c>
      <c r="Y32" s="4" t="str">
        <f t="shared" si="5"/>
        <v/>
      </c>
      <c r="Z32" s="4" t="str">
        <f t="shared" si="6"/>
        <v/>
      </c>
      <c r="AA32" s="4"/>
      <c r="AB32" s="4"/>
      <c r="AC32" s="4"/>
      <c r="AD32" s="4" t="str">
        <f>IF(H32="","",IFERROR(INDEX(DB!$B$2:$U$1713,MATCH(UPPER(TRIM(H32)),DB!$B$2:$B$1713,0),8),IFERROR(INDEX(DB!$B$2:$U$1713,MATCH(UPPER(TRIM(H32)),DB!$J$2:$J$1713,0),8),"")))</f>
        <v/>
      </c>
      <c r="AE32" s="4"/>
      <c r="AF32" s="4"/>
      <c r="AG32" s="4"/>
      <c r="AI32" t="str">
        <f>IF(AI4&lt;&gt;"",HYPERLINK("https://echa.europa.eu/search-for-chemicals?search_criteria_ecnumber=" &amp; AI4,"ECHA"),"")</f>
        <v/>
      </c>
    </row>
    <row r="33" spans="1:35" ht="15" customHeight="1" x14ac:dyDescent="0.25">
      <c r="A33" s="6" t="str">
        <f t="shared" si="2"/>
        <v/>
      </c>
      <c r="B33" s="6"/>
      <c r="C33" s="6"/>
      <c r="D33" s="7" t="str">
        <f t="shared" si="7"/>
        <v/>
      </c>
      <c r="E33" s="6"/>
      <c r="F33" s="6"/>
      <c r="G33" s="6"/>
      <c r="H33" s="6"/>
      <c r="I33" s="6" t="str">
        <f>IFERROR(INDEX(DB!$C$2:$C$2267,MATCH(UPPER(TRIM($H31)),DB!$B$2:$B$2267,0)),IFERROR(INDEX(DB!$C$2:$C$2267,MATCH(UPPER(TRIM($H31)),DB!$J$2:$J$2267,0)),""))</f>
        <v/>
      </c>
      <c r="J33" s="6" t="str">
        <f>IF(H31="","",IFERROR(INDEX(DB!$B$2:$U$2267,MATCH(UPPER(TRIM($H31)),DB!$B$2:$B$2267,0),3),IFERROR(INDEX(DB!$B$2:$U$2267,MATCH(UPPER(TRIM($H31)),DB!$J$2:$J$2267,0),3),"")))</f>
        <v/>
      </c>
      <c r="K33" s="6" t="str">
        <f>IF(H31="","",IFERROR(INDEX(DB!$B$2:$U$2267,MATCH(UPPER(TRIM($H31)),DB!$B$2:$B$2267,0),4),IFERROR(INDEX(DB!$B$2:$U$2267,MATCH(UPPER(TRIM($H31)),DB!$J$2:$J$2267,0),4),"")))</f>
        <v/>
      </c>
      <c r="L33" s="6" t="str">
        <f>IF(H31="","",IFERROR(INDEX(DB!$B$2:$U$2267,MATCH(UPPER(TRIM($H31)),DB!$B$2:$B$2267,0),5),IFERROR(INDEX(DB!$B$2:$U$2267,MATCH(UPPER(TRIM($H31)),DB!$J$2:$J$2267,0),5),"")))</f>
        <v/>
      </c>
      <c r="M33" s="6" t="str">
        <f>IF(H31="","",IFERROR(INDEX(DB!$B$2:$U$2267,MATCH(UPPER(TRIM($H31)),DB!$B$2:$B$2267,0),6),IFERROR(INDEX(DB!$B$2:$U$2267,MATCH(UPPER(TRIM($H31)),DB!$J$2:$J$2267,0),6),"")))</f>
        <v/>
      </c>
      <c r="N33" s="6" t="str">
        <f>IF(H33="","",IFERROR(INDEX(DB!$B$2:$U$1713,MATCH(UPPER(TRIM(H33)),DB!$B$2:$B$1713,0),7),IFERROR(INDEX(DB!$B$2:$U$1713,MATCH(UPPER(TRIM(H33)),DB!$J$2:$J$1713,0),7),"")))</f>
        <v/>
      </c>
      <c r="O33" s="6"/>
      <c r="P33" s="6"/>
      <c r="Q33" s="6"/>
      <c r="R33" s="6"/>
      <c r="S33" s="6"/>
      <c r="T33" s="6"/>
      <c r="U33" s="6"/>
      <c r="V33" s="6" t="str">
        <f t="shared" si="3"/>
        <v/>
      </c>
      <c r="W33" s="6"/>
      <c r="X33" s="6" t="str">
        <f t="shared" si="4"/>
        <v/>
      </c>
      <c r="Y33" s="6" t="str">
        <f t="shared" si="5"/>
        <v/>
      </c>
      <c r="Z33" s="6" t="str">
        <f t="shared" si="6"/>
        <v/>
      </c>
      <c r="AA33" s="6"/>
      <c r="AB33" s="6"/>
      <c r="AC33" s="6"/>
      <c r="AD33" s="6" t="str">
        <f>IF(H33="","",IFERROR(INDEX(DB!$B$2:$U$1713,MATCH(UPPER(TRIM(H33)),DB!$B$2:$B$1713,0),8),IFERROR(INDEX(DB!$B$2:$U$1713,MATCH(UPPER(TRIM(H33)),DB!$J$2:$J$1713,0),8),"")))</f>
        <v/>
      </c>
      <c r="AE33" s="6"/>
      <c r="AF33" s="6"/>
      <c r="AG33" s="6"/>
      <c r="AI33" t="str">
        <f>IF(AI4&lt;&gt;"",HYPERLINK("https://echa.europa.eu/search-for-chemicals?search_criteria_ecnumber=" &amp; AI4,"ECHA"),"")</f>
        <v/>
      </c>
    </row>
    <row r="34" spans="1:35" ht="15" customHeight="1" x14ac:dyDescent="0.25">
      <c r="A34" s="4" t="str">
        <f t="shared" si="2"/>
        <v/>
      </c>
      <c r="B34" s="4"/>
      <c r="C34" s="4"/>
      <c r="D34" s="5" t="str">
        <f t="shared" si="7"/>
        <v/>
      </c>
      <c r="E34" s="4"/>
      <c r="F34" s="4"/>
      <c r="G34" s="4"/>
      <c r="H34" s="4"/>
      <c r="I34" s="4" t="str">
        <f>IFERROR(INDEX(DB!$C$2:$C$2267,MATCH(UPPER(TRIM($H32)),DB!$B$2:$B$2267,0)),IFERROR(INDEX(DB!$C$2:$C$2267,MATCH(UPPER(TRIM($H32)),DB!$J$2:$J$2267,0)),""))</f>
        <v/>
      </c>
      <c r="J34" s="4" t="str">
        <f>IF(H32="","",IFERROR(INDEX(DB!$B$2:$U$2267,MATCH(UPPER(TRIM($H32)),DB!$B$2:$B$2267,0),3),IFERROR(INDEX(DB!$B$2:$U$2267,MATCH(UPPER(TRIM($H32)),DB!$J$2:$J$2267,0),3),"")))</f>
        <v/>
      </c>
      <c r="K34" s="4" t="str">
        <f>IF(H32="","",IFERROR(INDEX(DB!$B$2:$U$2267,MATCH(UPPER(TRIM($H32)),DB!$B$2:$B$2267,0),4),IFERROR(INDEX(DB!$B$2:$U$2267,MATCH(UPPER(TRIM($H32)),DB!$J$2:$J$2267,0),4),"")))</f>
        <v/>
      </c>
      <c r="L34" s="4" t="str">
        <f>IF(H32="","",IFERROR(INDEX(DB!$B$2:$U$2267,MATCH(UPPER(TRIM($H32)),DB!$B$2:$B$2267,0),5),IFERROR(INDEX(DB!$B$2:$U$2267,MATCH(UPPER(TRIM($H32)),DB!$J$2:$J$2267,0),5),"")))</f>
        <v/>
      </c>
      <c r="M34" s="4" t="str">
        <f>IF(H32="","",IFERROR(INDEX(DB!$B$2:$U$2267,MATCH(UPPER(TRIM($H32)),DB!$B$2:$B$2267,0),6),IFERROR(INDEX(DB!$B$2:$U$2267,MATCH(UPPER(TRIM($H32)),DB!$J$2:$J$2267,0),6),"")))</f>
        <v/>
      </c>
      <c r="N34" s="4" t="str">
        <f>IF(H34="","",IFERROR(INDEX(DB!$B$2:$U$1713,MATCH(UPPER(TRIM(H34)),DB!$B$2:$B$1713,0),7),IFERROR(INDEX(DB!$B$2:$U$1713,MATCH(UPPER(TRIM(H34)),DB!$J$2:$J$1713,0),7),"")))</f>
        <v/>
      </c>
      <c r="O34" s="4"/>
      <c r="P34" s="4"/>
      <c r="Q34" s="4"/>
      <c r="R34" s="4"/>
      <c r="S34" s="4"/>
      <c r="T34" s="4"/>
      <c r="U34" s="4"/>
      <c r="V34" s="4" t="str">
        <f t="shared" si="3"/>
        <v/>
      </c>
      <c r="W34" s="4"/>
      <c r="X34" s="4" t="str">
        <f t="shared" si="4"/>
        <v/>
      </c>
      <c r="Y34" s="4" t="str">
        <f t="shared" si="5"/>
        <v/>
      </c>
      <c r="Z34" s="4" t="str">
        <f t="shared" si="6"/>
        <v/>
      </c>
      <c r="AA34" s="4"/>
      <c r="AB34" s="4"/>
      <c r="AC34" s="4"/>
      <c r="AD34" s="4" t="str">
        <f>IF(H34="","",IFERROR(INDEX(DB!$B$2:$U$1713,MATCH(UPPER(TRIM(H34)),DB!$B$2:$B$1713,0),8),IFERROR(INDEX(DB!$B$2:$U$1713,MATCH(UPPER(TRIM(H34)),DB!$J$2:$J$1713,0),8),"")))</f>
        <v/>
      </c>
      <c r="AE34" s="4"/>
      <c r="AF34" s="4"/>
      <c r="AG34" s="4"/>
      <c r="AI34" t="str">
        <f>IF(AI4&lt;&gt;"",HYPERLINK("https://echa.europa.eu/search-for-chemicals?search_criteria_ecnumber=" &amp; AI4,"ECHA"),"")</f>
        <v/>
      </c>
    </row>
    <row r="35" spans="1:35" ht="15" customHeight="1" x14ac:dyDescent="0.25">
      <c r="A35" s="6" t="str">
        <f t="shared" si="2"/>
        <v/>
      </c>
      <c r="B35" s="6"/>
      <c r="C35" s="6"/>
      <c r="D35" s="7" t="str">
        <f t="shared" si="7"/>
        <v/>
      </c>
      <c r="E35" s="6"/>
      <c r="F35" s="6"/>
      <c r="G35" s="6"/>
      <c r="H35" s="6"/>
      <c r="I35" s="6" t="str">
        <f>IFERROR(INDEX(DB!$C$2:$C$2267,MATCH(UPPER(TRIM($H33)),DB!$B$2:$B$2267,0)),IFERROR(INDEX(DB!$C$2:$C$2267,MATCH(UPPER(TRIM($H33)),DB!$J$2:$J$2267,0)),""))</f>
        <v/>
      </c>
      <c r="J35" s="6" t="str">
        <f>IF(H33="","",IFERROR(INDEX(DB!$B$2:$U$2267,MATCH(UPPER(TRIM($H33)),DB!$B$2:$B$2267,0),3),IFERROR(INDEX(DB!$B$2:$U$2267,MATCH(UPPER(TRIM($H33)),DB!$J$2:$J$2267,0),3),"")))</f>
        <v/>
      </c>
      <c r="K35" s="6" t="str">
        <f>IF(H33="","",IFERROR(INDEX(DB!$B$2:$U$2267,MATCH(UPPER(TRIM($H33)),DB!$B$2:$B$2267,0),4),IFERROR(INDEX(DB!$B$2:$U$2267,MATCH(UPPER(TRIM($H33)),DB!$J$2:$J$2267,0),4),"")))</f>
        <v/>
      </c>
      <c r="L35" s="6" t="str">
        <f>IF(H33="","",IFERROR(INDEX(DB!$B$2:$U$2267,MATCH(UPPER(TRIM($H33)),DB!$B$2:$B$2267,0),5),IFERROR(INDEX(DB!$B$2:$U$2267,MATCH(UPPER(TRIM($H33)),DB!$J$2:$J$2267,0),5),"")))</f>
        <v/>
      </c>
      <c r="M35" s="6" t="str">
        <f>IF(H33="","",IFERROR(INDEX(DB!$B$2:$U$2267,MATCH(UPPER(TRIM($H33)),DB!$B$2:$B$2267,0),6),IFERROR(INDEX(DB!$B$2:$U$2267,MATCH(UPPER(TRIM($H33)),DB!$J$2:$J$2267,0),6),"")))</f>
        <v/>
      </c>
      <c r="N35" s="6" t="str">
        <f>IF(H35="","",IFERROR(INDEX(DB!$B$2:$U$1713,MATCH(UPPER(TRIM(H35)),DB!$B$2:$B$1713,0),7),IFERROR(INDEX(DB!$B$2:$U$1713,MATCH(UPPER(TRIM(H35)),DB!$J$2:$J$1713,0),7),"")))</f>
        <v/>
      </c>
      <c r="O35" s="6"/>
      <c r="P35" s="6"/>
      <c r="Q35" s="6"/>
      <c r="R35" s="6"/>
      <c r="S35" s="6"/>
      <c r="T35" s="6"/>
      <c r="U35" s="6"/>
      <c r="V35" s="6" t="str">
        <f t="shared" si="3"/>
        <v/>
      </c>
      <c r="W35" s="6"/>
      <c r="X35" s="6" t="str">
        <f t="shared" si="4"/>
        <v/>
      </c>
      <c r="Y35" s="6" t="str">
        <f t="shared" si="5"/>
        <v/>
      </c>
      <c r="Z35" s="6" t="str">
        <f t="shared" si="6"/>
        <v/>
      </c>
      <c r="AA35" s="6"/>
      <c r="AB35" s="6"/>
      <c r="AC35" s="6"/>
      <c r="AD35" s="6" t="str">
        <f>IF(H35="","",IFERROR(INDEX(DB!$B$2:$U$1713,MATCH(UPPER(TRIM(H35)),DB!$B$2:$B$1713,0),8),IFERROR(INDEX(DB!$B$2:$U$1713,MATCH(UPPER(TRIM(H35)),DB!$J$2:$J$1713,0),8),"")))</f>
        <v/>
      </c>
      <c r="AE35" s="6"/>
      <c r="AF35" s="6"/>
      <c r="AG35" s="6"/>
      <c r="AI35" t="str">
        <f>IF(AI4&lt;&gt;"",HYPERLINK("https://echa.europa.eu/search-for-chemicals?search_criteria_ecnumber=" &amp; AI4,"ECHA"),"")</f>
        <v/>
      </c>
    </row>
    <row r="36" spans="1:35" ht="15" customHeight="1" x14ac:dyDescent="0.25">
      <c r="A36" s="4" t="str">
        <f t="shared" si="2"/>
        <v/>
      </c>
      <c r="B36" s="4"/>
      <c r="C36" s="4"/>
      <c r="D36" s="5" t="str">
        <f t="shared" si="7"/>
        <v/>
      </c>
      <c r="E36" s="4"/>
      <c r="F36" s="4"/>
      <c r="G36" s="4"/>
      <c r="H36" s="4"/>
      <c r="I36" s="4" t="str">
        <f>IFERROR(INDEX(DB!$C$2:$C$2267,MATCH(UPPER(TRIM($H34)),DB!$B$2:$B$2267,0)),IFERROR(INDEX(DB!$C$2:$C$2267,MATCH(UPPER(TRIM($H34)),DB!$J$2:$J$2267,0)),""))</f>
        <v/>
      </c>
      <c r="J36" s="4" t="str">
        <f>IF(H34="","",IFERROR(INDEX(DB!$B$2:$U$2267,MATCH(UPPER(TRIM($H34)),DB!$B$2:$B$2267,0),3),IFERROR(INDEX(DB!$B$2:$U$2267,MATCH(UPPER(TRIM($H34)),DB!$J$2:$J$2267,0),3),"")))</f>
        <v/>
      </c>
      <c r="K36" s="4" t="str">
        <f>IF(H34="","",IFERROR(INDEX(DB!$B$2:$U$2267,MATCH(UPPER(TRIM($H34)),DB!$B$2:$B$2267,0),4),IFERROR(INDEX(DB!$B$2:$U$2267,MATCH(UPPER(TRIM($H34)),DB!$J$2:$J$2267,0),4),"")))</f>
        <v/>
      </c>
      <c r="L36" s="4" t="str">
        <f>IF(H34="","",IFERROR(INDEX(DB!$B$2:$U$2267,MATCH(UPPER(TRIM($H34)),DB!$B$2:$B$2267,0),5),IFERROR(INDEX(DB!$B$2:$U$2267,MATCH(UPPER(TRIM($H34)),DB!$J$2:$J$2267,0),5),"")))</f>
        <v/>
      </c>
      <c r="M36" s="4" t="str">
        <f>IF(H34="","",IFERROR(INDEX(DB!$B$2:$U$2267,MATCH(UPPER(TRIM($H34)),DB!$B$2:$B$2267,0),6),IFERROR(INDEX(DB!$B$2:$U$2267,MATCH(UPPER(TRIM($H34)),DB!$J$2:$J$2267,0),6),"")))</f>
        <v/>
      </c>
      <c r="N36" s="4" t="str">
        <f>IF(H36="","",IFERROR(INDEX(DB!$B$2:$U$1713,MATCH(UPPER(TRIM(H36)),DB!$B$2:$B$1713,0),7),IFERROR(INDEX(DB!$B$2:$U$1713,MATCH(UPPER(TRIM(H36)),DB!$J$2:$J$1713,0),7),"")))</f>
        <v/>
      </c>
      <c r="O36" s="4"/>
      <c r="P36" s="4"/>
      <c r="Q36" s="4"/>
      <c r="R36" s="4"/>
      <c r="S36" s="4"/>
      <c r="T36" s="4"/>
      <c r="U36" s="4"/>
      <c r="V36" s="4" t="str">
        <f t="shared" si="3"/>
        <v/>
      </c>
      <c r="W36" s="4"/>
      <c r="X36" s="4" t="str">
        <f t="shared" si="4"/>
        <v/>
      </c>
      <c r="Y36" s="4" t="str">
        <f t="shared" si="5"/>
        <v/>
      </c>
      <c r="Z36" s="4" t="str">
        <f t="shared" si="6"/>
        <v/>
      </c>
      <c r="AA36" s="4"/>
      <c r="AB36" s="4"/>
      <c r="AC36" s="4"/>
      <c r="AD36" s="4" t="str">
        <f>IF(H36="","",IFERROR(INDEX(DB!$B$2:$U$1713,MATCH(UPPER(TRIM(H36)),DB!$B$2:$B$1713,0),8),IFERROR(INDEX(DB!$B$2:$U$1713,MATCH(UPPER(TRIM(H36)),DB!$J$2:$J$1713,0),8),"")))</f>
        <v/>
      </c>
      <c r="AE36" s="4"/>
      <c r="AF36" s="4"/>
      <c r="AG36" s="4"/>
      <c r="AI36" t="str">
        <f>IF(AI4&lt;&gt;"",HYPERLINK("https://echa.europa.eu/search-for-chemicals?search_criteria_ecnumber=" &amp; AI4,"ECHA"),"")</f>
        <v/>
      </c>
    </row>
    <row r="37" spans="1:35" ht="15" customHeight="1" x14ac:dyDescent="0.25">
      <c r="A37" s="6" t="str">
        <f t="shared" si="2"/>
        <v/>
      </c>
      <c r="B37" s="6"/>
      <c r="C37" s="6"/>
      <c r="D37" s="7" t="str">
        <f t="shared" si="7"/>
        <v/>
      </c>
      <c r="E37" s="6"/>
      <c r="F37" s="6"/>
      <c r="G37" s="6"/>
      <c r="H37" s="6"/>
      <c r="I37" s="6" t="str">
        <f>IFERROR(INDEX(DB!$C$2:$C$2267,MATCH(UPPER(TRIM($H35)),DB!$B$2:$B$2267,0)),IFERROR(INDEX(DB!$C$2:$C$2267,MATCH(UPPER(TRIM($H35)),DB!$J$2:$J$2267,0)),""))</f>
        <v/>
      </c>
      <c r="J37" s="6" t="str">
        <f>IF(H35="","",IFERROR(INDEX(DB!$B$2:$U$2267,MATCH(UPPER(TRIM($H35)),DB!$B$2:$B$2267,0),3),IFERROR(INDEX(DB!$B$2:$U$2267,MATCH(UPPER(TRIM($H35)),DB!$J$2:$J$2267,0),3),"")))</f>
        <v/>
      </c>
      <c r="K37" s="6" t="str">
        <f>IF(H35="","",IFERROR(INDEX(DB!$B$2:$U$2267,MATCH(UPPER(TRIM($H35)),DB!$B$2:$B$2267,0),4),IFERROR(INDEX(DB!$B$2:$U$2267,MATCH(UPPER(TRIM($H35)),DB!$J$2:$J$2267,0),4),"")))</f>
        <v/>
      </c>
      <c r="L37" s="6" t="str">
        <f>IF(H35="","",IFERROR(INDEX(DB!$B$2:$U$2267,MATCH(UPPER(TRIM($H35)),DB!$B$2:$B$2267,0),5),IFERROR(INDEX(DB!$B$2:$U$2267,MATCH(UPPER(TRIM($H35)),DB!$J$2:$J$2267,0),5),"")))</f>
        <v/>
      </c>
      <c r="M37" s="6" t="str">
        <f>IF(H35="","",IFERROR(INDEX(DB!$B$2:$U$2267,MATCH(UPPER(TRIM($H35)),DB!$B$2:$B$2267,0),6),IFERROR(INDEX(DB!$B$2:$U$2267,MATCH(UPPER(TRIM($H35)),DB!$J$2:$J$2267,0),6),"")))</f>
        <v/>
      </c>
      <c r="N37" s="6" t="str">
        <f>IF(H37="","",IFERROR(INDEX(DB!$B$2:$U$1713,MATCH(UPPER(TRIM(H37)),DB!$B$2:$B$1713,0),7),IFERROR(INDEX(DB!$B$2:$U$1713,MATCH(UPPER(TRIM(H37)),DB!$J$2:$J$1713,0),7),"")))</f>
        <v/>
      </c>
      <c r="O37" s="6"/>
      <c r="P37" s="6"/>
      <c r="Q37" s="6"/>
      <c r="R37" s="6"/>
      <c r="S37" s="6"/>
      <c r="T37" s="6"/>
      <c r="U37" s="6"/>
      <c r="V37" s="6" t="str">
        <f t="shared" si="3"/>
        <v/>
      </c>
      <c r="W37" s="6"/>
      <c r="X37" s="6" t="str">
        <f t="shared" si="4"/>
        <v/>
      </c>
      <c r="Y37" s="6" t="str">
        <f t="shared" si="5"/>
        <v/>
      </c>
      <c r="Z37" s="6" t="str">
        <f t="shared" si="6"/>
        <v/>
      </c>
      <c r="AA37" s="6"/>
      <c r="AB37" s="6"/>
      <c r="AC37" s="6"/>
      <c r="AD37" s="6" t="str">
        <f>IF(H37="","",IFERROR(INDEX(DB!$B$2:$U$1713,MATCH(UPPER(TRIM(H37)),DB!$B$2:$B$1713,0),8),IFERROR(INDEX(DB!$B$2:$U$1713,MATCH(UPPER(TRIM(H37)),DB!$J$2:$J$1713,0),8),"")))</f>
        <v/>
      </c>
      <c r="AE37" s="6"/>
      <c r="AF37" s="6"/>
      <c r="AG37" s="6"/>
      <c r="AI37" t="str">
        <f>IF(AI4&lt;&gt;"",HYPERLINK("https://echa.europa.eu/search-for-chemicals?search_criteria_ecnumber=" &amp; AI4,"ECHA"),"")</f>
        <v/>
      </c>
    </row>
    <row r="38" spans="1:35" ht="15" customHeight="1" x14ac:dyDescent="0.25">
      <c r="A38" s="4" t="str">
        <f t="shared" si="2"/>
        <v/>
      </c>
      <c r="B38" s="4"/>
      <c r="C38" s="4"/>
      <c r="D38" s="5" t="str">
        <f t="shared" si="7"/>
        <v/>
      </c>
      <c r="E38" s="4"/>
      <c r="F38" s="4"/>
      <c r="G38" s="4"/>
      <c r="H38" s="4"/>
      <c r="I38" s="4" t="str">
        <f>IFERROR(INDEX(DB!$C$2:$C$2267,MATCH(UPPER(TRIM($H36)),DB!$B$2:$B$2267,0)),IFERROR(INDEX(DB!$C$2:$C$2267,MATCH(UPPER(TRIM($H36)),DB!$J$2:$J$2267,0)),""))</f>
        <v/>
      </c>
      <c r="J38" s="4" t="str">
        <f>IF(H36="","",IFERROR(INDEX(DB!$B$2:$U$2267,MATCH(UPPER(TRIM($H36)),DB!$B$2:$B$2267,0),3),IFERROR(INDEX(DB!$B$2:$U$2267,MATCH(UPPER(TRIM($H36)),DB!$J$2:$J$2267,0),3),"")))</f>
        <v/>
      </c>
      <c r="K38" s="4" t="str">
        <f>IF(H36="","",IFERROR(INDEX(DB!$B$2:$U$2267,MATCH(UPPER(TRIM($H36)),DB!$B$2:$B$2267,0),4),IFERROR(INDEX(DB!$B$2:$U$2267,MATCH(UPPER(TRIM($H36)),DB!$J$2:$J$2267,0),4),"")))</f>
        <v/>
      </c>
      <c r="L38" s="4" t="str">
        <f>IF(H36="","",IFERROR(INDEX(DB!$B$2:$U$2267,MATCH(UPPER(TRIM($H36)),DB!$B$2:$B$2267,0),5),IFERROR(INDEX(DB!$B$2:$U$2267,MATCH(UPPER(TRIM($H36)),DB!$J$2:$J$2267,0),5),"")))</f>
        <v/>
      </c>
      <c r="M38" s="4" t="str">
        <f>IF(H36="","",IFERROR(INDEX(DB!$B$2:$U$2267,MATCH(UPPER(TRIM($H36)),DB!$B$2:$B$2267,0),6),IFERROR(INDEX(DB!$B$2:$U$2267,MATCH(UPPER(TRIM($H36)),DB!$J$2:$J$2267,0),6),"")))</f>
        <v/>
      </c>
      <c r="N38" s="4" t="str">
        <f>IF(H38="","",IFERROR(INDEX(DB!$B$2:$U$1713,MATCH(UPPER(TRIM(H38)),DB!$B$2:$B$1713,0),7),IFERROR(INDEX(DB!$B$2:$U$1713,MATCH(UPPER(TRIM(H38)),DB!$J$2:$J$1713,0),7),"")))</f>
        <v/>
      </c>
      <c r="O38" s="4"/>
      <c r="P38" s="4"/>
      <c r="Q38" s="4"/>
      <c r="R38" s="4"/>
      <c r="S38" s="4"/>
      <c r="T38" s="4"/>
      <c r="U38" s="4"/>
      <c r="V38" s="4" t="str">
        <f t="shared" si="3"/>
        <v/>
      </c>
      <c r="W38" s="4"/>
      <c r="X38" s="4" t="str">
        <f t="shared" si="4"/>
        <v/>
      </c>
      <c r="Y38" s="4" t="str">
        <f t="shared" si="5"/>
        <v/>
      </c>
      <c r="Z38" s="4" t="str">
        <f t="shared" si="6"/>
        <v/>
      </c>
      <c r="AA38" s="4"/>
      <c r="AB38" s="4"/>
      <c r="AC38" s="4"/>
      <c r="AD38" s="4" t="str">
        <f>IF(H38="","",IFERROR(INDEX(DB!$B$2:$U$1713,MATCH(UPPER(TRIM(H38)),DB!$B$2:$B$1713,0),8),IFERROR(INDEX(DB!$B$2:$U$1713,MATCH(UPPER(TRIM(H38)),DB!$J$2:$J$1713,0),8),"")))</f>
        <v/>
      </c>
      <c r="AE38" s="4"/>
      <c r="AF38" s="4"/>
      <c r="AG38" s="4"/>
      <c r="AI38" t="str">
        <f>IF(AI4&lt;&gt;"",HYPERLINK("https://echa.europa.eu/search-for-chemicals?search_criteria_ecnumber=" &amp; AI4,"ECHA"),"")</f>
        <v/>
      </c>
    </row>
    <row r="39" spans="1:35" ht="15" customHeight="1" x14ac:dyDescent="0.25">
      <c r="A39" s="6" t="str">
        <f t="shared" si="2"/>
        <v/>
      </c>
      <c r="B39" s="6"/>
      <c r="C39" s="6"/>
      <c r="D39" s="7" t="str">
        <f t="shared" si="7"/>
        <v/>
      </c>
      <c r="E39" s="6"/>
      <c r="F39" s="6"/>
      <c r="G39" s="6"/>
      <c r="H39" s="6"/>
      <c r="I39" s="6" t="str">
        <f>IFERROR(INDEX(DB!$C$2:$C$2267,MATCH(UPPER(TRIM($H37)),DB!$B$2:$B$2267,0)),IFERROR(INDEX(DB!$C$2:$C$2267,MATCH(UPPER(TRIM($H37)),DB!$J$2:$J$2267,0)),""))</f>
        <v/>
      </c>
      <c r="J39" s="6" t="str">
        <f>IF(H37="","",IFERROR(INDEX(DB!$B$2:$U$2267,MATCH(UPPER(TRIM($H37)),DB!$B$2:$B$2267,0),3),IFERROR(INDEX(DB!$B$2:$U$2267,MATCH(UPPER(TRIM($H37)),DB!$J$2:$J$2267,0),3),"")))</f>
        <v/>
      </c>
      <c r="K39" s="6" t="str">
        <f>IF(H37="","",IFERROR(INDEX(DB!$B$2:$U$2267,MATCH(UPPER(TRIM($H37)),DB!$B$2:$B$2267,0),4),IFERROR(INDEX(DB!$B$2:$U$2267,MATCH(UPPER(TRIM($H37)),DB!$J$2:$J$2267,0),4),"")))</f>
        <v/>
      </c>
      <c r="L39" s="6" t="str">
        <f>IF(H37="","",IFERROR(INDEX(DB!$B$2:$U$2267,MATCH(UPPER(TRIM($H37)),DB!$B$2:$B$2267,0),5),IFERROR(INDEX(DB!$B$2:$U$2267,MATCH(UPPER(TRIM($H37)),DB!$J$2:$J$2267,0),5),"")))</f>
        <v/>
      </c>
      <c r="M39" s="6" t="str">
        <f>IF(H37="","",IFERROR(INDEX(DB!$B$2:$U$2267,MATCH(UPPER(TRIM($H37)),DB!$B$2:$B$2267,0),6),IFERROR(INDEX(DB!$B$2:$U$2267,MATCH(UPPER(TRIM($H37)),DB!$J$2:$J$2267,0),6),"")))</f>
        <v/>
      </c>
      <c r="N39" s="6" t="str">
        <f>IF(H39="","",IFERROR(INDEX(DB!$B$2:$U$1713,MATCH(UPPER(TRIM(H39)),DB!$B$2:$B$1713,0),7),IFERROR(INDEX(DB!$B$2:$U$1713,MATCH(UPPER(TRIM(H39)),DB!$J$2:$J$1713,0),7),"")))</f>
        <v/>
      </c>
      <c r="O39" s="6"/>
      <c r="P39" s="6"/>
      <c r="Q39" s="6"/>
      <c r="R39" s="6"/>
      <c r="S39" s="6"/>
      <c r="T39" s="6"/>
      <c r="U39" s="6"/>
      <c r="V39" s="6" t="str">
        <f t="shared" si="3"/>
        <v/>
      </c>
      <c r="W39" s="6"/>
      <c r="X39" s="6" t="str">
        <f t="shared" si="4"/>
        <v/>
      </c>
      <c r="Y39" s="6" t="str">
        <f t="shared" si="5"/>
        <v/>
      </c>
      <c r="Z39" s="6" t="str">
        <f t="shared" si="6"/>
        <v/>
      </c>
      <c r="AA39" s="6"/>
      <c r="AB39" s="6"/>
      <c r="AC39" s="6"/>
      <c r="AD39" s="6" t="str">
        <f>IF(H39="","",IFERROR(INDEX(DB!$B$2:$U$1713,MATCH(UPPER(TRIM(H39)),DB!$B$2:$B$1713,0),8),IFERROR(INDEX(DB!$B$2:$U$1713,MATCH(UPPER(TRIM(H39)),DB!$J$2:$J$1713,0),8),"")))</f>
        <v/>
      </c>
      <c r="AE39" s="6"/>
      <c r="AF39" s="6"/>
      <c r="AG39" s="6"/>
      <c r="AI39" t="str">
        <f>IF(AI4&lt;&gt;"",HYPERLINK("https://echa.europa.eu/search-for-chemicals?search_criteria_ecnumber=" &amp; AI4,"ECHA"),"")</f>
        <v/>
      </c>
    </row>
    <row r="40" spans="1:35" ht="15" customHeight="1" x14ac:dyDescent="0.25">
      <c r="A40" s="4" t="str">
        <f t="shared" si="2"/>
        <v/>
      </c>
      <c r="B40" s="4"/>
      <c r="C40" s="4"/>
      <c r="D40" s="5" t="str">
        <f t="shared" si="7"/>
        <v/>
      </c>
      <c r="E40" s="4"/>
      <c r="F40" s="4"/>
      <c r="G40" s="4"/>
      <c r="H40" s="4"/>
      <c r="I40" s="4" t="str">
        <f>IFERROR(INDEX(DB!$C$2:$C$2267,MATCH(UPPER(TRIM($H38)),DB!$B$2:$B$2267,0)),IFERROR(INDEX(DB!$C$2:$C$2267,MATCH(UPPER(TRIM($H38)),DB!$J$2:$J$2267,0)),""))</f>
        <v/>
      </c>
      <c r="J40" s="4" t="str">
        <f>IF(H38="","",IFERROR(INDEX(DB!$B$2:$U$2267,MATCH(UPPER(TRIM($H38)),DB!$B$2:$B$2267,0),3),IFERROR(INDEX(DB!$B$2:$U$2267,MATCH(UPPER(TRIM($H38)),DB!$J$2:$J$2267,0),3),"")))</f>
        <v/>
      </c>
      <c r="K40" s="4" t="str">
        <f>IF(H38="","",IFERROR(INDEX(DB!$B$2:$U$2267,MATCH(UPPER(TRIM($H38)),DB!$B$2:$B$2267,0),4),IFERROR(INDEX(DB!$B$2:$U$2267,MATCH(UPPER(TRIM($H38)),DB!$J$2:$J$2267,0),4),"")))</f>
        <v/>
      </c>
      <c r="L40" s="4" t="str">
        <f>IF(H38="","",IFERROR(INDEX(DB!$B$2:$U$2267,MATCH(UPPER(TRIM($H38)),DB!$B$2:$B$2267,0),5),IFERROR(INDEX(DB!$B$2:$U$2267,MATCH(UPPER(TRIM($H38)),DB!$J$2:$J$2267,0),5),"")))</f>
        <v/>
      </c>
      <c r="M40" s="4" t="str">
        <f>IF(H38="","",IFERROR(INDEX(DB!$B$2:$U$2267,MATCH(UPPER(TRIM($H38)),DB!$B$2:$B$2267,0),6),IFERROR(INDEX(DB!$B$2:$U$2267,MATCH(UPPER(TRIM($H38)),DB!$J$2:$J$2267,0),6),"")))</f>
        <v/>
      </c>
      <c r="N40" s="4" t="str">
        <f>IF(H40="","",IFERROR(INDEX(DB!$B$2:$U$1713,MATCH(UPPER(TRIM(H40)),DB!$B$2:$B$1713,0),7),IFERROR(INDEX(DB!$B$2:$U$1713,MATCH(UPPER(TRIM(H40)),DB!$J$2:$J$1713,0),7),"")))</f>
        <v/>
      </c>
      <c r="O40" s="4"/>
      <c r="P40" s="4"/>
      <c r="Q40" s="4"/>
      <c r="R40" s="4"/>
      <c r="S40" s="4"/>
      <c r="T40" s="4"/>
      <c r="U40" s="4"/>
      <c r="V40" s="4" t="str">
        <f t="shared" si="3"/>
        <v/>
      </c>
      <c r="W40" s="4"/>
      <c r="X40" s="4" t="str">
        <f t="shared" si="4"/>
        <v/>
      </c>
      <c r="Y40" s="4" t="str">
        <f t="shared" si="5"/>
        <v/>
      </c>
      <c r="Z40" s="4" t="str">
        <f t="shared" si="6"/>
        <v/>
      </c>
      <c r="AA40" s="4"/>
      <c r="AB40" s="4"/>
      <c r="AC40" s="4"/>
      <c r="AD40" s="4" t="str">
        <f>IF(H40="","",IFERROR(INDEX(DB!$B$2:$U$1713,MATCH(UPPER(TRIM(H40)),DB!$B$2:$B$1713,0),8),IFERROR(INDEX(DB!$B$2:$U$1713,MATCH(UPPER(TRIM(H40)),DB!$J$2:$J$1713,0),8),"")))</f>
        <v/>
      </c>
      <c r="AE40" s="4"/>
      <c r="AF40" s="4"/>
      <c r="AG40" s="4"/>
      <c r="AI40" t="str">
        <f>IF(AI4&lt;&gt;"",HYPERLINK("https://echa.europa.eu/search-for-chemicals?search_criteria_ecnumber=" &amp; AI4,"ECHA"),"")</f>
        <v/>
      </c>
    </row>
    <row r="41" spans="1:35" ht="15" customHeight="1" x14ac:dyDescent="0.25">
      <c r="A41" s="6" t="str">
        <f t="shared" si="2"/>
        <v/>
      </c>
      <c r="B41" s="6"/>
      <c r="C41" s="6"/>
      <c r="D41" s="7" t="str">
        <f t="shared" si="7"/>
        <v/>
      </c>
      <c r="E41" s="6"/>
      <c r="F41" s="6"/>
      <c r="G41" s="6"/>
      <c r="H41" s="6"/>
      <c r="I41" s="6" t="str">
        <f>IFERROR(INDEX(DB!$C$2:$C$2267,MATCH(UPPER(TRIM($H39)),DB!$B$2:$B$2267,0)),IFERROR(INDEX(DB!$C$2:$C$2267,MATCH(UPPER(TRIM($H39)),DB!$J$2:$J$2267,0)),""))</f>
        <v/>
      </c>
      <c r="J41" s="6" t="str">
        <f>IF(H39="","",IFERROR(INDEX(DB!$B$2:$U$2267,MATCH(UPPER(TRIM($H39)),DB!$B$2:$B$2267,0),3),IFERROR(INDEX(DB!$B$2:$U$2267,MATCH(UPPER(TRIM($H39)),DB!$J$2:$J$2267,0),3),"")))</f>
        <v/>
      </c>
      <c r="K41" s="6" t="str">
        <f>IF(H39="","",IFERROR(INDEX(DB!$B$2:$U$2267,MATCH(UPPER(TRIM($H39)),DB!$B$2:$B$2267,0),4),IFERROR(INDEX(DB!$B$2:$U$2267,MATCH(UPPER(TRIM($H39)),DB!$J$2:$J$2267,0),4),"")))</f>
        <v/>
      </c>
      <c r="L41" s="6" t="str">
        <f>IF(H39="","",IFERROR(INDEX(DB!$B$2:$U$2267,MATCH(UPPER(TRIM($H39)),DB!$B$2:$B$2267,0),5),IFERROR(INDEX(DB!$B$2:$U$2267,MATCH(UPPER(TRIM($H39)),DB!$J$2:$J$2267,0),5),"")))</f>
        <v/>
      </c>
      <c r="M41" s="6" t="str">
        <f>IF(H39="","",IFERROR(INDEX(DB!$B$2:$U$2267,MATCH(UPPER(TRIM($H39)),DB!$B$2:$B$2267,0),6),IFERROR(INDEX(DB!$B$2:$U$2267,MATCH(UPPER(TRIM($H39)),DB!$J$2:$J$2267,0),6),"")))</f>
        <v/>
      </c>
      <c r="N41" s="6" t="str">
        <f>IF(H41="","",IFERROR(INDEX(DB!$B$2:$U$1713,MATCH(UPPER(TRIM(H41)),DB!$B$2:$B$1713,0),7),IFERROR(INDEX(DB!$B$2:$U$1713,MATCH(UPPER(TRIM(H41)),DB!$J$2:$J$1713,0),7),"")))</f>
        <v/>
      </c>
      <c r="O41" s="6"/>
      <c r="P41" s="6"/>
      <c r="Q41" s="6"/>
      <c r="R41" s="6"/>
      <c r="S41" s="6"/>
      <c r="T41" s="6"/>
      <c r="U41" s="6"/>
      <c r="V41" s="6" t="str">
        <f t="shared" si="3"/>
        <v/>
      </c>
      <c r="W41" s="6"/>
      <c r="X41" s="6" t="str">
        <f t="shared" si="4"/>
        <v/>
      </c>
      <c r="Y41" s="6" t="str">
        <f t="shared" si="5"/>
        <v/>
      </c>
      <c r="Z41" s="6" t="str">
        <f t="shared" si="6"/>
        <v/>
      </c>
      <c r="AA41" s="6"/>
      <c r="AB41" s="6"/>
      <c r="AC41" s="6"/>
      <c r="AD41" s="6" t="str">
        <f>IF(H41="","",IFERROR(INDEX(DB!$B$2:$U$1713,MATCH(UPPER(TRIM(H41)),DB!$B$2:$B$1713,0),8),IFERROR(INDEX(DB!$B$2:$U$1713,MATCH(UPPER(TRIM(H41)),DB!$J$2:$J$1713,0),8),"")))</f>
        <v/>
      </c>
      <c r="AE41" s="6"/>
      <c r="AF41" s="6"/>
      <c r="AG41" s="6"/>
      <c r="AI41" t="str">
        <f>IF(AI4&lt;&gt;"",HYPERLINK("https://echa.europa.eu/search-for-chemicals?search_criteria_ecnumber=" &amp; AI4,"ECHA"),"")</f>
        <v/>
      </c>
    </row>
    <row r="42" spans="1:35" ht="15" customHeight="1" x14ac:dyDescent="0.25">
      <c r="A42" s="4" t="str">
        <f t="shared" si="2"/>
        <v/>
      </c>
      <c r="B42" s="4"/>
      <c r="C42" s="4"/>
      <c r="D42" s="5" t="str">
        <f t="shared" si="7"/>
        <v/>
      </c>
      <c r="E42" s="4"/>
      <c r="F42" s="4"/>
      <c r="G42" s="4"/>
      <c r="H42" s="4"/>
      <c r="I42" s="4" t="str">
        <f>IFERROR(INDEX(DB!$C$2:$C$2267,MATCH(UPPER(TRIM($H40)),DB!$B$2:$B$2267,0)),IFERROR(INDEX(DB!$C$2:$C$2267,MATCH(UPPER(TRIM($H40)),DB!$J$2:$J$2267,0)),""))</f>
        <v/>
      </c>
      <c r="J42" s="4" t="str">
        <f>IF(H40="","",IFERROR(INDEX(DB!$B$2:$U$2267,MATCH(UPPER(TRIM($H40)),DB!$B$2:$B$2267,0),3),IFERROR(INDEX(DB!$B$2:$U$2267,MATCH(UPPER(TRIM($H40)),DB!$J$2:$J$2267,0),3),"")))</f>
        <v/>
      </c>
      <c r="K42" s="4" t="str">
        <f>IF(H40="","",IFERROR(INDEX(DB!$B$2:$U$2267,MATCH(UPPER(TRIM($H40)),DB!$B$2:$B$2267,0),4),IFERROR(INDEX(DB!$B$2:$U$2267,MATCH(UPPER(TRIM($H40)),DB!$J$2:$J$2267,0),4),"")))</f>
        <v/>
      </c>
      <c r="L42" s="4" t="str">
        <f>IF(H40="","",IFERROR(INDEX(DB!$B$2:$U$2267,MATCH(UPPER(TRIM($H40)),DB!$B$2:$B$2267,0),5),IFERROR(INDEX(DB!$B$2:$U$2267,MATCH(UPPER(TRIM($H40)),DB!$J$2:$J$2267,0),5),"")))</f>
        <v/>
      </c>
      <c r="M42" s="4" t="str">
        <f>IF(H40="","",IFERROR(INDEX(DB!$B$2:$U$2267,MATCH(UPPER(TRIM($H40)),DB!$B$2:$B$2267,0),6),IFERROR(INDEX(DB!$B$2:$U$2267,MATCH(UPPER(TRIM($H40)),DB!$J$2:$J$2267,0),6),"")))</f>
        <v/>
      </c>
      <c r="N42" s="4" t="str">
        <f>IF(H42="","",IFERROR(INDEX(DB!$B$2:$U$1713,MATCH(UPPER(TRIM(H42)),DB!$B$2:$B$1713,0),7),IFERROR(INDEX(DB!$B$2:$U$1713,MATCH(UPPER(TRIM(H42)),DB!$J$2:$J$1713,0),7),"")))</f>
        <v/>
      </c>
      <c r="O42" s="4"/>
      <c r="P42" s="4"/>
      <c r="Q42" s="4"/>
      <c r="R42" s="4"/>
      <c r="S42" s="4"/>
      <c r="T42" s="4"/>
      <c r="U42" s="4"/>
      <c r="V42" s="4" t="str">
        <f t="shared" si="3"/>
        <v/>
      </c>
      <c r="W42" s="4"/>
      <c r="X42" s="4" t="str">
        <f t="shared" si="4"/>
        <v/>
      </c>
      <c r="Y42" s="4" t="str">
        <f t="shared" si="5"/>
        <v/>
      </c>
      <c r="Z42" s="4" t="str">
        <f t="shared" si="6"/>
        <v/>
      </c>
      <c r="AA42" s="4"/>
      <c r="AB42" s="4"/>
      <c r="AC42" s="4"/>
      <c r="AD42" s="4" t="str">
        <f>IF(H42="","",IFERROR(INDEX(DB!$B$2:$U$1713,MATCH(UPPER(TRIM(H42)),DB!$B$2:$B$1713,0),8),IFERROR(INDEX(DB!$B$2:$U$1713,MATCH(UPPER(TRIM(H42)),DB!$J$2:$J$1713,0),8),"")))</f>
        <v/>
      </c>
      <c r="AE42" s="4"/>
      <c r="AF42" s="4"/>
      <c r="AG42" s="4"/>
      <c r="AI42" t="str">
        <f>IF(AI4&lt;&gt;"",HYPERLINK("https://echa.europa.eu/search-for-chemicals?search_criteria_ecnumber=" &amp; AI4,"ECHA"),"")</f>
        <v/>
      </c>
    </row>
    <row r="43" spans="1:35" ht="15" customHeight="1" x14ac:dyDescent="0.25">
      <c r="A43" s="6" t="str">
        <f t="shared" si="2"/>
        <v/>
      </c>
      <c r="B43" s="6"/>
      <c r="C43" s="6"/>
      <c r="D43" s="7" t="str">
        <f t="shared" si="7"/>
        <v/>
      </c>
      <c r="E43" s="6"/>
      <c r="F43" s="6"/>
      <c r="G43" s="6"/>
      <c r="H43" s="6"/>
      <c r="I43" s="6" t="str">
        <f>IFERROR(INDEX(DB!$C$2:$C$2267,MATCH(UPPER(TRIM($H41)),DB!$B$2:$B$2267,0)),IFERROR(INDEX(DB!$C$2:$C$2267,MATCH(UPPER(TRIM($H41)),DB!$J$2:$J$2267,0)),""))</f>
        <v/>
      </c>
      <c r="J43" s="6" t="str">
        <f>IF(H41="","",IFERROR(INDEX(DB!$B$2:$U$2267,MATCH(UPPER(TRIM($H41)),DB!$B$2:$B$2267,0),3),IFERROR(INDEX(DB!$B$2:$U$2267,MATCH(UPPER(TRIM($H41)),DB!$J$2:$J$2267,0),3),"")))</f>
        <v/>
      </c>
      <c r="K43" s="6" t="str">
        <f>IF(H41="","",IFERROR(INDEX(DB!$B$2:$U$2267,MATCH(UPPER(TRIM($H41)),DB!$B$2:$B$2267,0),4),IFERROR(INDEX(DB!$B$2:$U$2267,MATCH(UPPER(TRIM($H41)),DB!$J$2:$J$2267,0),4),"")))</f>
        <v/>
      </c>
      <c r="L43" s="6" t="str">
        <f>IF(H41="","",IFERROR(INDEX(DB!$B$2:$U$2267,MATCH(UPPER(TRIM($H41)),DB!$B$2:$B$2267,0),5),IFERROR(INDEX(DB!$B$2:$U$2267,MATCH(UPPER(TRIM($H41)),DB!$J$2:$J$2267,0),5),"")))</f>
        <v/>
      </c>
      <c r="M43" s="6" t="str">
        <f>IF(H41="","",IFERROR(INDEX(DB!$B$2:$U$2267,MATCH(UPPER(TRIM($H41)),DB!$B$2:$B$2267,0),6),IFERROR(INDEX(DB!$B$2:$U$2267,MATCH(UPPER(TRIM($H41)),DB!$J$2:$J$2267,0),6),"")))</f>
        <v/>
      </c>
      <c r="N43" s="6" t="str">
        <f>IF(H43="","",IFERROR(INDEX(DB!$B$2:$U$1713,MATCH(UPPER(TRIM(H43)),DB!$B$2:$B$1713,0),7),IFERROR(INDEX(DB!$B$2:$U$1713,MATCH(UPPER(TRIM(H43)),DB!$J$2:$J$1713,0),7),"")))</f>
        <v/>
      </c>
      <c r="O43" s="6"/>
      <c r="P43" s="6"/>
      <c r="Q43" s="6"/>
      <c r="R43" s="6"/>
      <c r="S43" s="6"/>
      <c r="T43" s="6"/>
      <c r="U43" s="6"/>
      <c r="V43" s="6" t="str">
        <f t="shared" si="3"/>
        <v/>
      </c>
      <c r="W43" s="6"/>
      <c r="X43" s="6" t="str">
        <f t="shared" si="4"/>
        <v/>
      </c>
      <c r="Y43" s="6" t="str">
        <f t="shared" si="5"/>
        <v/>
      </c>
      <c r="Z43" s="6" t="str">
        <f t="shared" si="6"/>
        <v/>
      </c>
      <c r="AA43" s="6"/>
      <c r="AB43" s="6"/>
      <c r="AC43" s="6"/>
      <c r="AD43" s="6" t="str">
        <f>IF(H43="","",IFERROR(INDEX(DB!$B$2:$U$1713,MATCH(UPPER(TRIM(H43)),DB!$B$2:$B$1713,0),8),IFERROR(INDEX(DB!$B$2:$U$1713,MATCH(UPPER(TRIM(H43)),DB!$J$2:$J$1713,0),8),"")))</f>
        <v/>
      </c>
      <c r="AE43" s="6"/>
      <c r="AF43" s="6"/>
      <c r="AG43" s="6"/>
      <c r="AI43" t="str">
        <f>IF(AI4&lt;&gt;"",HYPERLINK("https://echa.europa.eu/search-for-chemicals?search_criteria_ecnumber=" &amp; AI4,"ECHA"),"")</f>
        <v/>
      </c>
    </row>
    <row r="44" spans="1:35" ht="15" customHeight="1" x14ac:dyDescent="0.25">
      <c r="A44" s="4" t="str">
        <f t="shared" si="2"/>
        <v/>
      </c>
      <c r="B44" s="4"/>
      <c r="C44" s="4"/>
      <c r="D44" s="5" t="str">
        <f t="shared" si="7"/>
        <v/>
      </c>
      <c r="E44" s="4"/>
      <c r="F44" s="4"/>
      <c r="G44" s="4"/>
      <c r="H44" s="4"/>
      <c r="I44" s="4" t="str">
        <f>IFERROR(INDEX(DB!$C$2:$C$2267,MATCH(UPPER(TRIM($H42)),DB!$B$2:$B$2267,0)),IFERROR(INDEX(DB!$C$2:$C$2267,MATCH(UPPER(TRIM($H42)),DB!$J$2:$J$2267,0)),""))</f>
        <v/>
      </c>
      <c r="J44" s="4" t="str">
        <f>IF(H42="","",IFERROR(INDEX(DB!$B$2:$U$2267,MATCH(UPPER(TRIM($H42)),DB!$B$2:$B$2267,0),3),IFERROR(INDEX(DB!$B$2:$U$2267,MATCH(UPPER(TRIM($H42)),DB!$J$2:$J$2267,0),3),"")))</f>
        <v/>
      </c>
      <c r="K44" s="4" t="str">
        <f>IF(H42="","",IFERROR(INDEX(DB!$B$2:$U$2267,MATCH(UPPER(TRIM($H42)),DB!$B$2:$B$2267,0),4),IFERROR(INDEX(DB!$B$2:$U$2267,MATCH(UPPER(TRIM($H42)),DB!$J$2:$J$2267,0),4),"")))</f>
        <v/>
      </c>
      <c r="L44" s="4" t="str">
        <f>IF(H42="","",IFERROR(INDEX(DB!$B$2:$U$2267,MATCH(UPPER(TRIM($H42)),DB!$B$2:$B$2267,0),5),IFERROR(INDEX(DB!$B$2:$U$2267,MATCH(UPPER(TRIM($H42)),DB!$J$2:$J$2267,0),5),"")))</f>
        <v/>
      </c>
      <c r="M44" s="4" t="str">
        <f>IF(H42="","",IFERROR(INDEX(DB!$B$2:$U$2267,MATCH(UPPER(TRIM($H42)),DB!$B$2:$B$2267,0),6),IFERROR(INDEX(DB!$B$2:$U$2267,MATCH(UPPER(TRIM($H42)),DB!$J$2:$J$2267,0),6),"")))</f>
        <v/>
      </c>
      <c r="N44" s="4" t="str">
        <f>IF(H44="","",IFERROR(INDEX(DB!$B$2:$U$1713,MATCH(UPPER(TRIM(H44)),DB!$B$2:$B$1713,0),7),IFERROR(INDEX(DB!$B$2:$U$1713,MATCH(UPPER(TRIM(H44)),DB!$J$2:$J$1713,0),7),"")))</f>
        <v/>
      </c>
      <c r="O44" s="4"/>
      <c r="P44" s="4"/>
      <c r="Q44" s="4"/>
      <c r="R44" s="4"/>
      <c r="S44" s="4"/>
      <c r="T44" s="4"/>
      <c r="U44" s="4"/>
      <c r="V44" s="4" t="str">
        <f t="shared" si="3"/>
        <v/>
      </c>
      <c r="W44" s="4"/>
      <c r="X44" s="4" t="str">
        <f t="shared" si="4"/>
        <v/>
      </c>
      <c r="Y44" s="4" t="str">
        <f t="shared" si="5"/>
        <v/>
      </c>
      <c r="Z44" s="4" t="str">
        <f t="shared" si="6"/>
        <v/>
      </c>
      <c r="AA44" s="4"/>
      <c r="AB44" s="4"/>
      <c r="AC44" s="4"/>
      <c r="AD44" s="4" t="str">
        <f>IF(H44="","",IFERROR(INDEX(DB!$B$2:$U$1713,MATCH(UPPER(TRIM(H44)),DB!$B$2:$B$1713,0),8),IFERROR(INDEX(DB!$B$2:$U$1713,MATCH(UPPER(TRIM(H44)),DB!$J$2:$J$1713,0),8),"")))</f>
        <v/>
      </c>
      <c r="AE44" s="4"/>
      <c r="AF44" s="4"/>
      <c r="AG44" s="4"/>
      <c r="AI44" t="str">
        <f>IF(AI4&lt;&gt;"",HYPERLINK("https://echa.europa.eu/search-for-chemicals?search_criteria_ecnumber=" &amp; AI4,"ECHA"),"")</f>
        <v/>
      </c>
    </row>
    <row r="45" spans="1:35" ht="15" customHeight="1" x14ac:dyDescent="0.25">
      <c r="A45" s="6" t="str">
        <f t="shared" si="2"/>
        <v/>
      </c>
      <c r="B45" s="6"/>
      <c r="C45" s="6"/>
      <c r="D45" s="7" t="str">
        <f t="shared" si="7"/>
        <v/>
      </c>
      <c r="E45" s="6"/>
      <c r="F45" s="6"/>
      <c r="G45" s="6"/>
      <c r="H45" s="6"/>
      <c r="I45" s="6" t="str">
        <f>IFERROR(INDEX(DB!$C$2:$C$2267,MATCH(UPPER(TRIM($H43)),DB!$B$2:$B$2267,0)),IFERROR(INDEX(DB!$C$2:$C$2267,MATCH(UPPER(TRIM($H43)),DB!$J$2:$J$2267,0)),""))</f>
        <v/>
      </c>
      <c r="J45" s="6" t="str">
        <f>IF(H43="","",IFERROR(INDEX(DB!$B$2:$U$2267,MATCH(UPPER(TRIM($H43)),DB!$B$2:$B$2267,0),3),IFERROR(INDEX(DB!$B$2:$U$2267,MATCH(UPPER(TRIM($H43)),DB!$J$2:$J$2267,0),3),"")))</f>
        <v/>
      </c>
      <c r="K45" s="6" t="str">
        <f>IF(H43="","",IFERROR(INDEX(DB!$B$2:$U$2267,MATCH(UPPER(TRIM($H43)),DB!$B$2:$B$2267,0),4),IFERROR(INDEX(DB!$B$2:$U$2267,MATCH(UPPER(TRIM($H43)),DB!$J$2:$J$2267,0),4),"")))</f>
        <v/>
      </c>
      <c r="L45" s="6" t="str">
        <f>IF(H43="","",IFERROR(INDEX(DB!$B$2:$U$2267,MATCH(UPPER(TRIM($H43)),DB!$B$2:$B$2267,0),5),IFERROR(INDEX(DB!$B$2:$U$2267,MATCH(UPPER(TRIM($H43)),DB!$J$2:$J$2267,0),5),"")))</f>
        <v/>
      </c>
      <c r="M45" s="6" t="str">
        <f>IF(H43="","",IFERROR(INDEX(DB!$B$2:$U$2267,MATCH(UPPER(TRIM($H43)),DB!$B$2:$B$2267,0),6),IFERROR(INDEX(DB!$B$2:$U$2267,MATCH(UPPER(TRIM($H43)),DB!$J$2:$J$2267,0),6),"")))</f>
        <v/>
      </c>
      <c r="N45" s="6" t="str">
        <f>IF(H45="","",IFERROR(INDEX(DB!$B$2:$U$1713,MATCH(UPPER(TRIM(H45)),DB!$B$2:$B$1713,0),7),IFERROR(INDEX(DB!$B$2:$U$1713,MATCH(UPPER(TRIM(H45)),DB!$J$2:$J$1713,0),7),"")))</f>
        <v/>
      </c>
      <c r="O45" s="6"/>
      <c r="P45" s="6"/>
      <c r="Q45" s="6"/>
      <c r="R45" s="6"/>
      <c r="S45" s="6"/>
      <c r="T45" s="6"/>
      <c r="U45" s="6"/>
      <c r="V45" s="6" t="str">
        <f t="shared" si="3"/>
        <v/>
      </c>
      <c r="W45" s="6"/>
      <c r="X45" s="6" t="str">
        <f t="shared" si="4"/>
        <v/>
      </c>
      <c r="Y45" s="6" t="str">
        <f t="shared" si="5"/>
        <v/>
      </c>
      <c r="Z45" s="6" t="str">
        <f t="shared" si="6"/>
        <v/>
      </c>
      <c r="AA45" s="6"/>
      <c r="AB45" s="6"/>
      <c r="AC45" s="6"/>
      <c r="AD45" s="6" t="str">
        <f>IF(H45="","",IFERROR(INDEX(DB!$B$2:$U$1713,MATCH(UPPER(TRIM(H45)),DB!$B$2:$B$1713,0),8),IFERROR(INDEX(DB!$B$2:$U$1713,MATCH(UPPER(TRIM(H45)),DB!$J$2:$J$1713,0),8),"")))</f>
        <v/>
      </c>
      <c r="AE45" s="6"/>
      <c r="AF45" s="6"/>
      <c r="AG45" s="6"/>
      <c r="AI45" t="str">
        <f>IF(AI4&lt;&gt;"",HYPERLINK("https://echa.europa.eu/search-for-chemicals?search_criteria_ecnumber=" &amp; AI4,"ECHA"),"")</f>
        <v/>
      </c>
    </row>
    <row r="46" spans="1:35" ht="15" customHeight="1" x14ac:dyDescent="0.25">
      <c r="A46" s="4" t="str">
        <f t="shared" si="2"/>
        <v/>
      </c>
      <c r="B46" s="4"/>
      <c r="C46" s="4"/>
      <c r="D46" s="5" t="str">
        <f t="shared" si="7"/>
        <v/>
      </c>
      <c r="E46" s="4"/>
      <c r="F46" s="4"/>
      <c r="G46" s="4"/>
      <c r="H46" s="4"/>
      <c r="I46" s="4" t="str">
        <f>IFERROR(INDEX(DB!$C$2:$C$2267,MATCH(UPPER(TRIM($H44)),DB!$B$2:$B$2267,0)),IFERROR(INDEX(DB!$C$2:$C$2267,MATCH(UPPER(TRIM($H44)),DB!$J$2:$J$2267,0)),""))</f>
        <v/>
      </c>
      <c r="J46" s="4" t="str">
        <f>IF(H44="","",IFERROR(INDEX(DB!$B$2:$U$2267,MATCH(UPPER(TRIM($H44)),DB!$B$2:$B$2267,0),3),IFERROR(INDEX(DB!$B$2:$U$2267,MATCH(UPPER(TRIM($H44)),DB!$J$2:$J$2267,0),3),"")))</f>
        <v/>
      </c>
      <c r="K46" s="4" t="str">
        <f>IF(H44="","",IFERROR(INDEX(DB!$B$2:$U$2267,MATCH(UPPER(TRIM($H44)),DB!$B$2:$B$2267,0),4),IFERROR(INDEX(DB!$B$2:$U$2267,MATCH(UPPER(TRIM($H44)),DB!$J$2:$J$2267,0),4),"")))</f>
        <v/>
      </c>
      <c r="L46" s="4" t="str">
        <f>IF(H44="","",IFERROR(INDEX(DB!$B$2:$U$2267,MATCH(UPPER(TRIM($H44)),DB!$B$2:$B$2267,0),5),IFERROR(INDEX(DB!$B$2:$U$2267,MATCH(UPPER(TRIM($H44)),DB!$J$2:$J$2267,0),5),"")))</f>
        <v/>
      </c>
      <c r="M46" s="4" t="str">
        <f>IF(H44="","",IFERROR(INDEX(DB!$B$2:$U$2267,MATCH(UPPER(TRIM($H44)),DB!$B$2:$B$2267,0),6),IFERROR(INDEX(DB!$B$2:$U$2267,MATCH(UPPER(TRIM($H44)),DB!$J$2:$J$2267,0),6),"")))</f>
        <v/>
      </c>
      <c r="N46" s="4" t="str">
        <f>IF(H46="","",IFERROR(INDEX(DB!$B$2:$U$1713,MATCH(UPPER(TRIM(H46)),DB!$B$2:$B$1713,0),7),IFERROR(INDEX(DB!$B$2:$U$1713,MATCH(UPPER(TRIM(H46)),DB!$J$2:$J$1713,0),7),"")))</f>
        <v/>
      </c>
      <c r="O46" s="4"/>
      <c r="P46" s="4"/>
      <c r="Q46" s="4"/>
      <c r="R46" s="4"/>
      <c r="S46" s="4"/>
      <c r="T46" s="4"/>
      <c r="U46" s="4"/>
      <c r="V46" s="4" t="str">
        <f t="shared" si="3"/>
        <v/>
      </c>
      <c r="W46" s="4"/>
      <c r="X46" s="4" t="str">
        <f t="shared" si="4"/>
        <v/>
      </c>
      <c r="Y46" s="4" t="str">
        <f t="shared" si="5"/>
        <v/>
      </c>
      <c r="Z46" s="4" t="str">
        <f t="shared" si="6"/>
        <v/>
      </c>
      <c r="AA46" s="4"/>
      <c r="AB46" s="4"/>
      <c r="AC46" s="4"/>
      <c r="AD46" s="4" t="str">
        <f>IF(H46="","",IFERROR(INDEX(DB!$B$2:$U$1713,MATCH(UPPER(TRIM(H46)),DB!$B$2:$B$1713,0),8),IFERROR(INDEX(DB!$B$2:$U$1713,MATCH(UPPER(TRIM(H46)),DB!$J$2:$J$1713,0),8),"")))</f>
        <v/>
      </c>
      <c r="AE46" s="4"/>
      <c r="AF46" s="4"/>
      <c r="AG46" s="4"/>
      <c r="AI46" t="str">
        <f>IF(AI4&lt;&gt;"",HYPERLINK("https://echa.europa.eu/search-for-chemicals?search_criteria_ecnumber=" &amp; AI4,"ECHA"),"")</f>
        <v/>
      </c>
    </row>
    <row r="47" spans="1:35" ht="15" customHeight="1" x14ac:dyDescent="0.25">
      <c r="A47" s="6" t="str">
        <f t="shared" si="2"/>
        <v/>
      </c>
      <c r="B47" s="6"/>
      <c r="C47" s="6"/>
      <c r="D47" s="7" t="str">
        <f t="shared" si="7"/>
        <v/>
      </c>
      <c r="E47" s="6"/>
      <c r="F47" s="6"/>
      <c r="G47" s="6"/>
      <c r="H47" s="6"/>
      <c r="I47" s="6" t="str">
        <f>IFERROR(INDEX(DB!$C$2:$C$2267,MATCH(UPPER(TRIM($H45)),DB!$B$2:$B$2267,0)),IFERROR(INDEX(DB!$C$2:$C$2267,MATCH(UPPER(TRIM($H45)),DB!$J$2:$J$2267,0)),""))</f>
        <v/>
      </c>
      <c r="J47" s="6" t="str">
        <f>IF(H45="","",IFERROR(INDEX(DB!$B$2:$U$2267,MATCH(UPPER(TRIM($H45)),DB!$B$2:$B$2267,0),3),IFERROR(INDEX(DB!$B$2:$U$2267,MATCH(UPPER(TRIM($H45)),DB!$J$2:$J$2267,0),3),"")))</f>
        <v/>
      </c>
      <c r="K47" s="6" t="str">
        <f>IF(H45="","",IFERROR(INDEX(DB!$B$2:$U$2267,MATCH(UPPER(TRIM($H45)),DB!$B$2:$B$2267,0),4),IFERROR(INDEX(DB!$B$2:$U$2267,MATCH(UPPER(TRIM($H45)),DB!$J$2:$J$2267,0),4),"")))</f>
        <v/>
      </c>
      <c r="L47" s="6" t="str">
        <f>IF(H45="","",IFERROR(INDEX(DB!$B$2:$U$2267,MATCH(UPPER(TRIM($H45)),DB!$B$2:$B$2267,0),5),IFERROR(INDEX(DB!$B$2:$U$2267,MATCH(UPPER(TRIM($H45)),DB!$J$2:$J$2267,0),5),"")))</f>
        <v/>
      </c>
      <c r="M47" s="6" t="str">
        <f>IF(H45="","",IFERROR(INDEX(DB!$B$2:$U$2267,MATCH(UPPER(TRIM($H45)),DB!$B$2:$B$2267,0),6),IFERROR(INDEX(DB!$B$2:$U$2267,MATCH(UPPER(TRIM($H45)),DB!$J$2:$J$2267,0),6),"")))</f>
        <v/>
      </c>
      <c r="N47" s="6" t="str">
        <f>IF(H47="","",IFERROR(INDEX(DB!$B$2:$U$1713,MATCH(UPPER(TRIM(H47)),DB!$B$2:$B$1713,0),7),IFERROR(INDEX(DB!$B$2:$U$1713,MATCH(UPPER(TRIM(H47)),DB!$J$2:$J$1713,0),7),"")))</f>
        <v/>
      </c>
      <c r="O47" s="6"/>
      <c r="P47" s="6"/>
      <c r="Q47" s="6"/>
      <c r="R47" s="6"/>
      <c r="S47" s="6"/>
      <c r="T47" s="6"/>
      <c r="U47" s="6"/>
      <c r="V47" s="6" t="str">
        <f t="shared" si="3"/>
        <v/>
      </c>
      <c r="W47" s="6"/>
      <c r="X47" s="6" t="str">
        <f t="shared" si="4"/>
        <v/>
      </c>
      <c r="Y47" s="6" t="str">
        <f t="shared" si="5"/>
        <v/>
      </c>
      <c r="Z47" s="6" t="str">
        <f t="shared" si="6"/>
        <v/>
      </c>
      <c r="AA47" s="6"/>
      <c r="AB47" s="6"/>
      <c r="AC47" s="6"/>
      <c r="AD47" s="6" t="str">
        <f>IF(H47="","",IFERROR(INDEX(DB!$B$2:$U$1713,MATCH(UPPER(TRIM(H47)),DB!$B$2:$B$1713,0),8),IFERROR(INDEX(DB!$B$2:$U$1713,MATCH(UPPER(TRIM(H47)),DB!$J$2:$J$1713,0),8),"")))</f>
        <v/>
      </c>
      <c r="AE47" s="6"/>
      <c r="AF47" s="6"/>
      <c r="AG47" s="6"/>
      <c r="AI47" t="str">
        <f>IF(AI4&lt;&gt;"",HYPERLINK("https://echa.europa.eu/search-for-chemicals?search_criteria_ecnumber=" &amp; AI4,"ECHA"),"")</f>
        <v/>
      </c>
    </row>
    <row r="48" spans="1:35" ht="15" customHeight="1" x14ac:dyDescent="0.25">
      <c r="A48" s="4" t="str">
        <f t="shared" ref="A48:A79" si="8">IF(H48="","",ROW()-16)</f>
        <v/>
      </c>
      <c r="B48" s="4"/>
      <c r="C48" s="4"/>
      <c r="D48" s="5" t="str">
        <f t="shared" si="7"/>
        <v/>
      </c>
      <c r="E48" s="4"/>
      <c r="F48" s="4"/>
      <c r="G48" s="4"/>
      <c r="H48" s="4"/>
      <c r="I48" s="4" t="str">
        <f>IFERROR(INDEX(DB!$C$2:$C$2267,MATCH(UPPER(TRIM($H46)),DB!$B$2:$B$2267,0)),IFERROR(INDEX(DB!$C$2:$C$2267,MATCH(UPPER(TRIM($H46)),DB!$J$2:$J$2267,0)),""))</f>
        <v/>
      </c>
      <c r="J48" s="4" t="str">
        <f>IF(H46="","",IFERROR(INDEX(DB!$B$2:$U$2267,MATCH(UPPER(TRIM($H46)),DB!$B$2:$B$2267,0),3),IFERROR(INDEX(DB!$B$2:$U$2267,MATCH(UPPER(TRIM($H46)),DB!$J$2:$J$2267,0),3),"")))</f>
        <v/>
      </c>
      <c r="K48" s="4" t="str">
        <f>IF(H46="","",IFERROR(INDEX(DB!$B$2:$U$2267,MATCH(UPPER(TRIM($H46)),DB!$B$2:$B$2267,0),4),IFERROR(INDEX(DB!$B$2:$U$2267,MATCH(UPPER(TRIM($H46)),DB!$J$2:$J$2267,0),4),"")))</f>
        <v/>
      </c>
      <c r="L48" s="4" t="str">
        <f>IF(H46="","",IFERROR(INDEX(DB!$B$2:$U$2267,MATCH(UPPER(TRIM($H46)),DB!$B$2:$B$2267,0),5),IFERROR(INDEX(DB!$B$2:$U$2267,MATCH(UPPER(TRIM($H46)),DB!$J$2:$J$2267,0),5),"")))</f>
        <v/>
      </c>
      <c r="M48" s="4" t="str">
        <f>IF(H46="","",IFERROR(INDEX(DB!$B$2:$U$2267,MATCH(UPPER(TRIM($H46)),DB!$B$2:$B$2267,0),6),IFERROR(INDEX(DB!$B$2:$U$2267,MATCH(UPPER(TRIM($H46)),DB!$J$2:$J$2267,0),6),"")))</f>
        <v/>
      </c>
      <c r="N48" s="4" t="str">
        <f>IF(H48="","",IFERROR(INDEX(DB!$B$2:$U$1713,MATCH(UPPER(TRIM(H48)),DB!$B$2:$B$1713,0),7),IFERROR(INDEX(DB!$B$2:$U$1713,MATCH(UPPER(TRIM(H48)),DB!$J$2:$J$1713,0),7),"")))</f>
        <v/>
      </c>
      <c r="O48" s="4"/>
      <c r="P48" s="4"/>
      <c r="Q48" s="4"/>
      <c r="R48" s="4"/>
      <c r="S48" s="4"/>
      <c r="T48" s="4"/>
      <c r="U48" s="4"/>
      <c r="V48" s="4" t="str">
        <f t="shared" ref="V48:V79" si="9">IF(M48="","",IF(OR(M48="E",M48="D"),IF(OR(N48="Yüksek",N48="Çok Yüksek",N48="Çok Yüksek (Gaz)",N48="Toz"),4,IF(N48="Orta",3,2)),IF(M48="C",IF(OR(N48="Yüksek",N48="Çok Yüksek",N48="Çok Yüksek (Gaz)",N48="Toz"),3,IF(N48="Orta",2,1)),IF(M48="B",IF(OR(N48="Yüksek",N48="Çok Yüksek",N48="Çok Yüksek (Gaz)",N48="Toz"),2,1),1))))</f>
        <v/>
      </c>
      <c r="W48" s="4"/>
      <c r="X48" s="4" t="str">
        <f t="shared" ref="X48:X79" si="10">IF($V48="","",IF($V48=1,"İyi uygulama + genel havalandırma. Kapalı kap/etiketleme.",IF($V48=2,"Yerel kontrol (LEV) / kapalı ekipman. KKD uygunluğu kontrol.",IF($V48=3,"Mühendislik kontrolü güçlendir (kapalı sistem/LEV) + prosedür. KKD zorunlu.","Uzman değerlendirmesi + mümkünse tam kapalı sistem. İzinli çalışma ve izleme."))))</f>
        <v/>
      </c>
      <c r="Y48" s="4" t="str">
        <f t="shared" si="5"/>
        <v/>
      </c>
      <c r="Z48" s="4" t="str">
        <f t="shared" ref="Z48:Z79" si="11">IF(V48="","",IF(V48=1,"Uygun",IF(V48=2,"Koşullu Uygun","Uygun Değil")))</f>
        <v/>
      </c>
      <c r="AA48" s="4"/>
      <c r="AB48" s="4"/>
      <c r="AC48" s="4"/>
      <c r="AD48" s="4" t="str">
        <f>IF(H48="","",IFERROR(INDEX(DB!$B$2:$U$1713,MATCH(UPPER(TRIM(H48)),DB!$B$2:$B$1713,0),8),IFERROR(INDEX(DB!$B$2:$U$1713,MATCH(UPPER(TRIM(H48)),DB!$J$2:$J$1713,0),8),"")))</f>
        <v/>
      </c>
      <c r="AE48" s="4"/>
      <c r="AF48" s="4"/>
      <c r="AG48" s="4"/>
      <c r="AI48" t="str">
        <f>IF(AI4&lt;&gt;"",HYPERLINK("https://echa.europa.eu/search-for-chemicals?search_criteria_ecnumber=" &amp; AI4,"ECHA"),"")</f>
        <v/>
      </c>
    </row>
    <row r="49" spans="1:35" ht="15" customHeight="1" x14ac:dyDescent="0.25">
      <c r="A49" s="6" t="str">
        <f t="shared" si="8"/>
        <v/>
      </c>
      <c r="B49" s="6"/>
      <c r="C49" s="6"/>
      <c r="D49" s="7" t="str">
        <f t="shared" si="7"/>
        <v/>
      </c>
      <c r="E49" s="6"/>
      <c r="F49" s="6"/>
      <c r="G49" s="6"/>
      <c r="H49" s="6"/>
      <c r="I49" s="6" t="str">
        <f>IFERROR(INDEX(DB!$C$2:$C$2267,MATCH(UPPER(TRIM($H47)),DB!$B$2:$B$2267,0)),IFERROR(INDEX(DB!$C$2:$C$2267,MATCH(UPPER(TRIM($H47)),DB!$J$2:$J$2267,0)),""))</f>
        <v/>
      </c>
      <c r="J49" s="6" t="str">
        <f>IF(H47="","",IFERROR(INDEX(DB!$B$2:$U$2267,MATCH(UPPER(TRIM($H47)),DB!$B$2:$B$2267,0),3),IFERROR(INDEX(DB!$B$2:$U$2267,MATCH(UPPER(TRIM($H47)),DB!$J$2:$J$2267,0),3),"")))</f>
        <v/>
      </c>
      <c r="K49" s="6" t="str">
        <f>IF(H47="","",IFERROR(INDEX(DB!$B$2:$U$2267,MATCH(UPPER(TRIM($H47)),DB!$B$2:$B$2267,0),4),IFERROR(INDEX(DB!$B$2:$U$2267,MATCH(UPPER(TRIM($H47)),DB!$J$2:$J$2267,0),4),"")))</f>
        <v/>
      </c>
      <c r="L49" s="6" t="str">
        <f>IF(H47="","",IFERROR(INDEX(DB!$B$2:$U$2267,MATCH(UPPER(TRIM($H47)),DB!$B$2:$B$2267,0),5),IFERROR(INDEX(DB!$B$2:$U$2267,MATCH(UPPER(TRIM($H47)),DB!$J$2:$J$2267,0),5),"")))</f>
        <v/>
      </c>
      <c r="M49" s="6" t="str">
        <f>IF(H47="","",IFERROR(INDEX(DB!$B$2:$U$2267,MATCH(UPPER(TRIM($H47)),DB!$B$2:$B$2267,0),6),IFERROR(INDEX(DB!$B$2:$U$2267,MATCH(UPPER(TRIM($H47)),DB!$J$2:$J$2267,0),6),"")))</f>
        <v/>
      </c>
      <c r="N49" s="6" t="str">
        <f>IF(H49="","",IFERROR(INDEX(DB!$B$2:$U$1713,MATCH(UPPER(TRIM(H49)),DB!$B$2:$B$1713,0),7),IFERROR(INDEX(DB!$B$2:$U$1713,MATCH(UPPER(TRIM(H49)),DB!$J$2:$J$1713,0),7),"")))</f>
        <v/>
      </c>
      <c r="O49" s="6"/>
      <c r="P49" s="6"/>
      <c r="Q49" s="6"/>
      <c r="R49" s="6"/>
      <c r="S49" s="6"/>
      <c r="T49" s="6"/>
      <c r="U49" s="6"/>
      <c r="V49" s="6" t="str">
        <f t="shared" si="9"/>
        <v/>
      </c>
      <c r="W49" s="6"/>
      <c r="X49" s="6" t="str">
        <f t="shared" si="10"/>
        <v/>
      </c>
      <c r="Y49" s="6" t="str">
        <f t="shared" ref="Y49:Y80" si="12">IF(V49="","",CHOOSE(V49,"Düşük","Orta","Yüksek","Kritik"))</f>
        <v/>
      </c>
      <c r="Z49" s="6" t="str">
        <f t="shared" si="11"/>
        <v/>
      </c>
      <c r="AA49" s="6"/>
      <c r="AB49" s="6"/>
      <c r="AC49" s="6"/>
      <c r="AD49" s="6" t="str">
        <f>IF(H49="","",IFERROR(INDEX(DB!$B$2:$U$1713,MATCH(UPPER(TRIM(H49)),DB!$B$2:$B$1713,0),8),IFERROR(INDEX(DB!$B$2:$U$1713,MATCH(UPPER(TRIM(H49)),DB!$J$2:$J$1713,0),8),"")))</f>
        <v/>
      </c>
      <c r="AE49" s="6"/>
      <c r="AF49" s="6"/>
      <c r="AG49" s="6"/>
      <c r="AI49" t="str">
        <f>IF(AI4&lt;&gt;"",HYPERLINK("https://echa.europa.eu/search-for-chemicals?search_criteria_ecnumber=" &amp; AI4,"ECHA"),"")</f>
        <v/>
      </c>
    </row>
    <row r="50" spans="1:35" ht="15" customHeight="1" x14ac:dyDescent="0.25">
      <c r="A50" s="4" t="str">
        <f t="shared" si="8"/>
        <v/>
      </c>
      <c r="B50" s="4"/>
      <c r="C50" s="4"/>
      <c r="D50" s="5" t="str">
        <f t="shared" si="7"/>
        <v/>
      </c>
      <c r="E50" s="4"/>
      <c r="F50" s="4"/>
      <c r="G50" s="4"/>
      <c r="H50" s="4"/>
      <c r="I50" s="4" t="str">
        <f>IFERROR(INDEX(DB!$C$2:$C$2267,MATCH(UPPER(TRIM($H48)),DB!$B$2:$B$2267,0)),IFERROR(INDEX(DB!$C$2:$C$2267,MATCH(UPPER(TRIM($H48)),DB!$J$2:$J$2267,0)),""))</f>
        <v/>
      </c>
      <c r="J50" s="4" t="str">
        <f>IF(H48="","",IFERROR(INDEX(DB!$B$2:$U$2267,MATCH(UPPER(TRIM($H48)),DB!$B$2:$B$2267,0),3),IFERROR(INDEX(DB!$B$2:$U$2267,MATCH(UPPER(TRIM($H48)),DB!$J$2:$J$2267,0),3),"")))</f>
        <v/>
      </c>
      <c r="K50" s="4" t="str">
        <f>IF(H48="","",IFERROR(INDEX(DB!$B$2:$U$2267,MATCH(UPPER(TRIM($H48)),DB!$B$2:$B$2267,0),4),IFERROR(INDEX(DB!$B$2:$U$2267,MATCH(UPPER(TRIM($H48)),DB!$J$2:$J$2267,0),4),"")))</f>
        <v/>
      </c>
      <c r="L50" s="4" t="str">
        <f>IF(H48="","",IFERROR(INDEX(DB!$B$2:$U$2267,MATCH(UPPER(TRIM($H48)),DB!$B$2:$B$2267,0),5),IFERROR(INDEX(DB!$B$2:$U$2267,MATCH(UPPER(TRIM($H48)),DB!$J$2:$J$2267,0),5),"")))</f>
        <v/>
      </c>
      <c r="M50" s="4" t="str">
        <f>IF(H48="","",IFERROR(INDEX(DB!$B$2:$U$2267,MATCH(UPPER(TRIM($H48)),DB!$B$2:$B$2267,0),6),IFERROR(INDEX(DB!$B$2:$U$2267,MATCH(UPPER(TRIM($H48)),DB!$J$2:$J$2267,0),6),"")))</f>
        <v/>
      </c>
      <c r="N50" s="4" t="str">
        <f>IF(H50="","",IFERROR(INDEX(DB!$B$2:$U$1713,MATCH(UPPER(TRIM(H50)),DB!$B$2:$B$1713,0),7),IFERROR(INDEX(DB!$B$2:$U$1713,MATCH(UPPER(TRIM(H50)),DB!$J$2:$J$1713,0),7),"")))</f>
        <v/>
      </c>
      <c r="O50" s="4"/>
      <c r="P50" s="4"/>
      <c r="Q50" s="4"/>
      <c r="R50" s="4"/>
      <c r="S50" s="4"/>
      <c r="T50" s="4"/>
      <c r="U50" s="4"/>
      <c r="V50" s="4" t="str">
        <f t="shared" si="9"/>
        <v/>
      </c>
      <c r="W50" s="4"/>
      <c r="X50" s="4" t="str">
        <f t="shared" si="10"/>
        <v/>
      </c>
      <c r="Y50" s="4" t="str">
        <f t="shared" si="12"/>
        <v/>
      </c>
      <c r="Z50" s="4" t="str">
        <f t="shared" si="11"/>
        <v/>
      </c>
      <c r="AA50" s="4"/>
      <c r="AB50" s="4"/>
      <c r="AC50" s="4"/>
      <c r="AD50" s="4" t="str">
        <f>IF(H50="","",IFERROR(INDEX(DB!$B$2:$U$1713,MATCH(UPPER(TRIM(H50)),DB!$B$2:$B$1713,0),8),IFERROR(INDEX(DB!$B$2:$U$1713,MATCH(UPPER(TRIM(H50)),DB!$J$2:$J$1713,0),8),"")))</f>
        <v/>
      </c>
      <c r="AE50" s="4"/>
      <c r="AF50" s="4"/>
      <c r="AG50" s="4"/>
      <c r="AI50" t="str">
        <f>IF(AI4&lt;&gt;"",HYPERLINK("https://echa.europa.eu/search-for-chemicals?search_criteria_ecnumber=" &amp; AI4,"ECHA"),"")</f>
        <v/>
      </c>
    </row>
    <row r="51" spans="1:35" ht="15" customHeight="1" x14ac:dyDescent="0.25">
      <c r="A51" s="6" t="str">
        <f t="shared" si="8"/>
        <v/>
      </c>
      <c r="B51" s="6"/>
      <c r="C51" s="6"/>
      <c r="D51" s="7" t="str">
        <f t="shared" si="7"/>
        <v/>
      </c>
      <c r="E51" s="6"/>
      <c r="F51" s="6"/>
      <c r="G51" s="6"/>
      <c r="H51" s="6"/>
      <c r="I51" s="6" t="str">
        <f>IFERROR(INDEX(DB!$C$2:$C$2267,MATCH(UPPER(TRIM($H49)),DB!$B$2:$B$2267,0)),IFERROR(INDEX(DB!$C$2:$C$2267,MATCH(UPPER(TRIM($H49)),DB!$J$2:$J$2267,0)),""))</f>
        <v/>
      </c>
      <c r="J51" s="6" t="str">
        <f>IF(H49="","",IFERROR(INDEX(DB!$B$2:$U$2267,MATCH(UPPER(TRIM($H49)),DB!$B$2:$B$2267,0),3),IFERROR(INDEX(DB!$B$2:$U$2267,MATCH(UPPER(TRIM($H49)),DB!$J$2:$J$2267,0),3),"")))</f>
        <v/>
      </c>
      <c r="K51" s="6" t="str">
        <f>IF(H49="","",IFERROR(INDEX(DB!$B$2:$U$2267,MATCH(UPPER(TRIM($H49)),DB!$B$2:$B$2267,0),4),IFERROR(INDEX(DB!$B$2:$U$2267,MATCH(UPPER(TRIM($H49)),DB!$J$2:$J$2267,0),4),"")))</f>
        <v/>
      </c>
      <c r="L51" s="6" t="str">
        <f>IF(H49="","",IFERROR(INDEX(DB!$B$2:$U$2267,MATCH(UPPER(TRIM($H49)),DB!$B$2:$B$2267,0),5),IFERROR(INDEX(DB!$B$2:$U$2267,MATCH(UPPER(TRIM($H49)),DB!$J$2:$J$2267,0),5),"")))</f>
        <v/>
      </c>
      <c r="M51" s="6" t="str">
        <f>IF(H49="","",IFERROR(INDEX(DB!$B$2:$U$2267,MATCH(UPPER(TRIM($H49)),DB!$B$2:$B$2267,0),6),IFERROR(INDEX(DB!$B$2:$U$2267,MATCH(UPPER(TRIM($H49)),DB!$J$2:$J$2267,0),6),"")))</f>
        <v/>
      </c>
      <c r="N51" s="6" t="str">
        <f>IF(H51="","",IFERROR(INDEX(DB!$B$2:$U$1713,MATCH(UPPER(TRIM(H51)),DB!$B$2:$B$1713,0),7),IFERROR(INDEX(DB!$B$2:$U$1713,MATCH(UPPER(TRIM(H51)),DB!$J$2:$J$1713,0),7),"")))</f>
        <v/>
      </c>
      <c r="O51" s="6"/>
      <c r="P51" s="6"/>
      <c r="Q51" s="6"/>
      <c r="R51" s="6"/>
      <c r="S51" s="6"/>
      <c r="T51" s="6"/>
      <c r="U51" s="6"/>
      <c r="V51" s="6" t="str">
        <f t="shared" si="9"/>
        <v/>
      </c>
      <c r="W51" s="6"/>
      <c r="X51" s="6" t="str">
        <f t="shared" si="10"/>
        <v/>
      </c>
      <c r="Y51" s="6" t="str">
        <f t="shared" si="12"/>
        <v/>
      </c>
      <c r="Z51" s="6" t="str">
        <f t="shared" si="11"/>
        <v/>
      </c>
      <c r="AA51" s="6"/>
      <c r="AB51" s="6"/>
      <c r="AC51" s="6"/>
      <c r="AD51" s="6" t="str">
        <f>IF(H51="","",IFERROR(INDEX(DB!$B$2:$U$1713,MATCH(UPPER(TRIM(H51)),DB!$B$2:$B$1713,0),8),IFERROR(INDEX(DB!$B$2:$U$1713,MATCH(UPPER(TRIM(H51)),DB!$J$2:$J$1713,0),8),"")))</f>
        <v/>
      </c>
      <c r="AE51" s="6"/>
      <c r="AF51" s="6"/>
      <c r="AG51" s="6"/>
      <c r="AI51" t="str">
        <f>IF(AI4&lt;&gt;"",HYPERLINK("https://echa.europa.eu/search-for-chemicals?search_criteria_ecnumber=" &amp; AI4,"ECHA"),"")</f>
        <v/>
      </c>
    </row>
    <row r="52" spans="1:35" ht="15" customHeight="1" x14ac:dyDescent="0.25">
      <c r="A52" s="4" t="str">
        <f t="shared" si="8"/>
        <v/>
      </c>
      <c r="B52" s="4"/>
      <c r="C52" s="4"/>
      <c r="D52" s="5" t="str">
        <f t="shared" si="7"/>
        <v/>
      </c>
      <c r="E52" s="4"/>
      <c r="F52" s="4"/>
      <c r="G52" s="4"/>
      <c r="H52" s="4"/>
      <c r="I52" s="4" t="str">
        <f>IFERROR(INDEX(DB!$C$2:$C$2267,MATCH(UPPER(TRIM($H50)),DB!$B$2:$B$2267,0)),IFERROR(INDEX(DB!$C$2:$C$2267,MATCH(UPPER(TRIM($H50)),DB!$J$2:$J$2267,0)),""))</f>
        <v/>
      </c>
      <c r="J52" s="4" t="str">
        <f>IF(H50="","",IFERROR(INDEX(DB!$B$2:$U$2267,MATCH(UPPER(TRIM($H50)),DB!$B$2:$B$2267,0),3),IFERROR(INDEX(DB!$B$2:$U$2267,MATCH(UPPER(TRIM($H50)),DB!$J$2:$J$2267,0),3),"")))</f>
        <v/>
      </c>
      <c r="K52" s="4" t="str">
        <f>IF(H50="","",IFERROR(INDEX(DB!$B$2:$U$2267,MATCH(UPPER(TRIM($H50)),DB!$B$2:$B$2267,0),4),IFERROR(INDEX(DB!$B$2:$U$2267,MATCH(UPPER(TRIM($H50)),DB!$J$2:$J$2267,0),4),"")))</f>
        <v/>
      </c>
      <c r="L52" s="4" t="str">
        <f>IF(H50="","",IFERROR(INDEX(DB!$B$2:$U$2267,MATCH(UPPER(TRIM($H50)),DB!$B$2:$B$2267,0),5),IFERROR(INDEX(DB!$B$2:$U$2267,MATCH(UPPER(TRIM($H50)),DB!$J$2:$J$2267,0),5),"")))</f>
        <v/>
      </c>
      <c r="M52" s="4" t="str">
        <f>IF(H50="","",IFERROR(INDEX(DB!$B$2:$U$2267,MATCH(UPPER(TRIM($H50)),DB!$B$2:$B$2267,0),6),IFERROR(INDEX(DB!$B$2:$U$2267,MATCH(UPPER(TRIM($H50)),DB!$J$2:$J$2267,0),6),"")))</f>
        <v/>
      </c>
      <c r="N52" s="4" t="str">
        <f>IF(H52="","",IFERROR(INDEX(DB!$B$2:$U$1713,MATCH(UPPER(TRIM(H52)),DB!$B$2:$B$1713,0),7),IFERROR(INDEX(DB!$B$2:$U$1713,MATCH(UPPER(TRIM(H52)),DB!$J$2:$J$1713,0),7),"")))</f>
        <v/>
      </c>
      <c r="O52" s="4"/>
      <c r="P52" s="4"/>
      <c r="Q52" s="4"/>
      <c r="R52" s="4"/>
      <c r="S52" s="4"/>
      <c r="T52" s="4"/>
      <c r="U52" s="4"/>
      <c r="V52" s="4" t="str">
        <f t="shared" si="9"/>
        <v/>
      </c>
      <c r="W52" s="4"/>
      <c r="X52" s="4" t="str">
        <f t="shared" si="10"/>
        <v/>
      </c>
      <c r="Y52" s="4" t="str">
        <f t="shared" si="12"/>
        <v/>
      </c>
      <c r="Z52" s="4" t="str">
        <f t="shared" si="11"/>
        <v/>
      </c>
      <c r="AA52" s="4"/>
      <c r="AB52" s="4"/>
      <c r="AC52" s="4"/>
      <c r="AD52" s="4" t="str">
        <f>IF(H52="","",IFERROR(INDEX(DB!$B$2:$U$1713,MATCH(UPPER(TRIM(H52)),DB!$B$2:$B$1713,0),8),IFERROR(INDEX(DB!$B$2:$U$1713,MATCH(UPPER(TRIM(H52)),DB!$J$2:$J$1713,0),8),"")))</f>
        <v/>
      </c>
      <c r="AE52" s="4"/>
      <c r="AF52" s="4"/>
      <c r="AG52" s="4"/>
      <c r="AI52" t="str">
        <f>IF(AI4&lt;&gt;"",HYPERLINK("https://echa.europa.eu/search-for-chemicals?search_criteria_ecnumber=" &amp; AI4,"ECHA"),"")</f>
        <v/>
      </c>
    </row>
    <row r="53" spans="1:35" ht="15" customHeight="1" x14ac:dyDescent="0.25">
      <c r="A53" s="6" t="str">
        <f t="shared" si="8"/>
        <v/>
      </c>
      <c r="B53" s="6"/>
      <c r="C53" s="6"/>
      <c r="D53" s="7" t="str">
        <f t="shared" si="7"/>
        <v/>
      </c>
      <c r="E53" s="6"/>
      <c r="F53" s="6"/>
      <c r="G53" s="6"/>
      <c r="H53" s="6"/>
      <c r="I53" s="6" t="str">
        <f>IFERROR(INDEX(DB!$C$2:$C$2267,MATCH(UPPER(TRIM($H51)),DB!$B$2:$B$2267,0)),IFERROR(INDEX(DB!$C$2:$C$2267,MATCH(UPPER(TRIM($H51)),DB!$J$2:$J$2267,0)),""))</f>
        <v/>
      </c>
      <c r="J53" s="6" t="str">
        <f>IF(H51="","",IFERROR(INDEX(DB!$B$2:$U$2267,MATCH(UPPER(TRIM($H51)),DB!$B$2:$B$2267,0),3),IFERROR(INDEX(DB!$B$2:$U$2267,MATCH(UPPER(TRIM($H51)),DB!$J$2:$J$2267,0),3),"")))</f>
        <v/>
      </c>
      <c r="K53" s="6" t="str">
        <f>IF(H51="","",IFERROR(INDEX(DB!$B$2:$U$2267,MATCH(UPPER(TRIM($H51)),DB!$B$2:$B$2267,0),4),IFERROR(INDEX(DB!$B$2:$U$2267,MATCH(UPPER(TRIM($H51)),DB!$J$2:$J$2267,0),4),"")))</f>
        <v/>
      </c>
      <c r="L53" s="6" t="str">
        <f>IF(H51="","",IFERROR(INDEX(DB!$B$2:$U$2267,MATCH(UPPER(TRIM($H51)),DB!$B$2:$B$2267,0),5),IFERROR(INDEX(DB!$B$2:$U$2267,MATCH(UPPER(TRIM($H51)),DB!$J$2:$J$2267,0),5),"")))</f>
        <v/>
      </c>
      <c r="M53" s="6" t="str">
        <f>IF(H51="","",IFERROR(INDEX(DB!$B$2:$U$2267,MATCH(UPPER(TRIM($H51)),DB!$B$2:$B$2267,0),6),IFERROR(INDEX(DB!$B$2:$U$2267,MATCH(UPPER(TRIM($H51)),DB!$J$2:$J$2267,0),6),"")))</f>
        <v/>
      </c>
      <c r="N53" s="6" t="str">
        <f>IF(H53="","",IFERROR(INDEX(DB!$B$2:$U$1713,MATCH(UPPER(TRIM(H53)),DB!$B$2:$B$1713,0),7),IFERROR(INDEX(DB!$B$2:$U$1713,MATCH(UPPER(TRIM(H53)),DB!$J$2:$J$1713,0),7),"")))</f>
        <v/>
      </c>
      <c r="O53" s="6"/>
      <c r="P53" s="6"/>
      <c r="Q53" s="6"/>
      <c r="R53" s="6"/>
      <c r="S53" s="6"/>
      <c r="T53" s="6"/>
      <c r="U53" s="6"/>
      <c r="V53" s="6" t="str">
        <f t="shared" si="9"/>
        <v/>
      </c>
      <c r="W53" s="6"/>
      <c r="X53" s="6" t="str">
        <f t="shared" si="10"/>
        <v/>
      </c>
      <c r="Y53" s="6" t="str">
        <f t="shared" si="12"/>
        <v/>
      </c>
      <c r="Z53" s="6" t="str">
        <f t="shared" si="11"/>
        <v/>
      </c>
      <c r="AA53" s="6"/>
      <c r="AB53" s="6"/>
      <c r="AC53" s="6"/>
      <c r="AD53" s="6" t="str">
        <f>IF(H53="","",IFERROR(INDEX(DB!$B$2:$U$1713,MATCH(UPPER(TRIM(H53)),DB!$B$2:$B$1713,0),8),IFERROR(INDEX(DB!$B$2:$U$1713,MATCH(UPPER(TRIM(H53)),DB!$J$2:$J$1713,0),8),"")))</f>
        <v/>
      </c>
      <c r="AE53" s="6"/>
      <c r="AF53" s="6"/>
      <c r="AG53" s="6"/>
      <c r="AI53" t="str">
        <f>IF(AI4&lt;&gt;"",HYPERLINK("https://echa.europa.eu/search-for-chemicals?search_criteria_ecnumber=" &amp; AI4,"ECHA"),"")</f>
        <v/>
      </c>
    </row>
    <row r="54" spans="1:35" ht="15" customHeight="1" x14ac:dyDescent="0.25">
      <c r="A54" s="4" t="str">
        <f t="shared" si="8"/>
        <v/>
      </c>
      <c r="B54" s="4"/>
      <c r="C54" s="4"/>
      <c r="D54" s="5" t="str">
        <f t="shared" si="7"/>
        <v/>
      </c>
      <c r="E54" s="4"/>
      <c r="F54" s="4"/>
      <c r="G54" s="4"/>
      <c r="H54" s="4"/>
      <c r="I54" s="4" t="str">
        <f>IFERROR(INDEX(DB!$C$2:$C$2267,MATCH(UPPER(TRIM($H52)),DB!$B$2:$B$2267,0)),IFERROR(INDEX(DB!$C$2:$C$2267,MATCH(UPPER(TRIM($H52)),DB!$J$2:$J$2267,0)),""))</f>
        <v/>
      </c>
      <c r="J54" s="4" t="str">
        <f>IF(H52="","",IFERROR(INDEX(DB!$B$2:$U$2267,MATCH(UPPER(TRIM($H52)),DB!$B$2:$B$2267,0),3),IFERROR(INDEX(DB!$B$2:$U$2267,MATCH(UPPER(TRIM($H52)),DB!$J$2:$J$2267,0),3),"")))</f>
        <v/>
      </c>
      <c r="K54" s="4" t="str">
        <f>IF(H52="","",IFERROR(INDEX(DB!$B$2:$U$2267,MATCH(UPPER(TRIM($H52)),DB!$B$2:$B$2267,0),4),IFERROR(INDEX(DB!$B$2:$U$2267,MATCH(UPPER(TRIM($H52)),DB!$J$2:$J$2267,0),4),"")))</f>
        <v/>
      </c>
      <c r="L54" s="4" t="str">
        <f>IF(H52="","",IFERROR(INDEX(DB!$B$2:$U$2267,MATCH(UPPER(TRIM($H52)),DB!$B$2:$B$2267,0),5),IFERROR(INDEX(DB!$B$2:$U$2267,MATCH(UPPER(TRIM($H52)),DB!$J$2:$J$2267,0),5),"")))</f>
        <v/>
      </c>
      <c r="M54" s="4" t="str">
        <f>IF(H52="","",IFERROR(INDEX(DB!$B$2:$U$2267,MATCH(UPPER(TRIM($H52)),DB!$B$2:$B$2267,0),6),IFERROR(INDEX(DB!$B$2:$U$2267,MATCH(UPPER(TRIM($H52)),DB!$J$2:$J$2267,0),6),"")))</f>
        <v/>
      </c>
      <c r="N54" s="4" t="str">
        <f>IF(H54="","",IFERROR(INDEX(DB!$B$2:$U$1713,MATCH(UPPER(TRIM(H54)),DB!$B$2:$B$1713,0),7),IFERROR(INDEX(DB!$B$2:$U$1713,MATCH(UPPER(TRIM(H54)),DB!$J$2:$J$1713,0),7),"")))</f>
        <v/>
      </c>
      <c r="O54" s="4"/>
      <c r="P54" s="4"/>
      <c r="Q54" s="4"/>
      <c r="R54" s="4"/>
      <c r="S54" s="4"/>
      <c r="T54" s="4"/>
      <c r="U54" s="4"/>
      <c r="V54" s="4" t="str">
        <f t="shared" si="9"/>
        <v/>
      </c>
      <c r="W54" s="4"/>
      <c r="X54" s="4" t="str">
        <f t="shared" si="10"/>
        <v/>
      </c>
      <c r="Y54" s="4" t="str">
        <f t="shared" si="12"/>
        <v/>
      </c>
      <c r="Z54" s="4" t="str">
        <f t="shared" si="11"/>
        <v/>
      </c>
      <c r="AA54" s="4"/>
      <c r="AB54" s="4"/>
      <c r="AC54" s="4"/>
      <c r="AD54" s="4" t="str">
        <f>IF(H54="","",IFERROR(INDEX(DB!$B$2:$U$1713,MATCH(UPPER(TRIM(H54)),DB!$B$2:$B$1713,0),8),IFERROR(INDEX(DB!$B$2:$U$1713,MATCH(UPPER(TRIM(H54)),DB!$J$2:$J$1713,0),8),"")))</f>
        <v/>
      </c>
      <c r="AE54" s="4"/>
      <c r="AF54" s="4"/>
      <c r="AG54" s="4"/>
      <c r="AI54" t="str">
        <f>IF(AI4&lt;&gt;"",HYPERLINK("https://echa.europa.eu/search-for-chemicals?search_criteria_ecnumber=" &amp; AI4,"ECHA"),"")</f>
        <v/>
      </c>
    </row>
    <row r="55" spans="1:35" ht="15" customHeight="1" x14ac:dyDescent="0.25">
      <c r="A55" s="6" t="str">
        <f t="shared" si="8"/>
        <v/>
      </c>
      <c r="B55" s="6"/>
      <c r="C55" s="6"/>
      <c r="D55" s="7" t="str">
        <f t="shared" si="7"/>
        <v/>
      </c>
      <c r="E55" s="6"/>
      <c r="F55" s="6"/>
      <c r="G55" s="6"/>
      <c r="H55" s="6"/>
      <c r="I55" s="6" t="str">
        <f>IFERROR(INDEX(DB!$C$2:$C$2267,MATCH(UPPER(TRIM($H53)),DB!$B$2:$B$2267,0)),IFERROR(INDEX(DB!$C$2:$C$2267,MATCH(UPPER(TRIM($H53)),DB!$J$2:$J$2267,0)),""))</f>
        <v/>
      </c>
      <c r="J55" s="6" t="str">
        <f>IF(H53="","",IFERROR(INDEX(DB!$B$2:$U$2267,MATCH(UPPER(TRIM($H53)),DB!$B$2:$B$2267,0),3),IFERROR(INDEX(DB!$B$2:$U$2267,MATCH(UPPER(TRIM($H53)),DB!$J$2:$J$2267,0),3),"")))</f>
        <v/>
      </c>
      <c r="K55" s="6" t="str">
        <f>IF(H53="","",IFERROR(INDEX(DB!$B$2:$U$2267,MATCH(UPPER(TRIM($H53)),DB!$B$2:$B$2267,0),4),IFERROR(INDEX(DB!$B$2:$U$2267,MATCH(UPPER(TRIM($H53)),DB!$J$2:$J$2267,0),4),"")))</f>
        <v/>
      </c>
      <c r="L55" s="6" t="str">
        <f>IF(H53="","",IFERROR(INDEX(DB!$B$2:$U$2267,MATCH(UPPER(TRIM($H53)),DB!$B$2:$B$2267,0),5),IFERROR(INDEX(DB!$B$2:$U$2267,MATCH(UPPER(TRIM($H53)),DB!$J$2:$J$2267,0),5),"")))</f>
        <v/>
      </c>
      <c r="M55" s="6" t="str">
        <f>IF(H53="","",IFERROR(INDEX(DB!$B$2:$U$2267,MATCH(UPPER(TRIM($H53)),DB!$B$2:$B$2267,0),6),IFERROR(INDEX(DB!$B$2:$U$2267,MATCH(UPPER(TRIM($H53)),DB!$J$2:$J$2267,0),6),"")))</f>
        <v/>
      </c>
      <c r="N55" s="6" t="str">
        <f>IF(H55="","",IFERROR(INDEX(DB!$B$2:$U$1713,MATCH(UPPER(TRIM(H55)),DB!$B$2:$B$1713,0),7),IFERROR(INDEX(DB!$B$2:$U$1713,MATCH(UPPER(TRIM(H55)),DB!$J$2:$J$1713,0),7),"")))</f>
        <v/>
      </c>
      <c r="O55" s="6"/>
      <c r="P55" s="6"/>
      <c r="Q55" s="6"/>
      <c r="R55" s="6"/>
      <c r="S55" s="6"/>
      <c r="T55" s="6"/>
      <c r="U55" s="6"/>
      <c r="V55" s="6" t="str">
        <f t="shared" si="9"/>
        <v/>
      </c>
      <c r="W55" s="6"/>
      <c r="X55" s="6" t="str">
        <f t="shared" si="10"/>
        <v/>
      </c>
      <c r="Y55" s="6" t="str">
        <f t="shared" si="12"/>
        <v/>
      </c>
      <c r="Z55" s="6" t="str">
        <f t="shared" si="11"/>
        <v/>
      </c>
      <c r="AA55" s="6"/>
      <c r="AB55" s="6"/>
      <c r="AC55" s="6"/>
      <c r="AD55" s="6" t="str">
        <f>IF(H55="","",IFERROR(INDEX(DB!$B$2:$U$1713,MATCH(UPPER(TRIM(H55)),DB!$B$2:$B$1713,0),8),IFERROR(INDEX(DB!$B$2:$U$1713,MATCH(UPPER(TRIM(H55)),DB!$J$2:$J$1713,0),8),"")))</f>
        <v/>
      </c>
      <c r="AE55" s="6"/>
      <c r="AF55" s="6"/>
      <c r="AG55" s="6"/>
      <c r="AI55" t="str">
        <f>IF(AI4&lt;&gt;"",HYPERLINK("https://echa.europa.eu/search-for-chemicals?search_criteria_ecnumber=" &amp; AI4,"ECHA"),"")</f>
        <v/>
      </c>
    </row>
    <row r="56" spans="1:35" ht="15" customHeight="1" x14ac:dyDescent="0.25">
      <c r="A56" s="4" t="str">
        <f t="shared" si="8"/>
        <v/>
      </c>
      <c r="B56" s="4"/>
      <c r="C56" s="4"/>
      <c r="D56" s="5" t="str">
        <f t="shared" ref="D56:D87" si="13">IF(B54="","",B54+365)</f>
        <v/>
      </c>
      <c r="E56" s="4"/>
      <c r="F56" s="4"/>
      <c r="G56" s="4"/>
      <c r="H56" s="4"/>
      <c r="I56" s="4" t="str">
        <f>IFERROR(INDEX(DB!$C$2:$C$2267,MATCH(UPPER(TRIM($H54)),DB!$B$2:$B$2267,0)),IFERROR(INDEX(DB!$C$2:$C$2267,MATCH(UPPER(TRIM($H54)),DB!$J$2:$J$2267,0)),""))</f>
        <v/>
      </c>
      <c r="J56" s="4" t="str">
        <f>IF(H54="","",IFERROR(INDEX(DB!$B$2:$U$2267,MATCH(UPPER(TRIM($H54)),DB!$B$2:$B$2267,0),3),IFERROR(INDEX(DB!$B$2:$U$2267,MATCH(UPPER(TRIM($H54)),DB!$J$2:$J$2267,0),3),"")))</f>
        <v/>
      </c>
      <c r="K56" s="4" t="str">
        <f>IF(H54="","",IFERROR(INDEX(DB!$B$2:$U$2267,MATCH(UPPER(TRIM($H54)),DB!$B$2:$B$2267,0),4),IFERROR(INDEX(DB!$B$2:$U$2267,MATCH(UPPER(TRIM($H54)),DB!$J$2:$J$2267,0),4),"")))</f>
        <v/>
      </c>
      <c r="L56" s="4" t="str">
        <f>IF(H54="","",IFERROR(INDEX(DB!$B$2:$U$2267,MATCH(UPPER(TRIM($H54)),DB!$B$2:$B$2267,0),5),IFERROR(INDEX(DB!$B$2:$U$2267,MATCH(UPPER(TRIM($H54)),DB!$J$2:$J$2267,0),5),"")))</f>
        <v/>
      </c>
      <c r="M56" s="4" t="str">
        <f>IF(H54="","",IFERROR(INDEX(DB!$B$2:$U$2267,MATCH(UPPER(TRIM($H54)),DB!$B$2:$B$2267,0),6),IFERROR(INDEX(DB!$B$2:$U$2267,MATCH(UPPER(TRIM($H54)),DB!$J$2:$J$2267,0),6),"")))</f>
        <v/>
      </c>
      <c r="N56" s="4" t="str">
        <f>IF(H56="","",IFERROR(INDEX(DB!$B$2:$U$1713,MATCH(UPPER(TRIM(H56)),DB!$B$2:$B$1713,0),7),IFERROR(INDEX(DB!$B$2:$U$1713,MATCH(UPPER(TRIM(H56)),DB!$J$2:$J$1713,0),7),"")))</f>
        <v/>
      </c>
      <c r="O56" s="4"/>
      <c r="P56" s="4"/>
      <c r="Q56" s="4"/>
      <c r="R56" s="4"/>
      <c r="S56" s="4"/>
      <c r="T56" s="4"/>
      <c r="U56" s="4"/>
      <c r="V56" s="4" t="str">
        <f t="shared" si="9"/>
        <v/>
      </c>
      <c r="W56" s="4"/>
      <c r="X56" s="4" t="str">
        <f t="shared" si="10"/>
        <v/>
      </c>
      <c r="Y56" s="4" t="str">
        <f t="shared" si="12"/>
        <v/>
      </c>
      <c r="Z56" s="4" t="str">
        <f t="shared" si="11"/>
        <v/>
      </c>
      <c r="AA56" s="4"/>
      <c r="AB56" s="4"/>
      <c r="AC56" s="4"/>
      <c r="AD56" s="4" t="str">
        <f>IF(H56="","",IFERROR(INDEX(DB!$B$2:$U$1713,MATCH(UPPER(TRIM(H56)),DB!$B$2:$B$1713,0),8),IFERROR(INDEX(DB!$B$2:$U$1713,MATCH(UPPER(TRIM(H56)),DB!$J$2:$J$1713,0),8),"")))</f>
        <v/>
      </c>
      <c r="AE56" s="4"/>
      <c r="AF56" s="4"/>
      <c r="AG56" s="4"/>
      <c r="AI56" t="str">
        <f>IF(AI4&lt;&gt;"",HYPERLINK("https://echa.europa.eu/search-for-chemicals?search_criteria_ecnumber=" &amp; AI4,"ECHA"),"")</f>
        <v/>
      </c>
    </row>
    <row r="57" spans="1:35" ht="15" customHeight="1" x14ac:dyDescent="0.25">
      <c r="A57" s="6" t="str">
        <f t="shared" si="8"/>
        <v/>
      </c>
      <c r="B57" s="6"/>
      <c r="C57" s="6"/>
      <c r="D57" s="7" t="str">
        <f t="shared" si="13"/>
        <v/>
      </c>
      <c r="E57" s="6"/>
      <c r="F57" s="6"/>
      <c r="G57" s="6"/>
      <c r="H57" s="6"/>
      <c r="I57" s="6" t="str">
        <f>IFERROR(INDEX(DB!$C$2:$C$2267,MATCH(UPPER(TRIM($H55)),DB!$B$2:$B$2267,0)),IFERROR(INDEX(DB!$C$2:$C$2267,MATCH(UPPER(TRIM($H55)),DB!$J$2:$J$2267,0)),""))</f>
        <v/>
      </c>
      <c r="J57" s="6" t="str">
        <f>IF(H55="","",IFERROR(INDEX(DB!$B$2:$U$2267,MATCH(UPPER(TRIM($H55)),DB!$B$2:$B$2267,0),3),IFERROR(INDEX(DB!$B$2:$U$2267,MATCH(UPPER(TRIM($H55)),DB!$J$2:$J$2267,0),3),"")))</f>
        <v/>
      </c>
      <c r="K57" s="6" t="str">
        <f>IF(H55="","",IFERROR(INDEX(DB!$B$2:$U$2267,MATCH(UPPER(TRIM($H55)),DB!$B$2:$B$2267,0),4),IFERROR(INDEX(DB!$B$2:$U$2267,MATCH(UPPER(TRIM($H55)),DB!$J$2:$J$2267,0),4),"")))</f>
        <v/>
      </c>
      <c r="L57" s="6" t="str">
        <f>IF(H55="","",IFERROR(INDEX(DB!$B$2:$U$2267,MATCH(UPPER(TRIM($H55)),DB!$B$2:$B$2267,0),5),IFERROR(INDEX(DB!$B$2:$U$2267,MATCH(UPPER(TRIM($H55)),DB!$J$2:$J$2267,0),5),"")))</f>
        <v/>
      </c>
      <c r="M57" s="6" t="str">
        <f>IF(H55="","",IFERROR(INDEX(DB!$B$2:$U$2267,MATCH(UPPER(TRIM($H55)),DB!$B$2:$B$2267,0),6),IFERROR(INDEX(DB!$B$2:$U$2267,MATCH(UPPER(TRIM($H55)),DB!$J$2:$J$2267,0),6),"")))</f>
        <v/>
      </c>
      <c r="N57" s="6" t="str">
        <f>IF(H57="","",IFERROR(INDEX(DB!$B$2:$U$1713,MATCH(UPPER(TRIM(H57)),DB!$B$2:$B$1713,0),7),IFERROR(INDEX(DB!$B$2:$U$1713,MATCH(UPPER(TRIM(H57)),DB!$J$2:$J$1713,0),7),"")))</f>
        <v/>
      </c>
      <c r="O57" s="6"/>
      <c r="P57" s="6"/>
      <c r="Q57" s="6"/>
      <c r="R57" s="6"/>
      <c r="S57" s="6"/>
      <c r="T57" s="6"/>
      <c r="U57" s="6"/>
      <c r="V57" s="6" t="str">
        <f t="shared" si="9"/>
        <v/>
      </c>
      <c r="W57" s="6"/>
      <c r="X57" s="6" t="str">
        <f t="shared" si="10"/>
        <v/>
      </c>
      <c r="Y57" s="6" t="str">
        <f t="shared" si="12"/>
        <v/>
      </c>
      <c r="Z57" s="6" t="str">
        <f t="shared" si="11"/>
        <v/>
      </c>
      <c r="AA57" s="6"/>
      <c r="AB57" s="6"/>
      <c r="AC57" s="6"/>
      <c r="AD57" s="6" t="str">
        <f>IF(H57="","",IFERROR(INDEX(DB!$B$2:$U$1713,MATCH(UPPER(TRIM(H57)),DB!$B$2:$B$1713,0),8),IFERROR(INDEX(DB!$B$2:$U$1713,MATCH(UPPER(TRIM(H57)),DB!$J$2:$J$1713,0),8),"")))</f>
        <v/>
      </c>
      <c r="AE57" s="6"/>
      <c r="AF57" s="6"/>
      <c r="AG57" s="6"/>
      <c r="AI57" t="str">
        <f>IF(AI4&lt;&gt;"",HYPERLINK("https://echa.europa.eu/search-for-chemicals?search_criteria_ecnumber=" &amp; AI4,"ECHA"),"")</f>
        <v/>
      </c>
    </row>
    <row r="58" spans="1:35" ht="15" customHeight="1" x14ac:dyDescent="0.25">
      <c r="A58" s="4" t="str">
        <f t="shared" si="8"/>
        <v/>
      </c>
      <c r="B58" s="4"/>
      <c r="C58" s="4"/>
      <c r="D58" s="5" t="str">
        <f t="shared" si="13"/>
        <v/>
      </c>
      <c r="E58" s="4"/>
      <c r="F58" s="4"/>
      <c r="G58" s="4"/>
      <c r="H58" s="4"/>
      <c r="I58" s="4" t="str">
        <f>IFERROR(INDEX(DB!$C$2:$C$2267,MATCH(UPPER(TRIM($H56)),DB!$B$2:$B$2267,0)),IFERROR(INDEX(DB!$C$2:$C$2267,MATCH(UPPER(TRIM($H56)),DB!$J$2:$J$2267,0)),""))</f>
        <v/>
      </c>
      <c r="J58" s="4" t="str">
        <f>IF(H56="","",IFERROR(INDEX(DB!$B$2:$U$2267,MATCH(UPPER(TRIM($H56)),DB!$B$2:$B$2267,0),3),IFERROR(INDEX(DB!$B$2:$U$2267,MATCH(UPPER(TRIM($H56)),DB!$J$2:$J$2267,0),3),"")))</f>
        <v/>
      </c>
      <c r="K58" s="4" t="str">
        <f>IF(H56="","",IFERROR(INDEX(DB!$B$2:$U$2267,MATCH(UPPER(TRIM($H56)),DB!$B$2:$B$2267,0),4),IFERROR(INDEX(DB!$B$2:$U$2267,MATCH(UPPER(TRIM($H56)),DB!$J$2:$J$2267,0),4),"")))</f>
        <v/>
      </c>
      <c r="L58" s="4" t="str">
        <f>IF(H56="","",IFERROR(INDEX(DB!$B$2:$U$2267,MATCH(UPPER(TRIM($H56)),DB!$B$2:$B$2267,0),5),IFERROR(INDEX(DB!$B$2:$U$2267,MATCH(UPPER(TRIM($H56)),DB!$J$2:$J$2267,0),5),"")))</f>
        <v/>
      </c>
      <c r="M58" s="4" t="str">
        <f>IF(H56="","",IFERROR(INDEX(DB!$B$2:$U$2267,MATCH(UPPER(TRIM($H56)),DB!$B$2:$B$2267,0),6),IFERROR(INDEX(DB!$B$2:$U$2267,MATCH(UPPER(TRIM($H56)),DB!$J$2:$J$2267,0),6),"")))</f>
        <v/>
      </c>
      <c r="N58" s="4" t="str">
        <f>IF(H58="","",IFERROR(INDEX(DB!$B$2:$U$1713,MATCH(UPPER(TRIM(H58)),DB!$B$2:$B$1713,0),7),IFERROR(INDEX(DB!$B$2:$U$1713,MATCH(UPPER(TRIM(H58)),DB!$J$2:$J$1713,0),7),"")))</f>
        <v/>
      </c>
      <c r="O58" s="4"/>
      <c r="P58" s="4"/>
      <c r="Q58" s="4"/>
      <c r="R58" s="4"/>
      <c r="S58" s="4"/>
      <c r="T58" s="4"/>
      <c r="U58" s="4"/>
      <c r="V58" s="4" t="str">
        <f t="shared" si="9"/>
        <v/>
      </c>
      <c r="W58" s="4"/>
      <c r="X58" s="4" t="str">
        <f t="shared" si="10"/>
        <v/>
      </c>
      <c r="Y58" s="4" t="str">
        <f t="shared" si="12"/>
        <v/>
      </c>
      <c r="Z58" s="4" t="str">
        <f t="shared" si="11"/>
        <v/>
      </c>
      <c r="AA58" s="4"/>
      <c r="AB58" s="4"/>
      <c r="AC58" s="4"/>
      <c r="AD58" s="4" t="str">
        <f>IF(H58="","",IFERROR(INDEX(DB!$B$2:$U$1713,MATCH(UPPER(TRIM(H58)),DB!$B$2:$B$1713,0),8),IFERROR(INDEX(DB!$B$2:$U$1713,MATCH(UPPER(TRIM(H58)),DB!$J$2:$J$1713,0),8),"")))</f>
        <v/>
      </c>
      <c r="AE58" s="4"/>
      <c r="AF58" s="4"/>
      <c r="AG58" s="4"/>
      <c r="AI58" t="str">
        <f>IF(AI4&lt;&gt;"",HYPERLINK("https://echa.europa.eu/search-for-chemicals?search_criteria_ecnumber=" &amp; AI4,"ECHA"),"")</f>
        <v/>
      </c>
    </row>
    <row r="59" spans="1:35" ht="15" customHeight="1" x14ac:dyDescent="0.25">
      <c r="A59" s="6" t="str">
        <f t="shared" si="8"/>
        <v/>
      </c>
      <c r="B59" s="6"/>
      <c r="C59" s="6"/>
      <c r="D59" s="7" t="str">
        <f t="shared" si="13"/>
        <v/>
      </c>
      <c r="E59" s="6"/>
      <c r="F59" s="6"/>
      <c r="G59" s="6"/>
      <c r="H59" s="6"/>
      <c r="I59" s="6" t="str">
        <f>IFERROR(INDEX(DB!$C$2:$C$2267,MATCH(UPPER(TRIM($H57)),DB!$B$2:$B$2267,0)),IFERROR(INDEX(DB!$C$2:$C$2267,MATCH(UPPER(TRIM($H57)),DB!$J$2:$J$2267,0)),""))</f>
        <v/>
      </c>
      <c r="J59" s="6" t="str">
        <f>IF(H57="","",IFERROR(INDEX(DB!$B$2:$U$2267,MATCH(UPPER(TRIM($H57)),DB!$B$2:$B$2267,0),3),IFERROR(INDEX(DB!$B$2:$U$2267,MATCH(UPPER(TRIM($H57)),DB!$J$2:$J$2267,0),3),"")))</f>
        <v/>
      </c>
      <c r="K59" s="6" t="str">
        <f>IF(H57="","",IFERROR(INDEX(DB!$B$2:$U$2267,MATCH(UPPER(TRIM($H57)),DB!$B$2:$B$2267,0),4),IFERROR(INDEX(DB!$B$2:$U$2267,MATCH(UPPER(TRIM($H57)),DB!$J$2:$J$2267,0),4),"")))</f>
        <v/>
      </c>
      <c r="L59" s="6" t="str">
        <f>IF(H57="","",IFERROR(INDEX(DB!$B$2:$U$2267,MATCH(UPPER(TRIM($H57)),DB!$B$2:$B$2267,0),5),IFERROR(INDEX(DB!$B$2:$U$2267,MATCH(UPPER(TRIM($H57)),DB!$J$2:$J$2267,0),5),"")))</f>
        <v/>
      </c>
      <c r="M59" s="6" t="str">
        <f>IF(H57="","",IFERROR(INDEX(DB!$B$2:$U$2267,MATCH(UPPER(TRIM($H57)),DB!$B$2:$B$2267,0),6),IFERROR(INDEX(DB!$B$2:$U$2267,MATCH(UPPER(TRIM($H57)),DB!$J$2:$J$2267,0),6),"")))</f>
        <v/>
      </c>
      <c r="N59" s="6" t="str">
        <f>IF(H59="","",IFERROR(INDEX(DB!$B$2:$U$1713,MATCH(UPPER(TRIM(H59)),DB!$B$2:$B$1713,0),7),IFERROR(INDEX(DB!$B$2:$U$1713,MATCH(UPPER(TRIM(H59)),DB!$J$2:$J$1713,0),7),"")))</f>
        <v/>
      </c>
      <c r="O59" s="6"/>
      <c r="P59" s="6"/>
      <c r="Q59" s="6"/>
      <c r="R59" s="6"/>
      <c r="S59" s="6"/>
      <c r="T59" s="6"/>
      <c r="U59" s="6"/>
      <c r="V59" s="6" t="str">
        <f t="shared" si="9"/>
        <v/>
      </c>
      <c r="W59" s="6"/>
      <c r="X59" s="6" t="str">
        <f t="shared" si="10"/>
        <v/>
      </c>
      <c r="Y59" s="6" t="str">
        <f t="shared" si="12"/>
        <v/>
      </c>
      <c r="Z59" s="6" t="str">
        <f t="shared" si="11"/>
        <v/>
      </c>
      <c r="AA59" s="6"/>
      <c r="AB59" s="6"/>
      <c r="AC59" s="6"/>
      <c r="AD59" s="6" t="str">
        <f>IF(H59="","",IFERROR(INDEX(DB!$B$2:$U$1713,MATCH(UPPER(TRIM(H59)),DB!$B$2:$B$1713,0),8),IFERROR(INDEX(DB!$B$2:$U$1713,MATCH(UPPER(TRIM(H59)),DB!$J$2:$J$1713,0),8),"")))</f>
        <v/>
      </c>
      <c r="AE59" s="6"/>
      <c r="AF59" s="6"/>
      <c r="AG59" s="6"/>
      <c r="AI59" t="str">
        <f>IF(AI4&lt;&gt;"",HYPERLINK("https://echa.europa.eu/search-for-chemicals?search_criteria_ecnumber=" &amp; AI4,"ECHA"),"")</f>
        <v/>
      </c>
    </row>
    <row r="60" spans="1:35" ht="15" customHeight="1" x14ac:dyDescent="0.25">
      <c r="A60" s="4" t="str">
        <f t="shared" si="8"/>
        <v/>
      </c>
      <c r="B60" s="4"/>
      <c r="C60" s="4"/>
      <c r="D60" s="5" t="str">
        <f t="shared" si="13"/>
        <v/>
      </c>
      <c r="E60" s="4"/>
      <c r="F60" s="4"/>
      <c r="G60" s="4"/>
      <c r="H60" s="4"/>
      <c r="I60" s="4" t="str">
        <f>IFERROR(INDEX(DB!$C$2:$C$2267,MATCH(UPPER(TRIM($H58)),DB!$B$2:$B$2267,0)),IFERROR(INDEX(DB!$C$2:$C$2267,MATCH(UPPER(TRIM($H58)),DB!$J$2:$J$2267,0)),""))</f>
        <v/>
      </c>
      <c r="J60" s="4" t="str">
        <f>IF(H58="","",IFERROR(INDEX(DB!$B$2:$U$2267,MATCH(UPPER(TRIM($H58)),DB!$B$2:$B$2267,0),3),IFERROR(INDEX(DB!$B$2:$U$2267,MATCH(UPPER(TRIM($H58)),DB!$J$2:$J$2267,0),3),"")))</f>
        <v/>
      </c>
      <c r="K60" s="4" t="str">
        <f>IF(H58="","",IFERROR(INDEX(DB!$B$2:$U$2267,MATCH(UPPER(TRIM($H58)),DB!$B$2:$B$2267,0),4),IFERROR(INDEX(DB!$B$2:$U$2267,MATCH(UPPER(TRIM($H58)),DB!$J$2:$J$2267,0),4),"")))</f>
        <v/>
      </c>
      <c r="L60" s="4" t="str">
        <f>IF(H58="","",IFERROR(INDEX(DB!$B$2:$U$2267,MATCH(UPPER(TRIM($H58)),DB!$B$2:$B$2267,0),5),IFERROR(INDEX(DB!$B$2:$U$2267,MATCH(UPPER(TRIM($H58)),DB!$J$2:$J$2267,0),5),"")))</f>
        <v/>
      </c>
      <c r="M60" s="4" t="str">
        <f>IF(H58="","",IFERROR(INDEX(DB!$B$2:$U$2267,MATCH(UPPER(TRIM($H58)),DB!$B$2:$B$2267,0),6),IFERROR(INDEX(DB!$B$2:$U$2267,MATCH(UPPER(TRIM($H58)),DB!$J$2:$J$2267,0),6),"")))</f>
        <v/>
      </c>
      <c r="N60" s="4" t="str">
        <f>IF(H60="","",IFERROR(INDEX(DB!$B$2:$U$1713,MATCH(UPPER(TRIM(H60)),DB!$B$2:$B$1713,0),7),IFERROR(INDEX(DB!$B$2:$U$1713,MATCH(UPPER(TRIM(H60)),DB!$J$2:$J$1713,0),7),"")))</f>
        <v/>
      </c>
      <c r="O60" s="4"/>
      <c r="P60" s="4"/>
      <c r="Q60" s="4"/>
      <c r="R60" s="4"/>
      <c r="S60" s="4"/>
      <c r="T60" s="4"/>
      <c r="U60" s="4"/>
      <c r="V60" s="4" t="str">
        <f t="shared" si="9"/>
        <v/>
      </c>
      <c r="W60" s="4"/>
      <c r="X60" s="4" t="str">
        <f t="shared" si="10"/>
        <v/>
      </c>
      <c r="Y60" s="4" t="str">
        <f t="shared" si="12"/>
        <v/>
      </c>
      <c r="Z60" s="4" t="str">
        <f t="shared" si="11"/>
        <v/>
      </c>
      <c r="AA60" s="4"/>
      <c r="AB60" s="4"/>
      <c r="AC60" s="4"/>
      <c r="AD60" s="4" t="str">
        <f>IF(H60="","",IFERROR(INDEX(DB!$B$2:$U$1713,MATCH(UPPER(TRIM(H60)),DB!$B$2:$B$1713,0),8),IFERROR(INDEX(DB!$B$2:$U$1713,MATCH(UPPER(TRIM(H60)),DB!$J$2:$J$1713,0),8),"")))</f>
        <v/>
      </c>
      <c r="AE60" s="4"/>
      <c r="AF60" s="4"/>
      <c r="AG60" s="4"/>
      <c r="AI60" t="str">
        <f>IF(AI4&lt;&gt;"",HYPERLINK("https://echa.europa.eu/search-for-chemicals?search_criteria_ecnumber=" &amp; AI4,"ECHA"),"")</f>
        <v/>
      </c>
    </row>
    <row r="61" spans="1:35" ht="15" customHeight="1" x14ac:dyDescent="0.25">
      <c r="A61" s="6" t="str">
        <f t="shared" si="8"/>
        <v/>
      </c>
      <c r="B61" s="6"/>
      <c r="C61" s="6"/>
      <c r="D61" s="7" t="str">
        <f t="shared" si="13"/>
        <v/>
      </c>
      <c r="E61" s="6"/>
      <c r="F61" s="6"/>
      <c r="G61" s="6"/>
      <c r="H61" s="6"/>
      <c r="I61" s="6" t="str">
        <f>IFERROR(INDEX(DB!$C$2:$C$2267,MATCH(UPPER(TRIM($H59)),DB!$B$2:$B$2267,0)),IFERROR(INDEX(DB!$C$2:$C$2267,MATCH(UPPER(TRIM($H59)),DB!$J$2:$J$2267,0)),""))</f>
        <v/>
      </c>
      <c r="J61" s="6" t="str">
        <f>IF(H59="","",IFERROR(INDEX(DB!$B$2:$U$2267,MATCH(UPPER(TRIM($H59)),DB!$B$2:$B$2267,0),3),IFERROR(INDEX(DB!$B$2:$U$2267,MATCH(UPPER(TRIM($H59)),DB!$J$2:$J$2267,0),3),"")))</f>
        <v/>
      </c>
      <c r="K61" s="6" t="str">
        <f>IF(H59="","",IFERROR(INDEX(DB!$B$2:$U$2267,MATCH(UPPER(TRIM($H59)),DB!$B$2:$B$2267,0),4),IFERROR(INDEX(DB!$B$2:$U$2267,MATCH(UPPER(TRIM($H59)),DB!$J$2:$J$2267,0),4),"")))</f>
        <v/>
      </c>
      <c r="L61" s="6" t="str">
        <f>IF(H59="","",IFERROR(INDEX(DB!$B$2:$U$2267,MATCH(UPPER(TRIM($H59)),DB!$B$2:$B$2267,0),5),IFERROR(INDEX(DB!$B$2:$U$2267,MATCH(UPPER(TRIM($H59)),DB!$J$2:$J$2267,0),5),"")))</f>
        <v/>
      </c>
      <c r="M61" s="6" t="str">
        <f>IF(H59="","",IFERROR(INDEX(DB!$B$2:$U$2267,MATCH(UPPER(TRIM($H59)),DB!$B$2:$B$2267,0),6),IFERROR(INDEX(DB!$B$2:$U$2267,MATCH(UPPER(TRIM($H59)),DB!$J$2:$J$2267,0),6),"")))</f>
        <v/>
      </c>
      <c r="N61" s="6" t="str">
        <f>IF(H61="","",IFERROR(INDEX(DB!$B$2:$U$1713,MATCH(UPPER(TRIM(H61)),DB!$B$2:$B$1713,0),7),IFERROR(INDEX(DB!$B$2:$U$1713,MATCH(UPPER(TRIM(H61)),DB!$J$2:$J$1713,0),7),"")))</f>
        <v/>
      </c>
      <c r="O61" s="6"/>
      <c r="P61" s="6"/>
      <c r="Q61" s="6"/>
      <c r="R61" s="6"/>
      <c r="S61" s="6"/>
      <c r="T61" s="6"/>
      <c r="U61" s="6"/>
      <c r="V61" s="6" t="str">
        <f t="shared" si="9"/>
        <v/>
      </c>
      <c r="W61" s="6"/>
      <c r="X61" s="6" t="str">
        <f t="shared" si="10"/>
        <v/>
      </c>
      <c r="Y61" s="6" t="str">
        <f t="shared" si="12"/>
        <v/>
      </c>
      <c r="Z61" s="6" t="str">
        <f t="shared" si="11"/>
        <v/>
      </c>
      <c r="AA61" s="6"/>
      <c r="AB61" s="6"/>
      <c r="AC61" s="6"/>
      <c r="AD61" s="6" t="str">
        <f>IF(H61="","",IFERROR(INDEX(DB!$B$2:$U$1713,MATCH(UPPER(TRIM(H61)),DB!$B$2:$B$1713,0),8),IFERROR(INDEX(DB!$B$2:$U$1713,MATCH(UPPER(TRIM(H61)),DB!$J$2:$J$1713,0),8),"")))</f>
        <v/>
      </c>
      <c r="AE61" s="6"/>
      <c r="AF61" s="6"/>
      <c r="AG61" s="6"/>
      <c r="AI61" t="str">
        <f>IF(AI4&lt;&gt;"",HYPERLINK("https://echa.europa.eu/search-for-chemicals?search_criteria_ecnumber=" &amp; AI4,"ECHA"),"")</f>
        <v/>
      </c>
    </row>
    <row r="62" spans="1:35" ht="15" customHeight="1" x14ac:dyDescent="0.25">
      <c r="A62" s="4" t="str">
        <f t="shared" si="8"/>
        <v/>
      </c>
      <c r="B62" s="4"/>
      <c r="C62" s="4"/>
      <c r="D62" s="5" t="str">
        <f t="shared" si="13"/>
        <v/>
      </c>
      <c r="E62" s="4"/>
      <c r="F62" s="4"/>
      <c r="G62" s="4"/>
      <c r="H62" s="4"/>
      <c r="I62" s="4" t="str">
        <f>IFERROR(INDEX(DB!$C$2:$C$2267,MATCH(UPPER(TRIM($H60)),DB!$B$2:$B$2267,0)),IFERROR(INDEX(DB!$C$2:$C$2267,MATCH(UPPER(TRIM($H60)),DB!$J$2:$J$2267,0)),""))</f>
        <v/>
      </c>
      <c r="J62" s="4" t="str">
        <f>IF(H60="","",IFERROR(INDEX(DB!$B$2:$U$2267,MATCH(UPPER(TRIM($H60)),DB!$B$2:$B$2267,0),3),IFERROR(INDEX(DB!$B$2:$U$2267,MATCH(UPPER(TRIM($H60)),DB!$J$2:$J$2267,0),3),"")))</f>
        <v/>
      </c>
      <c r="K62" s="4" t="str">
        <f>IF(H60="","",IFERROR(INDEX(DB!$B$2:$U$2267,MATCH(UPPER(TRIM($H60)),DB!$B$2:$B$2267,0),4),IFERROR(INDEX(DB!$B$2:$U$2267,MATCH(UPPER(TRIM($H60)),DB!$J$2:$J$2267,0),4),"")))</f>
        <v/>
      </c>
      <c r="L62" s="4" t="str">
        <f>IF(H60="","",IFERROR(INDEX(DB!$B$2:$U$2267,MATCH(UPPER(TRIM($H60)),DB!$B$2:$B$2267,0),5),IFERROR(INDEX(DB!$B$2:$U$2267,MATCH(UPPER(TRIM($H60)),DB!$J$2:$J$2267,0),5),"")))</f>
        <v/>
      </c>
      <c r="M62" s="4" t="str">
        <f>IF(H60="","",IFERROR(INDEX(DB!$B$2:$U$2267,MATCH(UPPER(TRIM($H60)),DB!$B$2:$B$2267,0),6),IFERROR(INDEX(DB!$B$2:$U$2267,MATCH(UPPER(TRIM($H60)),DB!$J$2:$J$2267,0),6),"")))</f>
        <v/>
      </c>
      <c r="N62" s="4" t="str">
        <f>IF(H62="","",IFERROR(INDEX(DB!$B$2:$U$1713,MATCH(UPPER(TRIM(H62)),DB!$B$2:$B$1713,0),7),IFERROR(INDEX(DB!$B$2:$U$1713,MATCH(UPPER(TRIM(H62)),DB!$J$2:$J$1713,0),7),"")))</f>
        <v/>
      </c>
      <c r="O62" s="4"/>
      <c r="P62" s="4"/>
      <c r="Q62" s="4"/>
      <c r="R62" s="4"/>
      <c r="S62" s="4"/>
      <c r="T62" s="4"/>
      <c r="U62" s="4"/>
      <c r="V62" s="4" t="str">
        <f t="shared" si="9"/>
        <v/>
      </c>
      <c r="W62" s="4"/>
      <c r="X62" s="4" t="str">
        <f t="shared" si="10"/>
        <v/>
      </c>
      <c r="Y62" s="4" t="str">
        <f t="shared" si="12"/>
        <v/>
      </c>
      <c r="Z62" s="4" t="str">
        <f t="shared" si="11"/>
        <v/>
      </c>
      <c r="AA62" s="4"/>
      <c r="AB62" s="4"/>
      <c r="AC62" s="4"/>
      <c r="AD62" s="4" t="str">
        <f>IF(H62="","",IFERROR(INDEX(DB!$B$2:$U$1713,MATCH(UPPER(TRIM(H62)),DB!$B$2:$B$1713,0),8),IFERROR(INDEX(DB!$B$2:$U$1713,MATCH(UPPER(TRIM(H62)),DB!$J$2:$J$1713,0),8),"")))</f>
        <v/>
      </c>
      <c r="AE62" s="4"/>
      <c r="AF62" s="4"/>
      <c r="AG62" s="4"/>
      <c r="AI62" t="str">
        <f>IF(AI4&lt;&gt;"",HYPERLINK("https://echa.europa.eu/search-for-chemicals?search_criteria_ecnumber=" &amp; AI4,"ECHA"),"")</f>
        <v/>
      </c>
    </row>
    <row r="63" spans="1:35" ht="15" customHeight="1" x14ac:dyDescent="0.25">
      <c r="A63" s="6" t="str">
        <f t="shared" si="8"/>
        <v/>
      </c>
      <c r="B63" s="6"/>
      <c r="C63" s="6"/>
      <c r="D63" s="7" t="str">
        <f t="shared" si="13"/>
        <v/>
      </c>
      <c r="E63" s="6"/>
      <c r="F63" s="6"/>
      <c r="G63" s="6"/>
      <c r="H63" s="6"/>
      <c r="I63" s="6" t="str">
        <f>IFERROR(INDEX(DB!$C$2:$C$2267,MATCH(UPPER(TRIM($H61)),DB!$B$2:$B$2267,0)),IFERROR(INDEX(DB!$C$2:$C$2267,MATCH(UPPER(TRIM($H61)),DB!$J$2:$J$2267,0)),""))</f>
        <v/>
      </c>
      <c r="J63" s="6" t="str">
        <f>IF(H61="","",IFERROR(INDEX(DB!$B$2:$U$2267,MATCH(UPPER(TRIM($H61)),DB!$B$2:$B$2267,0),3),IFERROR(INDEX(DB!$B$2:$U$2267,MATCH(UPPER(TRIM($H61)),DB!$J$2:$J$2267,0),3),"")))</f>
        <v/>
      </c>
      <c r="K63" s="6" t="str">
        <f>IF(H61="","",IFERROR(INDEX(DB!$B$2:$U$2267,MATCH(UPPER(TRIM($H61)),DB!$B$2:$B$2267,0),4),IFERROR(INDEX(DB!$B$2:$U$2267,MATCH(UPPER(TRIM($H61)),DB!$J$2:$J$2267,0),4),"")))</f>
        <v/>
      </c>
      <c r="L63" s="6" t="str">
        <f>IF(H61="","",IFERROR(INDEX(DB!$B$2:$U$2267,MATCH(UPPER(TRIM($H61)),DB!$B$2:$B$2267,0),5),IFERROR(INDEX(DB!$B$2:$U$2267,MATCH(UPPER(TRIM($H61)),DB!$J$2:$J$2267,0),5),"")))</f>
        <v/>
      </c>
      <c r="M63" s="6" t="str">
        <f>IF(H61="","",IFERROR(INDEX(DB!$B$2:$U$2267,MATCH(UPPER(TRIM($H61)),DB!$B$2:$B$2267,0),6),IFERROR(INDEX(DB!$B$2:$U$2267,MATCH(UPPER(TRIM($H61)),DB!$J$2:$J$2267,0),6),"")))</f>
        <v/>
      </c>
      <c r="N63" s="6" t="str">
        <f>IF(H63="","",IFERROR(INDEX(DB!$B$2:$U$1713,MATCH(UPPER(TRIM(H63)),DB!$B$2:$B$1713,0),7),IFERROR(INDEX(DB!$B$2:$U$1713,MATCH(UPPER(TRIM(H63)),DB!$J$2:$J$1713,0),7),"")))</f>
        <v/>
      </c>
      <c r="O63" s="6"/>
      <c r="P63" s="6"/>
      <c r="Q63" s="6"/>
      <c r="R63" s="6"/>
      <c r="S63" s="6"/>
      <c r="T63" s="6"/>
      <c r="U63" s="6"/>
      <c r="V63" s="6" t="str">
        <f t="shared" si="9"/>
        <v/>
      </c>
      <c r="W63" s="6"/>
      <c r="X63" s="6" t="str">
        <f t="shared" si="10"/>
        <v/>
      </c>
      <c r="Y63" s="6" t="str">
        <f t="shared" si="12"/>
        <v/>
      </c>
      <c r="Z63" s="6" t="str">
        <f t="shared" si="11"/>
        <v/>
      </c>
      <c r="AA63" s="6"/>
      <c r="AB63" s="6"/>
      <c r="AC63" s="6"/>
      <c r="AD63" s="6" t="str">
        <f>IF(H63="","",IFERROR(INDEX(DB!$B$2:$U$1713,MATCH(UPPER(TRIM(H63)),DB!$B$2:$B$1713,0),8),IFERROR(INDEX(DB!$B$2:$U$1713,MATCH(UPPER(TRIM(H63)),DB!$J$2:$J$1713,0),8),"")))</f>
        <v/>
      </c>
      <c r="AE63" s="6"/>
      <c r="AF63" s="6"/>
      <c r="AG63" s="6"/>
      <c r="AI63" t="str">
        <f>IF(AI4&lt;&gt;"",HYPERLINK("https://echa.europa.eu/search-for-chemicals?search_criteria_ecnumber=" &amp; AI4,"ECHA"),"")</f>
        <v/>
      </c>
    </row>
    <row r="64" spans="1:35" ht="15" customHeight="1" x14ac:dyDescent="0.25">
      <c r="A64" s="4" t="str">
        <f t="shared" si="8"/>
        <v/>
      </c>
      <c r="B64" s="4"/>
      <c r="C64" s="4"/>
      <c r="D64" s="5" t="str">
        <f t="shared" si="13"/>
        <v/>
      </c>
      <c r="E64" s="4"/>
      <c r="F64" s="4"/>
      <c r="G64" s="4"/>
      <c r="H64" s="4"/>
      <c r="I64" s="4" t="str">
        <f>IFERROR(INDEX(DB!$C$2:$C$2267,MATCH(UPPER(TRIM($H62)),DB!$B$2:$B$2267,0)),IFERROR(INDEX(DB!$C$2:$C$2267,MATCH(UPPER(TRIM($H62)),DB!$J$2:$J$2267,0)),""))</f>
        <v/>
      </c>
      <c r="J64" s="4" t="str">
        <f>IF(H62="","",IFERROR(INDEX(DB!$B$2:$U$2267,MATCH(UPPER(TRIM($H62)),DB!$B$2:$B$2267,0),3),IFERROR(INDEX(DB!$B$2:$U$2267,MATCH(UPPER(TRIM($H62)),DB!$J$2:$J$2267,0),3),"")))</f>
        <v/>
      </c>
      <c r="K64" s="4" t="str">
        <f>IF(H62="","",IFERROR(INDEX(DB!$B$2:$U$2267,MATCH(UPPER(TRIM($H62)),DB!$B$2:$B$2267,0),4),IFERROR(INDEX(DB!$B$2:$U$2267,MATCH(UPPER(TRIM($H62)),DB!$J$2:$J$2267,0),4),"")))</f>
        <v/>
      </c>
      <c r="L64" s="4" t="str">
        <f>IF(H62="","",IFERROR(INDEX(DB!$B$2:$U$2267,MATCH(UPPER(TRIM($H62)),DB!$B$2:$B$2267,0),5),IFERROR(INDEX(DB!$B$2:$U$2267,MATCH(UPPER(TRIM($H62)),DB!$J$2:$J$2267,0),5),"")))</f>
        <v/>
      </c>
      <c r="M64" s="4" t="str">
        <f>IF(H62="","",IFERROR(INDEX(DB!$B$2:$U$2267,MATCH(UPPER(TRIM($H62)),DB!$B$2:$B$2267,0),6),IFERROR(INDEX(DB!$B$2:$U$2267,MATCH(UPPER(TRIM($H62)),DB!$J$2:$J$2267,0),6),"")))</f>
        <v/>
      </c>
      <c r="N64" s="4" t="str">
        <f>IF(H64="","",IFERROR(INDEX(DB!$B$2:$U$1713,MATCH(UPPER(TRIM(H64)),DB!$B$2:$B$1713,0),7),IFERROR(INDEX(DB!$B$2:$U$1713,MATCH(UPPER(TRIM(H64)),DB!$J$2:$J$1713,0),7),"")))</f>
        <v/>
      </c>
      <c r="O64" s="4"/>
      <c r="P64" s="4"/>
      <c r="Q64" s="4"/>
      <c r="R64" s="4"/>
      <c r="S64" s="4"/>
      <c r="T64" s="4"/>
      <c r="U64" s="4"/>
      <c r="V64" s="4" t="str">
        <f t="shared" si="9"/>
        <v/>
      </c>
      <c r="W64" s="4"/>
      <c r="X64" s="4" t="str">
        <f t="shared" si="10"/>
        <v/>
      </c>
      <c r="Y64" s="4" t="str">
        <f t="shared" si="12"/>
        <v/>
      </c>
      <c r="Z64" s="4" t="str">
        <f t="shared" si="11"/>
        <v/>
      </c>
      <c r="AA64" s="4"/>
      <c r="AB64" s="4"/>
      <c r="AC64" s="4"/>
      <c r="AD64" s="4" t="str">
        <f>IF(H64="","",IFERROR(INDEX(DB!$B$2:$U$1713,MATCH(UPPER(TRIM(H64)),DB!$B$2:$B$1713,0),8),IFERROR(INDEX(DB!$B$2:$U$1713,MATCH(UPPER(TRIM(H64)),DB!$J$2:$J$1713,0),8),"")))</f>
        <v/>
      </c>
      <c r="AE64" s="4"/>
      <c r="AF64" s="4"/>
      <c r="AG64" s="4"/>
      <c r="AI64" t="str">
        <f>IF(AI4&lt;&gt;"",HYPERLINK("https://echa.europa.eu/search-for-chemicals?search_criteria_ecnumber=" &amp; AI4,"ECHA"),"")</f>
        <v/>
      </c>
    </row>
    <row r="65" spans="1:35" ht="15" customHeight="1" x14ac:dyDescent="0.25">
      <c r="A65" s="6" t="str">
        <f t="shared" si="8"/>
        <v/>
      </c>
      <c r="B65" s="6"/>
      <c r="C65" s="6"/>
      <c r="D65" s="7" t="str">
        <f t="shared" si="13"/>
        <v/>
      </c>
      <c r="E65" s="6"/>
      <c r="F65" s="6"/>
      <c r="G65" s="6"/>
      <c r="H65" s="6"/>
      <c r="I65" s="6" t="str">
        <f>IFERROR(INDEX(DB!$C$2:$C$2267,MATCH(UPPER(TRIM($H63)),DB!$B$2:$B$2267,0)),IFERROR(INDEX(DB!$C$2:$C$2267,MATCH(UPPER(TRIM($H63)),DB!$J$2:$J$2267,0)),""))</f>
        <v/>
      </c>
      <c r="J65" s="6" t="str">
        <f>IF(H63="","",IFERROR(INDEX(DB!$B$2:$U$2267,MATCH(UPPER(TRIM($H63)),DB!$B$2:$B$2267,0),3),IFERROR(INDEX(DB!$B$2:$U$2267,MATCH(UPPER(TRIM($H63)),DB!$J$2:$J$2267,0),3),"")))</f>
        <v/>
      </c>
      <c r="K65" s="6" t="str">
        <f>IF(H63="","",IFERROR(INDEX(DB!$B$2:$U$2267,MATCH(UPPER(TRIM($H63)),DB!$B$2:$B$2267,0),4),IFERROR(INDEX(DB!$B$2:$U$2267,MATCH(UPPER(TRIM($H63)),DB!$J$2:$J$2267,0),4),"")))</f>
        <v/>
      </c>
      <c r="L65" s="6" t="str">
        <f>IF(H63="","",IFERROR(INDEX(DB!$B$2:$U$2267,MATCH(UPPER(TRIM($H63)),DB!$B$2:$B$2267,0),5),IFERROR(INDEX(DB!$B$2:$U$2267,MATCH(UPPER(TRIM($H63)),DB!$J$2:$J$2267,0),5),"")))</f>
        <v/>
      </c>
      <c r="M65" s="6" t="str">
        <f>IF(H63="","",IFERROR(INDEX(DB!$B$2:$U$2267,MATCH(UPPER(TRIM($H63)),DB!$B$2:$B$2267,0),6),IFERROR(INDEX(DB!$B$2:$U$2267,MATCH(UPPER(TRIM($H63)),DB!$J$2:$J$2267,0),6),"")))</f>
        <v/>
      </c>
      <c r="N65" s="6" t="str">
        <f>IF(H65="","",IFERROR(INDEX(DB!$B$2:$U$1713,MATCH(UPPER(TRIM(H65)),DB!$B$2:$B$1713,0),7),IFERROR(INDEX(DB!$B$2:$U$1713,MATCH(UPPER(TRIM(H65)),DB!$J$2:$J$1713,0),7),"")))</f>
        <v/>
      </c>
      <c r="O65" s="6"/>
      <c r="P65" s="6"/>
      <c r="Q65" s="6"/>
      <c r="R65" s="6"/>
      <c r="S65" s="6"/>
      <c r="T65" s="6"/>
      <c r="U65" s="6"/>
      <c r="V65" s="6" t="str">
        <f t="shared" si="9"/>
        <v/>
      </c>
      <c r="W65" s="6"/>
      <c r="X65" s="6" t="str">
        <f t="shared" si="10"/>
        <v/>
      </c>
      <c r="Y65" s="6" t="str">
        <f t="shared" si="12"/>
        <v/>
      </c>
      <c r="Z65" s="6" t="str">
        <f t="shared" si="11"/>
        <v/>
      </c>
      <c r="AA65" s="6"/>
      <c r="AB65" s="6"/>
      <c r="AC65" s="6"/>
      <c r="AD65" s="6" t="str">
        <f>IF(H65="","",IFERROR(INDEX(DB!$B$2:$U$1713,MATCH(UPPER(TRIM(H65)),DB!$B$2:$B$1713,0),8),IFERROR(INDEX(DB!$B$2:$U$1713,MATCH(UPPER(TRIM(H65)),DB!$J$2:$J$1713,0),8),"")))</f>
        <v/>
      </c>
      <c r="AE65" s="6"/>
      <c r="AF65" s="6"/>
      <c r="AG65" s="6"/>
      <c r="AI65" t="str">
        <f>IF(AI4&lt;&gt;"",HYPERLINK("https://echa.europa.eu/search-for-chemicals?search_criteria_ecnumber=" &amp; AI4,"ECHA"),"")</f>
        <v/>
      </c>
    </row>
    <row r="66" spans="1:35" ht="15" customHeight="1" x14ac:dyDescent="0.25">
      <c r="A66" s="4" t="str">
        <f t="shared" si="8"/>
        <v/>
      </c>
      <c r="B66" s="4"/>
      <c r="C66" s="4"/>
      <c r="D66" s="5" t="str">
        <f t="shared" si="13"/>
        <v/>
      </c>
      <c r="E66" s="4"/>
      <c r="F66" s="4"/>
      <c r="G66" s="4"/>
      <c r="H66" s="4"/>
      <c r="I66" s="4" t="str">
        <f>IFERROR(INDEX(DB!$C$2:$C$2267,MATCH(UPPER(TRIM($H64)),DB!$B$2:$B$2267,0)),IFERROR(INDEX(DB!$C$2:$C$2267,MATCH(UPPER(TRIM($H64)),DB!$J$2:$J$2267,0)),""))</f>
        <v/>
      </c>
      <c r="J66" s="4" t="str">
        <f>IF(H64="","",IFERROR(INDEX(DB!$B$2:$U$2267,MATCH(UPPER(TRIM($H64)),DB!$B$2:$B$2267,0),3),IFERROR(INDEX(DB!$B$2:$U$2267,MATCH(UPPER(TRIM($H64)),DB!$J$2:$J$2267,0),3),"")))</f>
        <v/>
      </c>
      <c r="K66" s="4" t="str">
        <f>IF(H64="","",IFERROR(INDEX(DB!$B$2:$U$2267,MATCH(UPPER(TRIM($H64)),DB!$B$2:$B$2267,0),4),IFERROR(INDEX(DB!$B$2:$U$2267,MATCH(UPPER(TRIM($H64)),DB!$J$2:$J$2267,0),4),"")))</f>
        <v/>
      </c>
      <c r="L66" s="4" t="str">
        <f>IF(H64="","",IFERROR(INDEX(DB!$B$2:$U$2267,MATCH(UPPER(TRIM($H64)),DB!$B$2:$B$2267,0),5),IFERROR(INDEX(DB!$B$2:$U$2267,MATCH(UPPER(TRIM($H64)),DB!$J$2:$J$2267,0),5),"")))</f>
        <v/>
      </c>
      <c r="M66" s="4" t="str">
        <f>IF(H64="","",IFERROR(INDEX(DB!$B$2:$U$2267,MATCH(UPPER(TRIM($H64)),DB!$B$2:$B$2267,0),6),IFERROR(INDEX(DB!$B$2:$U$2267,MATCH(UPPER(TRIM($H64)),DB!$J$2:$J$2267,0),6),"")))</f>
        <v/>
      </c>
      <c r="N66" s="4" t="str">
        <f>IF(H66="","",IFERROR(INDEX(DB!$B$2:$U$1713,MATCH(UPPER(TRIM(H66)),DB!$B$2:$B$1713,0),7),IFERROR(INDEX(DB!$B$2:$U$1713,MATCH(UPPER(TRIM(H66)),DB!$J$2:$J$1713,0),7),"")))</f>
        <v/>
      </c>
      <c r="O66" s="4"/>
      <c r="P66" s="4"/>
      <c r="Q66" s="4"/>
      <c r="R66" s="4"/>
      <c r="S66" s="4"/>
      <c r="T66" s="4"/>
      <c r="U66" s="4"/>
      <c r="V66" s="4" t="str">
        <f t="shared" si="9"/>
        <v/>
      </c>
      <c r="W66" s="4"/>
      <c r="X66" s="4" t="str">
        <f t="shared" si="10"/>
        <v/>
      </c>
      <c r="Y66" s="4" t="str">
        <f t="shared" si="12"/>
        <v/>
      </c>
      <c r="Z66" s="4" t="str">
        <f t="shared" si="11"/>
        <v/>
      </c>
      <c r="AA66" s="4"/>
      <c r="AB66" s="4"/>
      <c r="AC66" s="4"/>
      <c r="AD66" s="4" t="str">
        <f>IF(H66="","",IFERROR(INDEX(DB!$B$2:$U$1713,MATCH(UPPER(TRIM(H66)),DB!$B$2:$B$1713,0),8),IFERROR(INDEX(DB!$B$2:$U$1713,MATCH(UPPER(TRIM(H66)),DB!$J$2:$J$1713,0),8),"")))</f>
        <v/>
      </c>
      <c r="AE66" s="4"/>
      <c r="AF66" s="4"/>
      <c r="AG66" s="4"/>
      <c r="AI66" t="str">
        <f>IF(AI4&lt;&gt;"",HYPERLINK("https://echa.europa.eu/search-for-chemicals?search_criteria_ecnumber=" &amp; AI4,"ECHA"),"")</f>
        <v/>
      </c>
    </row>
    <row r="67" spans="1:35" ht="15" customHeight="1" x14ac:dyDescent="0.25">
      <c r="A67" s="6" t="str">
        <f t="shared" si="8"/>
        <v/>
      </c>
      <c r="B67" s="6"/>
      <c r="C67" s="6"/>
      <c r="D67" s="7" t="str">
        <f t="shared" si="13"/>
        <v/>
      </c>
      <c r="E67" s="6"/>
      <c r="F67" s="6"/>
      <c r="G67" s="6"/>
      <c r="H67" s="6"/>
      <c r="I67" s="6" t="str">
        <f>IFERROR(INDEX(DB!$C$2:$C$2267,MATCH(UPPER(TRIM($H65)),DB!$B$2:$B$2267,0)),IFERROR(INDEX(DB!$C$2:$C$2267,MATCH(UPPER(TRIM($H65)),DB!$J$2:$J$2267,0)),""))</f>
        <v/>
      </c>
      <c r="J67" s="6" t="str">
        <f>IF(H65="","",IFERROR(INDEX(DB!$B$2:$U$2267,MATCH(UPPER(TRIM($H65)),DB!$B$2:$B$2267,0),3),IFERROR(INDEX(DB!$B$2:$U$2267,MATCH(UPPER(TRIM($H65)),DB!$J$2:$J$2267,0),3),"")))</f>
        <v/>
      </c>
      <c r="K67" s="6" t="str">
        <f>IF(H65="","",IFERROR(INDEX(DB!$B$2:$U$2267,MATCH(UPPER(TRIM($H65)),DB!$B$2:$B$2267,0),4),IFERROR(INDEX(DB!$B$2:$U$2267,MATCH(UPPER(TRIM($H65)),DB!$J$2:$J$2267,0),4),"")))</f>
        <v/>
      </c>
      <c r="L67" s="6" t="str">
        <f>IF(H65="","",IFERROR(INDEX(DB!$B$2:$U$2267,MATCH(UPPER(TRIM($H65)),DB!$B$2:$B$2267,0),5),IFERROR(INDEX(DB!$B$2:$U$2267,MATCH(UPPER(TRIM($H65)),DB!$J$2:$J$2267,0),5),"")))</f>
        <v/>
      </c>
      <c r="M67" s="6" t="str">
        <f>IF(H65="","",IFERROR(INDEX(DB!$B$2:$U$2267,MATCH(UPPER(TRIM($H65)),DB!$B$2:$B$2267,0),6),IFERROR(INDEX(DB!$B$2:$U$2267,MATCH(UPPER(TRIM($H65)),DB!$J$2:$J$2267,0),6),"")))</f>
        <v/>
      </c>
      <c r="N67" s="6" t="str">
        <f>IF(H67="","",IFERROR(INDEX(DB!$B$2:$U$1713,MATCH(UPPER(TRIM(H67)),DB!$B$2:$B$1713,0),7),IFERROR(INDEX(DB!$B$2:$U$1713,MATCH(UPPER(TRIM(H67)),DB!$J$2:$J$1713,0),7),"")))</f>
        <v/>
      </c>
      <c r="O67" s="6"/>
      <c r="P67" s="6"/>
      <c r="Q67" s="6"/>
      <c r="R67" s="6"/>
      <c r="S67" s="6"/>
      <c r="T67" s="6"/>
      <c r="U67" s="6"/>
      <c r="V67" s="6" t="str">
        <f t="shared" si="9"/>
        <v/>
      </c>
      <c r="W67" s="6"/>
      <c r="X67" s="6" t="str">
        <f t="shared" si="10"/>
        <v/>
      </c>
      <c r="Y67" s="6" t="str">
        <f t="shared" si="12"/>
        <v/>
      </c>
      <c r="Z67" s="6" t="str">
        <f t="shared" si="11"/>
        <v/>
      </c>
      <c r="AA67" s="6"/>
      <c r="AB67" s="6"/>
      <c r="AC67" s="6"/>
      <c r="AD67" s="6" t="str">
        <f>IF(H67="","",IFERROR(INDEX(DB!$B$2:$U$1713,MATCH(UPPER(TRIM(H67)),DB!$B$2:$B$1713,0),8),IFERROR(INDEX(DB!$B$2:$U$1713,MATCH(UPPER(TRIM(H67)),DB!$J$2:$J$1713,0),8),"")))</f>
        <v/>
      </c>
      <c r="AE67" s="6"/>
      <c r="AF67" s="6"/>
      <c r="AG67" s="6"/>
      <c r="AI67" t="str">
        <f>IF(AI4&lt;&gt;"",HYPERLINK("https://echa.europa.eu/search-for-chemicals?search_criteria_ecnumber=" &amp; AI4,"ECHA"),"")</f>
        <v/>
      </c>
    </row>
    <row r="68" spans="1:35" ht="15" customHeight="1" x14ac:dyDescent="0.25">
      <c r="A68" s="4" t="str">
        <f t="shared" si="8"/>
        <v/>
      </c>
      <c r="B68" s="4"/>
      <c r="C68" s="4"/>
      <c r="D68" s="5" t="str">
        <f t="shared" si="13"/>
        <v/>
      </c>
      <c r="E68" s="4"/>
      <c r="F68" s="4"/>
      <c r="G68" s="4"/>
      <c r="H68" s="4"/>
      <c r="I68" s="4" t="str">
        <f>IFERROR(INDEX(DB!$C$2:$C$2267,MATCH(UPPER(TRIM($H66)),DB!$B$2:$B$2267,0)),IFERROR(INDEX(DB!$C$2:$C$2267,MATCH(UPPER(TRIM($H66)),DB!$J$2:$J$2267,0)),""))</f>
        <v/>
      </c>
      <c r="J68" s="4" t="str">
        <f>IF(H66="","",IFERROR(INDEX(DB!$B$2:$U$2267,MATCH(UPPER(TRIM($H66)),DB!$B$2:$B$2267,0),3),IFERROR(INDEX(DB!$B$2:$U$2267,MATCH(UPPER(TRIM($H66)),DB!$J$2:$J$2267,0),3),"")))</f>
        <v/>
      </c>
      <c r="K68" s="4" t="str">
        <f>IF(H66="","",IFERROR(INDEX(DB!$B$2:$U$2267,MATCH(UPPER(TRIM($H66)),DB!$B$2:$B$2267,0),4),IFERROR(INDEX(DB!$B$2:$U$2267,MATCH(UPPER(TRIM($H66)),DB!$J$2:$J$2267,0),4),"")))</f>
        <v/>
      </c>
      <c r="L68" s="4" t="str">
        <f>IF(H66="","",IFERROR(INDEX(DB!$B$2:$U$2267,MATCH(UPPER(TRIM($H66)),DB!$B$2:$B$2267,0),5),IFERROR(INDEX(DB!$B$2:$U$2267,MATCH(UPPER(TRIM($H66)),DB!$J$2:$J$2267,0),5),"")))</f>
        <v/>
      </c>
      <c r="M68" s="4" t="str">
        <f>IF(H66="","",IFERROR(INDEX(DB!$B$2:$U$2267,MATCH(UPPER(TRIM($H66)),DB!$B$2:$B$2267,0),6),IFERROR(INDEX(DB!$B$2:$U$2267,MATCH(UPPER(TRIM($H66)),DB!$J$2:$J$2267,0),6),"")))</f>
        <v/>
      </c>
      <c r="N68" s="4" t="str">
        <f>IF(H68="","",IFERROR(INDEX(DB!$B$2:$U$1713,MATCH(UPPER(TRIM(H68)),DB!$B$2:$B$1713,0),7),IFERROR(INDEX(DB!$B$2:$U$1713,MATCH(UPPER(TRIM(H68)),DB!$J$2:$J$1713,0),7),"")))</f>
        <v/>
      </c>
      <c r="O68" s="4"/>
      <c r="P68" s="4"/>
      <c r="Q68" s="4"/>
      <c r="R68" s="4"/>
      <c r="S68" s="4"/>
      <c r="T68" s="4"/>
      <c r="U68" s="4"/>
      <c r="V68" s="4" t="str">
        <f t="shared" si="9"/>
        <v/>
      </c>
      <c r="W68" s="4"/>
      <c r="X68" s="4" t="str">
        <f t="shared" si="10"/>
        <v/>
      </c>
      <c r="Y68" s="4" t="str">
        <f t="shared" si="12"/>
        <v/>
      </c>
      <c r="Z68" s="4" t="str">
        <f t="shared" si="11"/>
        <v/>
      </c>
      <c r="AA68" s="4"/>
      <c r="AB68" s="4"/>
      <c r="AC68" s="4"/>
      <c r="AD68" s="4" t="str">
        <f>IF(H68="","",IFERROR(INDEX(DB!$B$2:$U$1713,MATCH(UPPER(TRIM(H68)),DB!$B$2:$B$1713,0),8),IFERROR(INDEX(DB!$B$2:$U$1713,MATCH(UPPER(TRIM(H68)),DB!$J$2:$J$1713,0),8),"")))</f>
        <v/>
      </c>
      <c r="AE68" s="4"/>
      <c r="AF68" s="4"/>
      <c r="AG68" s="4"/>
      <c r="AI68" t="str">
        <f>IF(AI4&lt;&gt;"",HYPERLINK("https://echa.europa.eu/search-for-chemicals?search_criteria_ecnumber=" &amp; AI4,"ECHA"),"")</f>
        <v/>
      </c>
    </row>
    <row r="69" spans="1:35" ht="15" customHeight="1" x14ac:dyDescent="0.25">
      <c r="A69" s="6" t="str">
        <f t="shared" si="8"/>
        <v/>
      </c>
      <c r="B69" s="6"/>
      <c r="C69" s="6"/>
      <c r="D69" s="7" t="str">
        <f t="shared" si="13"/>
        <v/>
      </c>
      <c r="E69" s="6"/>
      <c r="F69" s="6"/>
      <c r="G69" s="6"/>
      <c r="H69" s="6"/>
      <c r="I69" s="6" t="str">
        <f>IFERROR(INDEX(DB!$C$2:$C$2267,MATCH(UPPER(TRIM($H67)),DB!$B$2:$B$2267,0)),IFERROR(INDEX(DB!$C$2:$C$2267,MATCH(UPPER(TRIM($H67)),DB!$J$2:$J$2267,0)),""))</f>
        <v/>
      </c>
      <c r="J69" s="6" t="str">
        <f>IF(H67="","",IFERROR(INDEX(DB!$B$2:$U$2267,MATCH(UPPER(TRIM($H67)),DB!$B$2:$B$2267,0),3),IFERROR(INDEX(DB!$B$2:$U$2267,MATCH(UPPER(TRIM($H67)),DB!$J$2:$J$2267,0),3),"")))</f>
        <v/>
      </c>
      <c r="K69" s="6" t="str">
        <f>IF(H67="","",IFERROR(INDEX(DB!$B$2:$U$2267,MATCH(UPPER(TRIM($H67)),DB!$B$2:$B$2267,0),4),IFERROR(INDEX(DB!$B$2:$U$2267,MATCH(UPPER(TRIM($H67)),DB!$J$2:$J$2267,0),4),"")))</f>
        <v/>
      </c>
      <c r="L69" s="6" t="str">
        <f>IF(H67="","",IFERROR(INDEX(DB!$B$2:$U$2267,MATCH(UPPER(TRIM($H67)),DB!$B$2:$B$2267,0),5),IFERROR(INDEX(DB!$B$2:$U$2267,MATCH(UPPER(TRIM($H67)),DB!$J$2:$J$2267,0),5),"")))</f>
        <v/>
      </c>
      <c r="M69" s="6" t="str">
        <f>IF(H67="","",IFERROR(INDEX(DB!$B$2:$U$2267,MATCH(UPPER(TRIM($H67)),DB!$B$2:$B$2267,0),6),IFERROR(INDEX(DB!$B$2:$U$2267,MATCH(UPPER(TRIM($H67)),DB!$J$2:$J$2267,0),6),"")))</f>
        <v/>
      </c>
      <c r="N69" s="6" t="str">
        <f>IF(H69="","",IFERROR(INDEX(DB!$B$2:$U$1713,MATCH(UPPER(TRIM(H69)),DB!$B$2:$B$1713,0),7),IFERROR(INDEX(DB!$B$2:$U$1713,MATCH(UPPER(TRIM(H69)),DB!$J$2:$J$1713,0),7),"")))</f>
        <v/>
      </c>
      <c r="O69" s="6"/>
      <c r="P69" s="6"/>
      <c r="Q69" s="6"/>
      <c r="R69" s="6"/>
      <c r="S69" s="6"/>
      <c r="T69" s="6"/>
      <c r="U69" s="6"/>
      <c r="V69" s="6" t="str">
        <f t="shared" si="9"/>
        <v/>
      </c>
      <c r="W69" s="6"/>
      <c r="X69" s="6" t="str">
        <f t="shared" si="10"/>
        <v/>
      </c>
      <c r="Y69" s="6" t="str">
        <f t="shared" si="12"/>
        <v/>
      </c>
      <c r="Z69" s="6" t="str">
        <f t="shared" si="11"/>
        <v/>
      </c>
      <c r="AA69" s="6"/>
      <c r="AB69" s="6"/>
      <c r="AC69" s="6"/>
      <c r="AD69" s="6" t="str">
        <f>IF(H69="","",IFERROR(INDEX(DB!$B$2:$U$1713,MATCH(UPPER(TRIM(H69)),DB!$B$2:$B$1713,0),8),IFERROR(INDEX(DB!$B$2:$U$1713,MATCH(UPPER(TRIM(H69)),DB!$J$2:$J$1713,0),8),"")))</f>
        <v/>
      </c>
      <c r="AE69" s="6"/>
      <c r="AF69" s="6"/>
      <c r="AG69" s="6"/>
      <c r="AI69" t="str">
        <f>IF(AI4&lt;&gt;"",HYPERLINK("https://echa.europa.eu/search-for-chemicals?search_criteria_ecnumber=" &amp; AI4,"ECHA"),"")</f>
        <v/>
      </c>
    </row>
    <row r="70" spans="1:35" ht="15" customHeight="1" x14ac:dyDescent="0.25">
      <c r="A70" s="4" t="str">
        <f t="shared" si="8"/>
        <v/>
      </c>
      <c r="B70" s="4"/>
      <c r="C70" s="4"/>
      <c r="D70" s="5" t="str">
        <f t="shared" si="13"/>
        <v/>
      </c>
      <c r="E70" s="4"/>
      <c r="F70" s="4"/>
      <c r="G70" s="4"/>
      <c r="H70" s="4"/>
      <c r="I70" s="4" t="str">
        <f>IFERROR(INDEX(DB!$C$2:$C$2267,MATCH(UPPER(TRIM($H68)),DB!$B$2:$B$2267,0)),IFERROR(INDEX(DB!$C$2:$C$2267,MATCH(UPPER(TRIM($H68)),DB!$J$2:$J$2267,0)),""))</f>
        <v/>
      </c>
      <c r="J70" s="4" t="str">
        <f>IF(H68="","",IFERROR(INDEX(DB!$B$2:$U$2267,MATCH(UPPER(TRIM($H68)),DB!$B$2:$B$2267,0),3),IFERROR(INDEX(DB!$B$2:$U$2267,MATCH(UPPER(TRIM($H68)),DB!$J$2:$J$2267,0),3),"")))</f>
        <v/>
      </c>
      <c r="K70" s="4" t="str">
        <f>IF(H68="","",IFERROR(INDEX(DB!$B$2:$U$2267,MATCH(UPPER(TRIM($H68)),DB!$B$2:$B$2267,0),4),IFERROR(INDEX(DB!$B$2:$U$2267,MATCH(UPPER(TRIM($H68)),DB!$J$2:$J$2267,0),4),"")))</f>
        <v/>
      </c>
      <c r="L70" s="4" t="str">
        <f>IF(H68="","",IFERROR(INDEX(DB!$B$2:$U$2267,MATCH(UPPER(TRIM($H68)),DB!$B$2:$B$2267,0),5),IFERROR(INDEX(DB!$B$2:$U$2267,MATCH(UPPER(TRIM($H68)),DB!$J$2:$J$2267,0),5),"")))</f>
        <v/>
      </c>
      <c r="M70" s="4" t="str">
        <f>IF(H68="","",IFERROR(INDEX(DB!$B$2:$U$2267,MATCH(UPPER(TRIM($H68)),DB!$B$2:$B$2267,0),6),IFERROR(INDEX(DB!$B$2:$U$2267,MATCH(UPPER(TRIM($H68)),DB!$J$2:$J$2267,0),6),"")))</f>
        <v/>
      </c>
      <c r="N70" s="4" t="str">
        <f>IF(H70="","",IFERROR(INDEX(DB!$B$2:$U$1713,MATCH(UPPER(TRIM(H70)),DB!$B$2:$B$1713,0),7),IFERROR(INDEX(DB!$B$2:$U$1713,MATCH(UPPER(TRIM(H70)),DB!$J$2:$J$1713,0),7),"")))</f>
        <v/>
      </c>
      <c r="O70" s="4"/>
      <c r="P70" s="4"/>
      <c r="Q70" s="4"/>
      <c r="R70" s="4"/>
      <c r="S70" s="4"/>
      <c r="T70" s="4"/>
      <c r="U70" s="4"/>
      <c r="V70" s="4" t="str">
        <f t="shared" si="9"/>
        <v/>
      </c>
      <c r="W70" s="4"/>
      <c r="X70" s="4" t="str">
        <f t="shared" si="10"/>
        <v/>
      </c>
      <c r="Y70" s="4" t="str">
        <f t="shared" si="12"/>
        <v/>
      </c>
      <c r="Z70" s="4" t="str">
        <f t="shared" si="11"/>
        <v/>
      </c>
      <c r="AA70" s="4"/>
      <c r="AB70" s="4"/>
      <c r="AC70" s="4"/>
      <c r="AD70" s="4" t="str">
        <f>IF(H70="","",IFERROR(INDEX(DB!$B$2:$U$1713,MATCH(UPPER(TRIM(H70)),DB!$B$2:$B$1713,0),8),IFERROR(INDEX(DB!$B$2:$U$1713,MATCH(UPPER(TRIM(H70)),DB!$J$2:$J$1713,0),8),"")))</f>
        <v/>
      </c>
      <c r="AE70" s="4"/>
      <c r="AF70" s="4"/>
      <c r="AG70" s="4"/>
      <c r="AI70" t="str">
        <f>IF(AI4&lt;&gt;"",HYPERLINK("https://echa.europa.eu/search-for-chemicals?search_criteria_ecnumber=" &amp; AI4,"ECHA"),"")</f>
        <v/>
      </c>
    </row>
    <row r="71" spans="1:35" ht="15" customHeight="1" x14ac:dyDescent="0.25">
      <c r="A71" s="6" t="str">
        <f t="shared" si="8"/>
        <v/>
      </c>
      <c r="B71" s="6"/>
      <c r="C71" s="6"/>
      <c r="D71" s="7" t="str">
        <f t="shared" si="13"/>
        <v/>
      </c>
      <c r="E71" s="6"/>
      <c r="F71" s="6"/>
      <c r="G71" s="6"/>
      <c r="H71" s="6"/>
      <c r="I71" s="6" t="str">
        <f>IFERROR(INDEX(DB!$C$2:$C$2267,MATCH(UPPER(TRIM($H69)),DB!$B$2:$B$2267,0)),IFERROR(INDEX(DB!$C$2:$C$2267,MATCH(UPPER(TRIM($H69)),DB!$J$2:$J$2267,0)),""))</f>
        <v/>
      </c>
      <c r="J71" s="6" t="str">
        <f>IF(H69="","",IFERROR(INDEX(DB!$B$2:$U$2267,MATCH(UPPER(TRIM($H69)),DB!$B$2:$B$2267,0),3),IFERROR(INDEX(DB!$B$2:$U$2267,MATCH(UPPER(TRIM($H69)),DB!$J$2:$J$2267,0),3),"")))</f>
        <v/>
      </c>
      <c r="K71" s="6" t="str">
        <f>IF(H69="","",IFERROR(INDEX(DB!$B$2:$U$2267,MATCH(UPPER(TRIM($H69)),DB!$B$2:$B$2267,0),4),IFERROR(INDEX(DB!$B$2:$U$2267,MATCH(UPPER(TRIM($H69)),DB!$J$2:$J$2267,0),4),"")))</f>
        <v/>
      </c>
      <c r="L71" s="6" t="str">
        <f>IF(H69="","",IFERROR(INDEX(DB!$B$2:$U$2267,MATCH(UPPER(TRIM($H69)),DB!$B$2:$B$2267,0),5),IFERROR(INDEX(DB!$B$2:$U$2267,MATCH(UPPER(TRIM($H69)),DB!$J$2:$J$2267,0),5),"")))</f>
        <v/>
      </c>
      <c r="M71" s="6" t="str">
        <f>IF(H69="","",IFERROR(INDEX(DB!$B$2:$U$2267,MATCH(UPPER(TRIM($H69)),DB!$B$2:$B$2267,0),6),IFERROR(INDEX(DB!$B$2:$U$2267,MATCH(UPPER(TRIM($H69)),DB!$J$2:$J$2267,0),6),"")))</f>
        <v/>
      </c>
      <c r="N71" s="6" t="str">
        <f>IF(H71="","",IFERROR(INDEX(DB!$B$2:$U$1713,MATCH(UPPER(TRIM(H71)),DB!$B$2:$B$1713,0),7),IFERROR(INDEX(DB!$B$2:$U$1713,MATCH(UPPER(TRIM(H71)),DB!$J$2:$J$1713,0),7),"")))</f>
        <v/>
      </c>
      <c r="O71" s="6"/>
      <c r="P71" s="6"/>
      <c r="Q71" s="6"/>
      <c r="R71" s="6"/>
      <c r="S71" s="6"/>
      <c r="T71" s="6"/>
      <c r="U71" s="6"/>
      <c r="V71" s="6" t="str">
        <f t="shared" si="9"/>
        <v/>
      </c>
      <c r="W71" s="6"/>
      <c r="X71" s="6" t="str">
        <f t="shared" si="10"/>
        <v/>
      </c>
      <c r="Y71" s="6" t="str">
        <f t="shared" si="12"/>
        <v/>
      </c>
      <c r="Z71" s="6" t="str">
        <f t="shared" si="11"/>
        <v/>
      </c>
      <c r="AA71" s="6"/>
      <c r="AB71" s="6"/>
      <c r="AC71" s="6"/>
      <c r="AD71" s="6" t="str">
        <f>IF(H71="","",IFERROR(INDEX(DB!$B$2:$U$1713,MATCH(UPPER(TRIM(H71)),DB!$B$2:$B$1713,0),8),IFERROR(INDEX(DB!$B$2:$U$1713,MATCH(UPPER(TRIM(H71)),DB!$J$2:$J$1713,0),8),"")))</f>
        <v/>
      </c>
      <c r="AE71" s="6"/>
      <c r="AF71" s="6"/>
      <c r="AG71" s="6"/>
      <c r="AI71" t="str">
        <f>IF(AI4&lt;&gt;"",HYPERLINK("https://echa.europa.eu/search-for-chemicals?search_criteria_ecnumber=" &amp; AI4,"ECHA"),"")</f>
        <v/>
      </c>
    </row>
    <row r="72" spans="1:35" ht="15" customHeight="1" x14ac:dyDescent="0.25">
      <c r="A72" s="4" t="str">
        <f t="shared" si="8"/>
        <v/>
      </c>
      <c r="B72" s="4"/>
      <c r="C72" s="4"/>
      <c r="D72" s="5" t="str">
        <f t="shared" si="13"/>
        <v/>
      </c>
      <c r="E72" s="4"/>
      <c r="F72" s="4"/>
      <c r="G72" s="4"/>
      <c r="H72" s="4"/>
      <c r="I72" s="4" t="str">
        <f>IFERROR(INDEX(DB!$C$2:$C$2267,MATCH(UPPER(TRIM($H70)),DB!$B$2:$B$2267,0)),IFERROR(INDEX(DB!$C$2:$C$2267,MATCH(UPPER(TRIM($H70)),DB!$J$2:$J$2267,0)),""))</f>
        <v/>
      </c>
      <c r="J72" s="4" t="str">
        <f>IF(H70="","",IFERROR(INDEX(DB!$B$2:$U$2267,MATCH(UPPER(TRIM($H70)),DB!$B$2:$B$2267,0),3),IFERROR(INDEX(DB!$B$2:$U$2267,MATCH(UPPER(TRIM($H70)),DB!$J$2:$J$2267,0),3),"")))</f>
        <v/>
      </c>
      <c r="K72" s="4" t="str">
        <f>IF(H70="","",IFERROR(INDEX(DB!$B$2:$U$2267,MATCH(UPPER(TRIM($H70)),DB!$B$2:$B$2267,0),4),IFERROR(INDEX(DB!$B$2:$U$2267,MATCH(UPPER(TRIM($H70)),DB!$J$2:$J$2267,0),4),"")))</f>
        <v/>
      </c>
      <c r="L72" s="4" t="str">
        <f>IF(H70="","",IFERROR(INDEX(DB!$B$2:$U$2267,MATCH(UPPER(TRIM($H70)),DB!$B$2:$B$2267,0),5),IFERROR(INDEX(DB!$B$2:$U$2267,MATCH(UPPER(TRIM($H70)),DB!$J$2:$J$2267,0),5),"")))</f>
        <v/>
      </c>
      <c r="M72" s="4" t="str">
        <f>IF(H70="","",IFERROR(INDEX(DB!$B$2:$U$2267,MATCH(UPPER(TRIM($H70)),DB!$B$2:$B$2267,0),6),IFERROR(INDEX(DB!$B$2:$U$2267,MATCH(UPPER(TRIM($H70)),DB!$J$2:$J$2267,0),6),"")))</f>
        <v/>
      </c>
      <c r="N72" s="4" t="str">
        <f>IF(H72="","",IFERROR(INDEX(DB!$B$2:$U$1713,MATCH(UPPER(TRIM(H72)),DB!$B$2:$B$1713,0),7),IFERROR(INDEX(DB!$B$2:$U$1713,MATCH(UPPER(TRIM(H72)),DB!$J$2:$J$1713,0),7),"")))</f>
        <v/>
      </c>
      <c r="O72" s="4"/>
      <c r="P72" s="4"/>
      <c r="Q72" s="4"/>
      <c r="R72" s="4"/>
      <c r="S72" s="4"/>
      <c r="T72" s="4"/>
      <c r="U72" s="4"/>
      <c r="V72" s="4" t="str">
        <f t="shared" si="9"/>
        <v/>
      </c>
      <c r="W72" s="4"/>
      <c r="X72" s="4" t="str">
        <f t="shared" si="10"/>
        <v/>
      </c>
      <c r="Y72" s="4" t="str">
        <f t="shared" si="12"/>
        <v/>
      </c>
      <c r="Z72" s="4" t="str">
        <f t="shared" si="11"/>
        <v/>
      </c>
      <c r="AA72" s="4"/>
      <c r="AB72" s="4"/>
      <c r="AC72" s="4"/>
      <c r="AD72" s="4" t="str">
        <f>IF(H72="","",IFERROR(INDEX(DB!$B$2:$U$1713,MATCH(UPPER(TRIM(H72)),DB!$B$2:$B$1713,0),8),IFERROR(INDEX(DB!$B$2:$U$1713,MATCH(UPPER(TRIM(H72)),DB!$J$2:$J$1713,0),8),"")))</f>
        <v/>
      </c>
      <c r="AE72" s="4"/>
      <c r="AF72" s="4"/>
      <c r="AG72" s="4"/>
      <c r="AI72" t="str">
        <f>IF(AI4&lt;&gt;"",HYPERLINK("https://echa.europa.eu/search-for-chemicals?search_criteria_ecnumber=" &amp; AI4,"ECHA"),"")</f>
        <v/>
      </c>
    </row>
    <row r="73" spans="1:35" ht="15" customHeight="1" x14ac:dyDescent="0.25">
      <c r="A73" s="6" t="str">
        <f t="shared" si="8"/>
        <v/>
      </c>
      <c r="B73" s="6"/>
      <c r="C73" s="6"/>
      <c r="D73" s="7" t="str">
        <f t="shared" si="13"/>
        <v/>
      </c>
      <c r="E73" s="6"/>
      <c r="F73" s="6"/>
      <c r="G73" s="6"/>
      <c r="H73" s="6"/>
      <c r="I73" s="6" t="str">
        <f>IFERROR(INDEX(DB!$C$2:$C$2267,MATCH(UPPER(TRIM($H71)),DB!$B$2:$B$2267,0)),IFERROR(INDEX(DB!$C$2:$C$2267,MATCH(UPPER(TRIM($H71)),DB!$J$2:$J$2267,0)),""))</f>
        <v/>
      </c>
      <c r="J73" s="6" t="str">
        <f>IF(H71="","",IFERROR(INDEX(DB!$B$2:$U$2267,MATCH(UPPER(TRIM($H71)),DB!$B$2:$B$2267,0),3),IFERROR(INDEX(DB!$B$2:$U$2267,MATCH(UPPER(TRIM($H71)),DB!$J$2:$J$2267,0),3),"")))</f>
        <v/>
      </c>
      <c r="K73" s="6" t="str">
        <f>IF(H71="","",IFERROR(INDEX(DB!$B$2:$U$2267,MATCH(UPPER(TRIM($H71)),DB!$B$2:$B$2267,0),4),IFERROR(INDEX(DB!$B$2:$U$2267,MATCH(UPPER(TRIM($H71)),DB!$J$2:$J$2267,0),4),"")))</f>
        <v/>
      </c>
      <c r="L73" s="6" t="str">
        <f>IF(H71="","",IFERROR(INDEX(DB!$B$2:$U$2267,MATCH(UPPER(TRIM($H71)),DB!$B$2:$B$2267,0),5),IFERROR(INDEX(DB!$B$2:$U$2267,MATCH(UPPER(TRIM($H71)),DB!$J$2:$J$2267,0),5),"")))</f>
        <v/>
      </c>
      <c r="M73" s="6" t="str">
        <f>IF(H71="","",IFERROR(INDEX(DB!$B$2:$U$2267,MATCH(UPPER(TRIM($H71)),DB!$B$2:$B$2267,0),6),IFERROR(INDEX(DB!$B$2:$U$2267,MATCH(UPPER(TRIM($H71)),DB!$J$2:$J$2267,0),6),"")))</f>
        <v/>
      </c>
      <c r="N73" s="6" t="str">
        <f>IF(H73="","",IFERROR(INDEX(DB!$B$2:$U$1713,MATCH(UPPER(TRIM(H73)),DB!$B$2:$B$1713,0),7),IFERROR(INDEX(DB!$B$2:$U$1713,MATCH(UPPER(TRIM(H73)),DB!$J$2:$J$1713,0),7),"")))</f>
        <v/>
      </c>
      <c r="O73" s="6"/>
      <c r="P73" s="6"/>
      <c r="Q73" s="6"/>
      <c r="R73" s="6"/>
      <c r="S73" s="6"/>
      <c r="T73" s="6"/>
      <c r="U73" s="6"/>
      <c r="V73" s="6" t="str">
        <f t="shared" si="9"/>
        <v/>
      </c>
      <c r="W73" s="6"/>
      <c r="X73" s="6" t="str">
        <f t="shared" si="10"/>
        <v/>
      </c>
      <c r="Y73" s="6" t="str">
        <f t="shared" si="12"/>
        <v/>
      </c>
      <c r="Z73" s="6" t="str">
        <f t="shared" si="11"/>
        <v/>
      </c>
      <c r="AA73" s="6"/>
      <c r="AB73" s="6"/>
      <c r="AC73" s="6"/>
      <c r="AD73" s="6" t="str">
        <f>IF(H73="","",IFERROR(INDEX(DB!$B$2:$U$1713,MATCH(UPPER(TRIM(H73)),DB!$B$2:$B$1713,0),8),IFERROR(INDEX(DB!$B$2:$U$1713,MATCH(UPPER(TRIM(H73)),DB!$J$2:$J$1713,0),8),"")))</f>
        <v/>
      </c>
      <c r="AE73" s="6"/>
      <c r="AF73" s="6"/>
      <c r="AG73" s="6"/>
      <c r="AI73" t="str">
        <f>IF(AI4&lt;&gt;"",HYPERLINK("https://echa.europa.eu/search-for-chemicals?search_criteria_ecnumber=" &amp; AI4,"ECHA"),"")</f>
        <v/>
      </c>
    </row>
    <row r="74" spans="1:35" ht="15" customHeight="1" x14ac:dyDescent="0.25">
      <c r="A74" s="4" t="str">
        <f t="shared" si="8"/>
        <v/>
      </c>
      <c r="B74" s="4"/>
      <c r="C74" s="4"/>
      <c r="D74" s="5" t="str">
        <f t="shared" si="13"/>
        <v/>
      </c>
      <c r="E74" s="4"/>
      <c r="F74" s="4"/>
      <c r="G74" s="4"/>
      <c r="H74" s="4"/>
      <c r="I74" s="4" t="str">
        <f>IFERROR(INDEX(DB!$C$2:$C$2267,MATCH(UPPER(TRIM($H72)),DB!$B$2:$B$2267,0)),IFERROR(INDEX(DB!$C$2:$C$2267,MATCH(UPPER(TRIM($H72)),DB!$J$2:$J$2267,0)),""))</f>
        <v/>
      </c>
      <c r="J74" s="4" t="str">
        <f>IF(H72="","",IFERROR(INDEX(DB!$B$2:$U$2267,MATCH(UPPER(TRIM($H72)),DB!$B$2:$B$2267,0),3),IFERROR(INDEX(DB!$B$2:$U$2267,MATCH(UPPER(TRIM($H72)),DB!$J$2:$J$2267,0),3),"")))</f>
        <v/>
      </c>
      <c r="K74" s="4" t="str">
        <f>IF(H72="","",IFERROR(INDEX(DB!$B$2:$U$2267,MATCH(UPPER(TRIM($H72)),DB!$B$2:$B$2267,0),4),IFERROR(INDEX(DB!$B$2:$U$2267,MATCH(UPPER(TRIM($H72)),DB!$J$2:$J$2267,0),4),"")))</f>
        <v/>
      </c>
      <c r="L74" s="4" t="str">
        <f>IF(H72="","",IFERROR(INDEX(DB!$B$2:$U$2267,MATCH(UPPER(TRIM($H72)),DB!$B$2:$B$2267,0),5),IFERROR(INDEX(DB!$B$2:$U$2267,MATCH(UPPER(TRIM($H72)),DB!$J$2:$J$2267,0),5),"")))</f>
        <v/>
      </c>
      <c r="M74" s="4" t="str">
        <f>IF(H72="","",IFERROR(INDEX(DB!$B$2:$U$2267,MATCH(UPPER(TRIM($H72)),DB!$B$2:$B$2267,0),6),IFERROR(INDEX(DB!$B$2:$U$2267,MATCH(UPPER(TRIM($H72)),DB!$J$2:$J$2267,0),6),"")))</f>
        <v/>
      </c>
      <c r="N74" s="4" t="str">
        <f>IF(H74="","",IFERROR(INDEX(DB!$B$2:$U$1713,MATCH(UPPER(TRIM(H74)),DB!$B$2:$B$1713,0),7),IFERROR(INDEX(DB!$B$2:$U$1713,MATCH(UPPER(TRIM(H74)),DB!$J$2:$J$1713,0),7),"")))</f>
        <v/>
      </c>
      <c r="O74" s="4"/>
      <c r="P74" s="4"/>
      <c r="Q74" s="4"/>
      <c r="R74" s="4"/>
      <c r="S74" s="4"/>
      <c r="T74" s="4"/>
      <c r="U74" s="4"/>
      <c r="V74" s="4" t="str">
        <f t="shared" si="9"/>
        <v/>
      </c>
      <c r="W74" s="4"/>
      <c r="X74" s="4" t="str">
        <f t="shared" si="10"/>
        <v/>
      </c>
      <c r="Y74" s="4" t="str">
        <f t="shared" si="12"/>
        <v/>
      </c>
      <c r="Z74" s="4" t="str">
        <f t="shared" si="11"/>
        <v/>
      </c>
      <c r="AA74" s="4"/>
      <c r="AB74" s="4"/>
      <c r="AC74" s="4"/>
      <c r="AD74" s="4" t="str">
        <f>IF(H74="","",IFERROR(INDEX(DB!$B$2:$U$1713,MATCH(UPPER(TRIM(H74)),DB!$B$2:$B$1713,0),8),IFERROR(INDEX(DB!$B$2:$U$1713,MATCH(UPPER(TRIM(H74)),DB!$J$2:$J$1713,0),8),"")))</f>
        <v/>
      </c>
      <c r="AE74" s="4"/>
      <c r="AF74" s="4"/>
      <c r="AG74" s="4"/>
      <c r="AI74" t="str">
        <f>IF(AI4&lt;&gt;"",HYPERLINK("https://echa.europa.eu/search-for-chemicals?search_criteria_ecnumber=" &amp; AI4,"ECHA"),"")</f>
        <v/>
      </c>
    </row>
    <row r="75" spans="1:35" ht="15" customHeight="1" x14ac:dyDescent="0.25">
      <c r="A75" s="6" t="str">
        <f t="shared" si="8"/>
        <v/>
      </c>
      <c r="B75" s="6"/>
      <c r="C75" s="6"/>
      <c r="D75" s="7" t="str">
        <f t="shared" si="13"/>
        <v/>
      </c>
      <c r="E75" s="6"/>
      <c r="F75" s="6"/>
      <c r="G75" s="6"/>
      <c r="H75" s="6"/>
      <c r="I75" s="6" t="str">
        <f>IFERROR(INDEX(DB!$C$2:$C$2267,MATCH(UPPER(TRIM($H73)),DB!$B$2:$B$2267,0)),IFERROR(INDEX(DB!$C$2:$C$2267,MATCH(UPPER(TRIM($H73)),DB!$J$2:$J$2267,0)),""))</f>
        <v/>
      </c>
      <c r="J75" s="6" t="str">
        <f>IF(H73="","",IFERROR(INDEX(DB!$B$2:$U$2267,MATCH(UPPER(TRIM($H73)),DB!$B$2:$B$2267,0),3),IFERROR(INDEX(DB!$B$2:$U$2267,MATCH(UPPER(TRIM($H73)),DB!$J$2:$J$2267,0),3),"")))</f>
        <v/>
      </c>
      <c r="K75" s="6" t="str">
        <f>IF(H73="","",IFERROR(INDEX(DB!$B$2:$U$2267,MATCH(UPPER(TRIM($H73)),DB!$B$2:$B$2267,0),4),IFERROR(INDEX(DB!$B$2:$U$2267,MATCH(UPPER(TRIM($H73)),DB!$J$2:$J$2267,0),4),"")))</f>
        <v/>
      </c>
      <c r="L75" s="6" t="str">
        <f>IF(H73="","",IFERROR(INDEX(DB!$B$2:$U$2267,MATCH(UPPER(TRIM($H73)),DB!$B$2:$B$2267,0),5),IFERROR(INDEX(DB!$B$2:$U$2267,MATCH(UPPER(TRIM($H73)),DB!$J$2:$J$2267,0),5),"")))</f>
        <v/>
      </c>
      <c r="M75" s="6" t="str">
        <f>IF(H73="","",IFERROR(INDEX(DB!$B$2:$U$2267,MATCH(UPPER(TRIM($H73)),DB!$B$2:$B$2267,0),6),IFERROR(INDEX(DB!$B$2:$U$2267,MATCH(UPPER(TRIM($H73)),DB!$J$2:$J$2267,0),6),"")))</f>
        <v/>
      </c>
      <c r="N75" s="6" t="str">
        <f>IF(H75="","",IFERROR(INDEX(DB!$B$2:$U$1713,MATCH(UPPER(TRIM(H75)),DB!$B$2:$B$1713,0),7),IFERROR(INDEX(DB!$B$2:$U$1713,MATCH(UPPER(TRIM(H75)),DB!$J$2:$J$1713,0),7),"")))</f>
        <v/>
      </c>
      <c r="O75" s="6"/>
      <c r="P75" s="6"/>
      <c r="Q75" s="6"/>
      <c r="R75" s="6"/>
      <c r="S75" s="6"/>
      <c r="T75" s="6"/>
      <c r="U75" s="6"/>
      <c r="V75" s="6" t="str">
        <f t="shared" si="9"/>
        <v/>
      </c>
      <c r="W75" s="6"/>
      <c r="X75" s="6" t="str">
        <f t="shared" si="10"/>
        <v/>
      </c>
      <c r="Y75" s="6" t="str">
        <f t="shared" si="12"/>
        <v/>
      </c>
      <c r="Z75" s="6" t="str">
        <f t="shared" si="11"/>
        <v/>
      </c>
      <c r="AA75" s="6"/>
      <c r="AB75" s="6"/>
      <c r="AC75" s="6"/>
      <c r="AD75" s="6" t="str">
        <f>IF(H75="","",IFERROR(INDEX(DB!$B$2:$U$1713,MATCH(UPPER(TRIM(H75)),DB!$B$2:$B$1713,0),8),IFERROR(INDEX(DB!$B$2:$U$1713,MATCH(UPPER(TRIM(H75)),DB!$J$2:$J$1713,0),8),"")))</f>
        <v/>
      </c>
      <c r="AE75" s="6"/>
      <c r="AF75" s="6"/>
      <c r="AG75" s="6"/>
      <c r="AI75" t="str">
        <f>IF(AI4&lt;&gt;"",HYPERLINK("https://echa.europa.eu/search-for-chemicals?search_criteria_ecnumber=" &amp; AI4,"ECHA"),"")</f>
        <v/>
      </c>
    </row>
    <row r="76" spans="1:35" ht="15" customHeight="1" x14ac:dyDescent="0.25">
      <c r="A76" s="4" t="str">
        <f t="shared" si="8"/>
        <v/>
      </c>
      <c r="B76" s="4"/>
      <c r="C76" s="4"/>
      <c r="D76" s="5" t="str">
        <f t="shared" si="13"/>
        <v/>
      </c>
      <c r="E76" s="4"/>
      <c r="F76" s="4"/>
      <c r="G76" s="4"/>
      <c r="H76" s="4"/>
      <c r="I76" s="4" t="str">
        <f>IFERROR(INDEX(DB!$C$2:$C$2267,MATCH(UPPER(TRIM($H74)),DB!$B$2:$B$2267,0)),IFERROR(INDEX(DB!$C$2:$C$2267,MATCH(UPPER(TRIM($H74)),DB!$J$2:$J$2267,0)),""))</f>
        <v/>
      </c>
      <c r="J76" s="4" t="str">
        <f>IF(H74="","",IFERROR(INDEX(DB!$B$2:$U$2267,MATCH(UPPER(TRIM($H74)),DB!$B$2:$B$2267,0),3),IFERROR(INDEX(DB!$B$2:$U$2267,MATCH(UPPER(TRIM($H74)),DB!$J$2:$J$2267,0),3),"")))</f>
        <v/>
      </c>
      <c r="K76" s="4" t="str">
        <f>IF(H74="","",IFERROR(INDEX(DB!$B$2:$U$2267,MATCH(UPPER(TRIM($H74)),DB!$B$2:$B$2267,0),4),IFERROR(INDEX(DB!$B$2:$U$2267,MATCH(UPPER(TRIM($H74)),DB!$J$2:$J$2267,0),4),"")))</f>
        <v/>
      </c>
      <c r="L76" s="4" t="str">
        <f>IF(H74="","",IFERROR(INDEX(DB!$B$2:$U$2267,MATCH(UPPER(TRIM($H74)),DB!$B$2:$B$2267,0),5),IFERROR(INDEX(DB!$B$2:$U$2267,MATCH(UPPER(TRIM($H74)),DB!$J$2:$J$2267,0),5),"")))</f>
        <v/>
      </c>
      <c r="M76" s="4" t="str">
        <f>IF(H74="","",IFERROR(INDEX(DB!$B$2:$U$2267,MATCH(UPPER(TRIM($H74)),DB!$B$2:$B$2267,0),6),IFERROR(INDEX(DB!$B$2:$U$2267,MATCH(UPPER(TRIM($H74)),DB!$J$2:$J$2267,0),6),"")))</f>
        <v/>
      </c>
      <c r="N76" s="4" t="str">
        <f>IF(H76="","",IFERROR(INDEX(DB!$B$2:$U$1713,MATCH(UPPER(TRIM(H76)),DB!$B$2:$B$1713,0),7),IFERROR(INDEX(DB!$B$2:$U$1713,MATCH(UPPER(TRIM(H76)),DB!$J$2:$J$1713,0),7),"")))</f>
        <v/>
      </c>
      <c r="O76" s="4"/>
      <c r="P76" s="4"/>
      <c r="Q76" s="4"/>
      <c r="R76" s="4"/>
      <c r="S76" s="4"/>
      <c r="T76" s="4"/>
      <c r="U76" s="4"/>
      <c r="V76" s="4" t="str">
        <f t="shared" si="9"/>
        <v/>
      </c>
      <c r="W76" s="4"/>
      <c r="X76" s="4" t="str">
        <f t="shared" si="10"/>
        <v/>
      </c>
      <c r="Y76" s="4" t="str">
        <f t="shared" si="12"/>
        <v/>
      </c>
      <c r="Z76" s="4" t="str">
        <f t="shared" si="11"/>
        <v/>
      </c>
      <c r="AA76" s="4"/>
      <c r="AB76" s="4"/>
      <c r="AC76" s="4"/>
      <c r="AD76" s="4" t="str">
        <f>IF(H76="","",IFERROR(INDEX(DB!$B$2:$U$1713,MATCH(UPPER(TRIM(H76)),DB!$B$2:$B$1713,0),8),IFERROR(INDEX(DB!$B$2:$U$1713,MATCH(UPPER(TRIM(H76)),DB!$J$2:$J$1713,0),8),"")))</f>
        <v/>
      </c>
      <c r="AE76" s="4"/>
      <c r="AF76" s="4"/>
      <c r="AG76" s="4"/>
      <c r="AI76" t="str">
        <f>IF(AI4&lt;&gt;"",HYPERLINK("https://echa.europa.eu/search-for-chemicals?search_criteria_ecnumber=" &amp; AI4,"ECHA"),"")</f>
        <v/>
      </c>
    </row>
    <row r="77" spans="1:35" ht="15" customHeight="1" x14ac:dyDescent="0.25">
      <c r="A77" s="6" t="str">
        <f t="shared" si="8"/>
        <v/>
      </c>
      <c r="B77" s="6"/>
      <c r="C77" s="6"/>
      <c r="D77" s="7" t="str">
        <f t="shared" si="13"/>
        <v/>
      </c>
      <c r="E77" s="6"/>
      <c r="F77" s="6"/>
      <c r="G77" s="6"/>
      <c r="H77" s="6"/>
      <c r="I77" s="6" t="str">
        <f>IFERROR(INDEX(DB!$C$2:$C$2267,MATCH(UPPER(TRIM($H75)),DB!$B$2:$B$2267,0)),IFERROR(INDEX(DB!$C$2:$C$2267,MATCH(UPPER(TRIM($H75)),DB!$J$2:$J$2267,0)),""))</f>
        <v/>
      </c>
      <c r="J77" s="6" t="str">
        <f>IF(H75="","",IFERROR(INDEX(DB!$B$2:$U$2267,MATCH(UPPER(TRIM($H75)),DB!$B$2:$B$2267,0),3),IFERROR(INDEX(DB!$B$2:$U$2267,MATCH(UPPER(TRIM($H75)),DB!$J$2:$J$2267,0),3),"")))</f>
        <v/>
      </c>
      <c r="K77" s="6" t="str">
        <f>IF(H75="","",IFERROR(INDEX(DB!$B$2:$U$2267,MATCH(UPPER(TRIM($H75)),DB!$B$2:$B$2267,0),4),IFERROR(INDEX(DB!$B$2:$U$2267,MATCH(UPPER(TRIM($H75)),DB!$J$2:$J$2267,0),4),"")))</f>
        <v/>
      </c>
      <c r="L77" s="6" t="str">
        <f>IF(H75="","",IFERROR(INDEX(DB!$B$2:$U$2267,MATCH(UPPER(TRIM($H75)),DB!$B$2:$B$2267,0),5),IFERROR(INDEX(DB!$B$2:$U$2267,MATCH(UPPER(TRIM($H75)),DB!$J$2:$J$2267,0),5),"")))</f>
        <v/>
      </c>
      <c r="M77" s="6" t="str">
        <f>IF(H75="","",IFERROR(INDEX(DB!$B$2:$U$2267,MATCH(UPPER(TRIM($H75)),DB!$B$2:$B$2267,0),6),IFERROR(INDEX(DB!$B$2:$U$2267,MATCH(UPPER(TRIM($H75)),DB!$J$2:$J$2267,0),6),"")))</f>
        <v/>
      </c>
      <c r="N77" s="6" t="str">
        <f>IF(H77="","",IFERROR(INDEX(DB!$B$2:$U$1713,MATCH(UPPER(TRIM(H77)),DB!$B$2:$B$1713,0),7),IFERROR(INDEX(DB!$B$2:$U$1713,MATCH(UPPER(TRIM(H77)),DB!$J$2:$J$1713,0),7),"")))</f>
        <v/>
      </c>
      <c r="O77" s="6"/>
      <c r="P77" s="6"/>
      <c r="Q77" s="6"/>
      <c r="R77" s="6"/>
      <c r="S77" s="6"/>
      <c r="T77" s="6"/>
      <c r="U77" s="6"/>
      <c r="V77" s="6" t="str">
        <f t="shared" si="9"/>
        <v/>
      </c>
      <c r="W77" s="6"/>
      <c r="X77" s="6" t="str">
        <f t="shared" si="10"/>
        <v/>
      </c>
      <c r="Y77" s="6" t="str">
        <f t="shared" si="12"/>
        <v/>
      </c>
      <c r="Z77" s="6" t="str">
        <f t="shared" si="11"/>
        <v/>
      </c>
      <c r="AA77" s="6"/>
      <c r="AB77" s="6"/>
      <c r="AC77" s="6"/>
      <c r="AD77" s="6" t="str">
        <f>IF(H77="","",IFERROR(INDEX(DB!$B$2:$U$1713,MATCH(UPPER(TRIM(H77)),DB!$B$2:$B$1713,0),8),IFERROR(INDEX(DB!$B$2:$U$1713,MATCH(UPPER(TRIM(H77)),DB!$J$2:$J$1713,0),8),"")))</f>
        <v/>
      </c>
      <c r="AE77" s="6"/>
      <c r="AF77" s="6"/>
      <c r="AG77" s="6"/>
      <c r="AI77" t="str">
        <f>IF(AI4&lt;&gt;"",HYPERLINK("https://echa.europa.eu/search-for-chemicals?search_criteria_ecnumber=" &amp; AI4,"ECHA"),"")</f>
        <v/>
      </c>
    </row>
    <row r="78" spans="1:35" ht="15" customHeight="1" x14ac:dyDescent="0.25">
      <c r="A78" s="4" t="str">
        <f t="shared" si="8"/>
        <v/>
      </c>
      <c r="B78" s="4"/>
      <c r="C78" s="4"/>
      <c r="D78" s="5" t="str">
        <f t="shared" si="13"/>
        <v/>
      </c>
      <c r="E78" s="4"/>
      <c r="F78" s="4"/>
      <c r="G78" s="4"/>
      <c r="H78" s="4"/>
      <c r="I78" s="4" t="str">
        <f>IFERROR(INDEX(DB!$C$2:$C$2267,MATCH(UPPER(TRIM($H76)),DB!$B$2:$B$2267,0)),IFERROR(INDEX(DB!$C$2:$C$2267,MATCH(UPPER(TRIM($H76)),DB!$J$2:$J$2267,0)),""))</f>
        <v/>
      </c>
      <c r="J78" s="4" t="str">
        <f>IF(H76="","",IFERROR(INDEX(DB!$B$2:$U$2267,MATCH(UPPER(TRIM($H76)),DB!$B$2:$B$2267,0),3),IFERROR(INDEX(DB!$B$2:$U$2267,MATCH(UPPER(TRIM($H76)),DB!$J$2:$J$2267,0),3),"")))</f>
        <v/>
      </c>
      <c r="K78" s="4" t="str">
        <f>IF(H76="","",IFERROR(INDEX(DB!$B$2:$U$2267,MATCH(UPPER(TRIM($H76)),DB!$B$2:$B$2267,0),4),IFERROR(INDEX(DB!$B$2:$U$2267,MATCH(UPPER(TRIM($H76)),DB!$J$2:$J$2267,0),4),"")))</f>
        <v/>
      </c>
      <c r="L78" s="4" t="str">
        <f>IF(H76="","",IFERROR(INDEX(DB!$B$2:$U$2267,MATCH(UPPER(TRIM($H76)),DB!$B$2:$B$2267,0),5),IFERROR(INDEX(DB!$B$2:$U$2267,MATCH(UPPER(TRIM($H76)),DB!$J$2:$J$2267,0),5),"")))</f>
        <v/>
      </c>
      <c r="M78" s="4" t="str">
        <f>IF(H76="","",IFERROR(INDEX(DB!$B$2:$U$2267,MATCH(UPPER(TRIM($H76)),DB!$B$2:$B$2267,0),6),IFERROR(INDEX(DB!$B$2:$U$2267,MATCH(UPPER(TRIM($H76)),DB!$J$2:$J$2267,0),6),"")))</f>
        <v/>
      </c>
      <c r="N78" s="4" t="str">
        <f>IF(H78="","",IFERROR(INDEX(DB!$B$2:$U$1713,MATCH(UPPER(TRIM(H78)),DB!$B$2:$B$1713,0),7),IFERROR(INDEX(DB!$B$2:$U$1713,MATCH(UPPER(TRIM(H78)),DB!$J$2:$J$1713,0),7),"")))</f>
        <v/>
      </c>
      <c r="O78" s="4"/>
      <c r="P78" s="4"/>
      <c r="Q78" s="4"/>
      <c r="R78" s="4"/>
      <c r="S78" s="4"/>
      <c r="T78" s="4"/>
      <c r="U78" s="4"/>
      <c r="V78" s="4" t="str">
        <f t="shared" si="9"/>
        <v/>
      </c>
      <c r="W78" s="4"/>
      <c r="X78" s="4" t="str">
        <f t="shared" si="10"/>
        <v/>
      </c>
      <c r="Y78" s="4" t="str">
        <f t="shared" si="12"/>
        <v/>
      </c>
      <c r="Z78" s="4" t="str">
        <f t="shared" si="11"/>
        <v/>
      </c>
      <c r="AA78" s="4"/>
      <c r="AB78" s="4"/>
      <c r="AC78" s="4"/>
      <c r="AD78" s="4" t="str">
        <f>IF(H78="","",IFERROR(INDEX(DB!$B$2:$U$1713,MATCH(UPPER(TRIM(H78)),DB!$B$2:$B$1713,0),8),IFERROR(INDEX(DB!$B$2:$U$1713,MATCH(UPPER(TRIM(H78)),DB!$J$2:$J$1713,0),8),"")))</f>
        <v/>
      </c>
      <c r="AE78" s="4"/>
      <c r="AF78" s="4"/>
      <c r="AG78" s="4"/>
      <c r="AI78" t="str">
        <f>IF(AI4&lt;&gt;"",HYPERLINK("https://echa.europa.eu/search-for-chemicals?search_criteria_ecnumber=" &amp; AI4,"ECHA"),"")</f>
        <v/>
      </c>
    </row>
    <row r="79" spans="1:35" ht="15" customHeight="1" x14ac:dyDescent="0.25">
      <c r="A79" s="6" t="str">
        <f t="shared" si="8"/>
        <v/>
      </c>
      <c r="B79" s="6"/>
      <c r="C79" s="6"/>
      <c r="D79" s="7" t="str">
        <f t="shared" si="13"/>
        <v/>
      </c>
      <c r="E79" s="6"/>
      <c r="F79" s="6"/>
      <c r="G79" s="6"/>
      <c r="H79" s="6"/>
      <c r="I79" s="6" t="str">
        <f>IFERROR(INDEX(DB!$C$2:$C$2267,MATCH(UPPER(TRIM($H77)),DB!$B$2:$B$2267,0)),IFERROR(INDEX(DB!$C$2:$C$2267,MATCH(UPPER(TRIM($H77)),DB!$J$2:$J$2267,0)),""))</f>
        <v/>
      </c>
      <c r="J79" s="6" t="str">
        <f>IF(H77="","",IFERROR(INDEX(DB!$B$2:$U$2267,MATCH(UPPER(TRIM($H77)),DB!$B$2:$B$2267,0),3),IFERROR(INDEX(DB!$B$2:$U$2267,MATCH(UPPER(TRIM($H77)),DB!$J$2:$J$2267,0),3),"")))</f>
        <v/>
      </c>
      <c r="K79" s="6" t="str">
        <f>IF(H77="","",IFERROR(INDEX(DB!$B$2:$U$2267,MATCH(UPPER(TRIM($H77)),DB!$B$2:$B$2267,0),4),IFERROR(INDEX(DB!$B$2:$U$2267,MATCH(UPPER(TRIM($H77)),DB!$J$2:$J$2267,0),4),"")))</f>
        <v/>
      </c>
      <c r="L79" s="6" t="str">
        <f>IF(H77="","",IFERROR(INDEX(DB!$B$2:$U$2267,MATCH(UPPER(TRIM($H77)),DB!$B$2:$B$2267,0),5),IFERROR(INDEX(DB!$B$2:$U$2267,MATCH(UPPER(TRIM($H77)),DB!$J$2:$J$2267,0),5),"")))</f>
        <v/>
      </c>
      <c r="M79" s="6" t="str">
        <f>IF(H77="","",IFERROR(INDEX(DB!$B$2:$U$2267,MATCH(UPPER(TRIM($H77)),DB!$B$2:$B$2267,0),6),IFERROR(INDEX(DB!$B$2:$U$2267,MATCH(UPPER(TRIM($H77)),DB!$J$2:$J$2267,0),6),"")))</f>
        <v/>
      </c>
      <c r="N79" s="6" t="str">
        <f>IF(H79="","",IFERROR(INDEX(DB!$B$2:$U$1713,MATCH(UPPER(TRIM(H79)),DB!$B$2:$B$1713,0),7),IFERROR(INDEX(DB!$B$2:$U$1713,MATCH(UPPER(TRIM(H79)),DB!$J$2:$J$1713,0),7),"")))</f>
        <v/>
      </c>
      <c r="O79" s="6"/>
      <c r="P79" s="6"/>
      <c r="Q79" s="6"/>
      <c r="R79" s="6"/>
      <c r="S79" s="6"/>
      <c r="T79" s="6"/>
      <c r="U79" s="6"/>
      <c r="V79" s="6" t="str">
        <f t="shared" si="9"/>
        <v/>
      </c>
      <c r="W79" s="6"/>
      <c r="X79" s="6" t="str">
        <f t="shared" si="10"/>
        <v/>
      </c>
      <c r="Y79" s="6" t="str">
        <f t="shared" si="12"/>
        <v/>
      </c>
      <c r="Z79" s="6" t="str">
        <f t="shared" si="11"/>
        <v/>
      </c>
      <c r="AA79" s="6"/>
      <c r="AB79" s="6"/>
      <c r="AC79" s="6"/>
      <c r="AD79" s="6" t="str">
        <f>IF(H79="","",IFERROR(INDEX(DB!$B$2:$U$1713,MATCH(UPPER(TRIM(H79)),DB!$B$2:$B$1713,0),8),IFERROR(INDEX(DB!$B$2:$U$1713,MATCH(UPPER(TRIM(H79)),DB!$J$2:$J$1713,0),8),"")))</f>
        <v/>
      </c>
      <c r="AE79" s="6"/>
      <c r="AF79" s="6"/>
      <c r="AG79" s="6"/>
      <c r="AI79" t="str">
        <f>IF(AI4&lt;&gt;"",HYPERLINK("https://echa.europa.eu/search-for-chemicals?search_criteria_ecnumber=" &amp; AI4,"ECHA"),"")</f>
        <v/>
      </c>
    </row>
    <row r="80" spans="1:35" ht="15" customHeight="1" x14ac:dyDescent="0.25">
      <c r="A80" s="4" t="str">
        <f t="shared" ref="A80:A111" si="14">IF(H80="","",ROW()-16)</f>
        <v/>
      </c>
      <c r="B80" s="4"/>
      <c r="C80" s="4"/>
      <c r="D80" s="5" t="str">
        <f t="shared" si="13"/>
        <v/>
      </c>
      <c r="E80" s="4"/>
      <c r="F80" s="4"/>
      <c r="G80" s="4"/>
      <c r="H80" s="4"/>
      <c r="I80" s="4" t="str">
        <f>IFERROR(INDEX(DB!$C$2:$C$2267,MATCH(UPPER(TRIM($H78)),DB!$B$2:$B$2267,0)),IFERROR(INDEX(DB!$C$2:$C$2267,MATCH(UPPER(TRIM($H78)),DB!$J$2:$J$2267,0)),""))</f>
        <v/>
      </c>
      <c r="J80" s="4" t="str">
        <f>IF(H78="","",IFERROR(INDEX(DB!$B$2:$U$2267,MATCH(UPPER(TRIM($H78)),DB!$B$2:$B$2267,0),3),IFERROR(INDEX(DB!$B$2:$U$2267,MATCH(UPPER(TRIM($H78)),DB!$J$2:$J$2267,0),3),"")))</f>
        <v/>
      </c>
      <c r="K80" s="4" t="str">
        <f>IF(H78="","",IFERROR(INDEX(DB!$B$2:$U$2267,MATCH(UPPER(TRIM($H78)),DB!$B$2:$B$2267,0),4),IFERROR(INDEX(DB!$B$2:$U$2267,MATCH(UPPER(TRIM($H78)),DB!$J$2:$J$2267,0),4),"")))</f>
        <v/>
      </c>
      <c r="L80" s="4" t="str">
        <f>IF(H78="","",IFERROR(INDEX(DB!$B$2:$U$2267,MATCH(UPPER(TRIM($H78)),DB!$B$2:$B$2267,0),5),IFERROR(INDEX(DB!$B$2:$U$2267,MATCH(UPPER(TRIM($H78)),DB!$J$2:$J$2267,0),5),"")))</f>
        <v/>
      </c>
      <c r="M80" s="4" t="str">
        <f>IF(H78="","",IFERROR(INDEX(DB!$B$2:$U$2267,MATCH(UPPER(TRIM($H78)),DB!$B$2:$B$2267,0),6),IFERROR(INDEX(DB!$B$2:$U$2267,MATCH(UPPER(TRIM($H78)),DB!$J$2:$J$2267,0),6),"")))</f>
        <v/>
      </c>
      <c r="N80" s="4" t="str">
        <f>IF(H80="","",IFERROR(INDEX(DB!$B$2:$U$1713,MATCH(UPPER(TRIM(H80)),DB!$B$2:$B$1713,0),7),IFERROR(INDEX(DB!$B$2:$U$1713,MATCH(UPPER(TRIM(H80)),DB!$J$2:$J$1713,0),7),"")))</f>
        <v/>
      </c>
      <c r="O80" s="4"/>
      <c r="P80" s="4"/>
      <c r="Q80" s="4"/>
      <c r="R80" s="4"/>
      <c r="S80" s="4"/>
      <c r="T80" s="4"/>
      <c r="U80" s="4"/>
      <c r="V80" s="4" t="str">
        <f t="shared" ref="V80:V111" si="15">IF(M80="","",IF(OR(M80="E",M80="D"),IF(OR(N80="Yüksek",N80="Çok Yüksek",N80="Çok Yüksek (Gaz)",N80="Toz"),4,IF(N80="Orta",3,2)),IF(M80="C",IF(OR(N80="Yüksek",N80="Çok Yüksek",N80="Çok Yüksek (Gaz)",N80="Toz"),3,IF(N80="Orta",2,1)),IF(M80="B",IF(OR(N80="Yüksek",N80="Çok Yüksek",N80="Çok Yüksek (Gaz)",N80="Toz"),2,1),1))))</f>
        <v/>
      </c>
      <c r="W80" s="4"/>
      <c r="X80" s="4" t="str">
        <f t="shared" ref="X80:X111" si="16">IF($V80="","",IF($V80=1,"İyi uygulama + genel havalandırma. Kapalı kap/etiketleme.",IF($V80=2,"Yerel kontrol (LEV) / kapalı ekipman. KKD uygunluğu kontrol.",IF($V80=3,"Mühendislik kontrolü güçlendir (kapalı sistem/LEV) + prosedür. KKD zorunlu.","Uzman değerlendirmesi + mümkünse tam kapalı sistem. İzinli çalışma ve izleme."))))</f>
        <v/>
      </c>
      <c r="Y80" s="4" t="str">
        <f t="shared" si="12"/>
        <v/>
      </c>
      <c r="Z80" s="4" t="str">
        <f t="shared" ref="Z80:Z111" si="17">IF(V80="","",IF(V80=1,"Uygun",IF(V80=2,"Koşullu Uygun","Uygun Değil")))</f>
        <v/>
      </c>
      <c r="AA80" s="4"/>
      <c r="AB80" s="4"/>
      <c r="AC80" s="4"/>
      <c r="AD80" s="4" t="str">
        <f>IF(H80="","",IFERROR(INDEX(DB!$B$2:$U$1713,MATCH(UPPER(TRIM(H80)),DB!$B$2:$B$1713,0),8),IFERROR(INDEX(DB!$B$2:$U$1713,MATCH(UPPER(TRIM(H80)),DB!$J$2:$J$1713,0),8),"")))</f>
        <v/>
      </c>
      <c r="AE80" s="4"/>
      <c r="AF80" s="4"/>
      <c r="AG80" s="4"/>
      <c r="AI80" t="str">
        <f>IF(AI4&lt;&gt;"",HYPERLINK("https://echa.europa.eu/search-for-chemicals?search_criteria_ecnumber=" &amp; AI4,"ECHA"),"")</f>
        <v/>
      </c>
    </row>
    <row r="81" spans="1:35" ht="15" customHeight="1" x14ac:dyDescent="0.25">
      <c r="A81" s="6" t="str">
        <f t="shared" si="14"/>
        <v/>
      </c>
      <c r="B81" s="6"/>
      <c r="C81" s="6"/>
      <c r="D81" s="7" t="str">
        <f t="shared" si="13"/>
        <v/>
      </c>
      <c r="E81" s="6"/>
      <c r="F81" s="6"/>
      <c r="G81" s="6"/>
      <c r="H81" s="6"/>
      <c r="I81" s="6" t="str">
        <f>IFERROR(INDEX(DB!$C$2:$C$2267,MATCH(UPPER(TRIM($H79)),DB!$B$2:$B$2267,0)),IFERROR(INDEX(DB!$C$2:$C$2267,MATCH(UPPER(TRIM($H79)),DB!$J$2:$J$2267,0)),""))</f>
        <v/>
      </c>
      <c r="J81" s="6" t="str">
        <f>IF(H79="","",IFERROR(INDEX(DB!$B$2:$U$2267,MATCH(UPPER(TRIM($H79)),DB!$B$2:$B$2267,0),3),IFERROR(INDEX(DB!$B$2:$U$2267,MATCH(UPPER(TRIM($H79)),DB!$J$2:$J$2267,0),3),"")))</f>
        <v/>
      </c>
      <c r="K81" s="6" t="str">
        <f>IF(H79="","",IFERROR(INDEX(DB!$B$2:$U$2267,MATCH(UPPER(TRIM($H79)),DB!$B$2:$B$2267,0),4),IFERROR(INDEX(DB!$B$2:$U$2267,MATCH(UPPER(TRIM($H79)),DB!$J$2:$J$2267,0),4),"")))</f>
        <v/>
      </c>
      <c r="L81" s="6" t="str">
        <f>IF(H79="","",IFERROR(INDEX(DB!$B$2:$U$2267,MATCH(UPPER(TRIM($H79)),DB!$B$2:$B$2267,0),5),IFERROR(INDEX(DB!$B$2:$U$2267,MATCH(UPPER(TRIM($H79)),DB!$J$2:$J$2267,0),5),"")))</f>
        <v/>
      </c>
      <c r="M81" s="6" t="str">
        <f>IF(H79="","",IFERROR(INDEX(DB!$B$2:$U$2267,MATCH(UPPER(TRIM($H79)),DB!$B$2:$B$2267,0),6),IFERROR(INDEX(DB!$B$2:$U$2267,MATCH(UPPER(TRIM($H79)),DB!$J$2:$J$2267,0),6),"")))</f>
        <v/>
      </c>
      <c r="N81" s="6" t="str">
        <f>IF(H81="","",IFERROR(INDEX(DB!$B$2:$U$1713,MATCH(UPPER(TRIM(H81)),DB!$B$2:$B$1713,0),7),IFERROR(INDEX(DB!$B$2:$U$1713,MATCH(UPPER(TRIM(H81)),DB!$J$2:$J$1713,0),7),"")))</f>
        <v/>
      </c>
      <c r="O81" s="6"/>
      <c r="P81" s="6"/>
      <c r="Q81" s="6"/>
      <c r="R81" s="6"/>
      <c r="S81" s="6"/>
      <c r="T81" s="6"/>
      <c r="U81" s="6"/>
      <c r="V81" s="6" t="str">
        <f t="shared" si="15"/>
        <v/>
      </c>
      <c r="W81" s="6"/>
      <c r="X81" s="6" t="str">
        <f t="shared" si="16"/>
        <v/>
      </c>
      <c r="Y81" s="6" t="str">
        <f t="shared" ref="Y81:Y112" si="18">IF(V81="","",CHOOSE(V81,"Düşük","Orta","Yüksek","Kritik"))</f>
        <v/>
      </c>
      <c r="Z81" s="6" t="str">
        <f t="shared" si="17"/>
        <v/>
      </c>
      <c r="AA81" s="6"/>
      <c r="AB81" s="6"/>
      <c r="AC81" s="6"/>
      <c r="AD81" s="6" t="str">
        <f>IF(H81="","",IFERROR(INDEX(DB!$B$2:$U$1713,MATCH(UPPER(TRIM(H81)),DB!$B$2:$B$1713,0),8),IFERROR(INDEX(DB!$B$2:$U$1713,MATCH(UPPER(TRIM(H81)),DB!$J$2:$J$1713,0),8),"")))</f>
        <v/>
      </c>
      <c r="AE81" s="6"/>
      <c r="AF81" s="6"/>
      <c r="AG81" s="6"/>
      <c r="AI81" t="str">
        <f>IF(AI4&lt;&gt;"",HYPERLINK("https://echa.europa.eu/search-for-chemicals?search_criteria_ecnumber=" &amp; AI4,"ECHA"),"")</f>
        <v/>
      </c>
    </row>
    <row r="82" spans="1:35" ht="15" customHeight="1" x14ac:dyDescent="0.25">
      <c r="A82" s="4" t="str">
        <f t="shared" si="14"/>
        <v/>
      </c>
      <c r="B82" s="4"/>
      <c r="C82" s="4"/>
      <c r="D82" s="5" t="str">
        <f t="shared" si="13"/>
        <v/>
      </c>
      <c r="E82" s="4"/>
      <c r="F82" s="4"/>
      <c r="G82" s="4"/>
      <c r="H82" s="4"/>
      <c r="I82" s="4" t="str">
        <f>IFERROR(INDEX(DB!$C$2:$C$2267,MATCH(UPPER(TRIM($H80)),DB!$B$2:$B$2267,0)),IFERROR(INDEX(DB!$C$2:$C$2267,MATCH(UPPER(TRIM($H80)),DB!$J$2:$J$2267,0)),""))</f>
        <v/>
      </c>
      <c r="J82" s="4" t="str">
        <f>IF(H80="","",IFERROR(INDEX(DB!$B$2:$U$2267,MATCH(UPPER(TRIM($H80)),DB!$B$2:$B$2267,0),3),IFERROR(INDEX(DB!$B$2:$U$2267,MATCH(UPPER(TRIM($H80)),DB!$J$2:$J$2267,0),3),"")))</f>
        <v/>
      </c>
      <c r="K82" s="4" t="str">
        <f>IF(H80="","",IFERROR(INDEX(DB!$B$2:$U$2267,MATCH(UPPER(TRIM($H80)),DB!$B$2:$B$2267,0),4),IFERROR(INDEX(DB!$B$2:$U$2267,MATCH(UPPER(TRIM($H80)),DB!$J$2:$J$2267,0),4),"")))</f>
        <v/>
      </c>
      <c r="L82" s="4" t="str">
        <f>IF(H80="","",IFERROR(INDEX(DB!$B$2:$U$2267,MATCH(UPPER(TRIM($H80)),DB!$B$2:$B$2267,0),5),IFERROR(INDEX(DB!$B$2:$U$2267,MATCH(UPPER(TRIM($H80)),DB!$J$2:$J$2267,0),5),"")))</f>
        <v/>
      </c>
      <c r="M82" s="4" t="str">
        <f>IF(H80="","",IFERROR(INDEX(DB!$B$2:$U$2267,MATCH(UPPER(TRIM($H80)),DB!$B$2:$B$2267,0),6),IFERROR(INDEX(DB!$B$2:$U$2267,MATCH(UPPER(TRIM($H80)),DB!$J$2:$J$2267,0),6),"")))</f>
        <v/>
      </c>
      <c r="N82" s="4" t="str">
        <f>IF(H82="","",IFERROR(INDEX(DB!$B$2:$U$1713,MATCH(UPPER(TRIM(H82)),DB!$B$2:$B$1713,0),7),IFERROR(INDEX(DB!$B$2:$U$1713,MATCH(UPPER(TRIM(H82)),DB!$J$2:$J$1713,0),7),"")))</f>
        <v/>
      </c>
      <c r="O82" s="4"/>
      <c r="P82" s="4"/>
      <c r="Q82" s="4"/>
      <c r="R82" s="4"/>
      <c r="S82" s="4"/>
      <c r="T82" s="4"/>
      <c r="U82" s="4"/>
      <c r="V82" s="4" t="str">
        <f t="shared" si="15"/>
        <v/>
      </c>
      <c r="W82" s="4"/>
      <c r="X82" s="4" t="str">
        <f t="shared" si="16"/>
        <v/>
      </c>
      <c r="Y82" s="4" t="str">
        <f t="shared" si="18"/>
        <v/>
      </c>
      <c r="Z82" s="4" t="str">
        <f t="shared" si="17"/>
        <v/>
      </c>
      <c r="AA82" s="4"/>
      <c r="AB82" s="4"/>
      <c r="AC82" s="4"/>
      <c r="AD82" s="4" t="str">
        <f>IF(H82="","",IFERROR(INDEX(DB!$B$2:$U$1713,MATCH(UPPER(TRIM(H82)),DB!$B$2:$B$1713,0),8),IFERROR(INDEX(DB!$B$2:$U$1713,MATCH(UPPER(TRIM(H82)),DB!$J$2:$J$1713,0),8),"")))</f>
        <v/>
      </c>
      <c r="AE82" s="4"/>
      <c r="AF82" s="4"/>
      <c r="AG82" s="4"/>
      <c r="AI82" t="str">
        <f>IF(AI4&lt;&gt;"",HYPERLINK("https://echa.europa.eu/search-for-chemicals?search_criteria_ecnumber=" &amp; AI4,"ECHA"),"")</f>
        <v/>
      </c>
    </row>
    <row r="83" spans="1:35" ht="15" customHeight="1" x14ac:dyDescent="0.25">
      <c r="A83" s="6" t="str">
        <f t="shared" si="14"/>
        <v/>
      </c>
      <c r="B83" s="6"/>
      <c r="C83" s="6"/>
      <c r="D83" s="7" t="str">
        <f t="shared" si="13"/>
        <v/>
      </c>
      <c r="E83" s="6"/>
      <c r="F83" s="6"/>
      <c r="G83" s="6"/>
      <c r="H83" s="6"/>
      <c r="I83" s="6" t="str">
        <f>IFERROR(INDEX(DB!$C$2:$C$2267,MATCH(UPPER(TRIM($H81)),DB!$B$2:$B$2267,0)),IFERROR(INDEX(DB!$C$2:$C$2267,MATCH(UPPER(TRIM($H81)),DB!$J$2:$J$2267,0)),""))</f>
        <v/>
      </c>
      <c r="J83" s="6" t="str">
        <f>IF(H81="","",IFERROR(INDEX(DB!$B$2:$U$2267,MATCH(UPPER(TRIM($H81)),DB!$B$2:$B$2267,0),3),IFERROR(INDEX(DB!$B$2:$U$2267,MATCH(UPPER(TRIM($H81)),DB!$J$2:$J$2267,0),3),"")))</f>
        <v/>
      </c>
      <c r="K83" s="6" t="str">
        <f>IF(H81="","",IFERROR(INDEX(DB!$B$2:$U$2267,MATCH(UPPER(TRIM($H81)),DB!$B$2:$B$2267,0),4),IFERROR(INDEX(DB!$B$2:$U$2267,MATCH(UPPER(TRIM($H81)),DB!$J$2:$J$2267,0),4),"")))</f>
        <v/>
      </c>
      <c r="L83" s="6" t="str">
        <f>IF(H81="","",IFERROR(INDEX(DB!$B$2:$U$2267,MATCH(UPPER(TRIM($H81)),DB!$B$2:$B$2267,0),5),IFERROR(INDEX(DB!$B$2:$U$2267,MATCH(UPPER(TRIM($H81)),DB!$J$2:$J$2267,0),5),"")))</f>
        <v/>
      </c>
      <c r="M83" s="6" t="str">
        <f>IF(H81="","",IFERROR(INDEX(DB!$B$2:$U$2267,MATCH(UPPER(TRIM($H81)),DB!$B$2:$B$2267,0),6),IFERROR(INDEX(DB!$B$2:$U$2267,MATCH(UPPER(TRIM($H81)),DB!$J$2:$J$2267,0),6),"")))</f>
        <v/>
      </c>
      <c r="N83" s="6" t="str">
        <f>IF(H83="","",IFERROR(INDEX(DB!$B$2:$U$1713,MATCH(UPPER(TRIM(H83)),DB!$B$2:$B$1713,0),7),IFERROR(INDEX(DB!$B$2:$U$1713,MATCH(UPPER(TRIM(H83)),DB!$J$2:$J$1713,0),7),"")))</f>
        <v/>
      </c>
      <c r="O83" s="6"/>
      <c r="P83" s="6"/>
      <c r="Q83" s="6"/>
      <c r="R83" s="6"/>
      <c r="S83" s="6"/>
      <c r="T83" s="6"/>
      <c r="U83" s="6"/>
      <c r="V83" s="6" t="str">
        <f t="shared" si="15"/>
        <v/>
      </c>
      <c r="W83" s="6"/>
      <c r="X83" s="6" t="str">
        <f t="shared" si="16"/>
        <v/>
      </c>
      <c r="Y83" s="6" t="str">
        <f t="shared" si="18"/>
        <v/>
      </c>
      <c r="Z83" s="6" t="str">
        <f t="shared" si="17"/>
        <v/>
      </c>
      <c r="AA83" s="6"/>
      <c r="AB83" s="6"/>
      <c r="AC83" s="6"/>
      <c r="AD83" s="6" t="str">
        <f>IF(H83="","",IFERROR(INDEX(DB!$B$2:$U$1713,MATCH(UPPER(TRIM(H83)),DB!$B$2:$B$1713,0),8),IFERROR(INDEX(DB!$B$2:$U$1713,MATCH(UPPER(TRIM(H83)),DB!$J$2:$J$1713,0),8),"")))</f>
        <v/>
      </c>
      <c r="AE83" s="6"/>
      <c r="AF83" s="6"/>
      <c r="AG83" s="6"/>
      <c r="AI83" t="str">
        <f>IF(AI4&lt;&gt;"",HYPERLINK("https://echa.europa.eu/search-for-chemicals?search_criteria_ecnumber=" &amp; AI4,"ECHA"),"")</f>
        <v/>
      </c>
    </row>
    <row r="84" spans="1:35" ht="15" customHeight="1" x14ac:dyDescent="0.25">
      <c r="A84" s="4" t="str">
        <f t="shared" si="14"/>
        <v/>
      </c>
      <c r="B84" s="4"/>
      <c r="C84" s="4"/>
      <c r="D84" s="5" t="str">
        <f t="shared" si="13"/>
        <v/>
      </c>
      <c r="E84" s="4"/>
      <c r="F84" s="4"/>
      <c r="G84" s="4"/>
      <c r="H84" s="4"/>
      <c r="I84" s="4" t="str">
        <f>IFERROR(INDEX(DB!$C$2:$C$2267,MATCH(UPPER(TRIM($H82)),DB!$B$2:$B$2267,0)),IFERROR(INDEX(DB!$C$2:$C$2267,MATCH(UPPER(TRIM($H82)),DB!$J$2:$J$2267,0)),""))</f>
        <v/>
      </c>
      <c r="J84" s="4" t="str">
        <f>IF(H82="","",IFERROR(INDEX(DB!$B$2:$U$2267,MATCH(UPPER(TRIM($H82)),DB!$B$2:$B$2267,0),3),IFERROR(INDEX(DB!$B$2:$U$2267,MATCH(UPPER(TRIM($H82)),DB!$J$2:$J$2267,0),3),"")))</f>
        <v/>
      </c>
      <c r="K84" s="4" t="str">
        <f>IF(H82="","",IFERROR(INDEX(DB!$B$2:$U$2267,MATCH(UPPER(TRIM($H82)),DB!$B$2:$B$2267,0),4),IFERROR(INDEX(DB!$B$2:$U$2267,MATCH(UPPER(TRIM($H82)),DB!$J$2:$J$2267,0),4),"")))</f>
        <v/>
      </c>
      <c r="L84" s="4" t="str">
        <f>IF(H82="","",IFERROR(INDEX(DB!$B$2:$U$2267,MATCH(UPPER(TRIM($H82)),DB!$B$2:$B$2267,0),5),IFERROR(INDEX(DB!$B$2:$U$2267,MATCH(UPPER(TRIM($H82)),DB!$J$2:$J$2267,0),5),"")))</f>
        <v/>
      </c>
      <c r="M84" s="4" t="str">
        <f>IF(H82="","",IFERROR(INDEX(DB!$B$2:$U$2267,MATCH(UPPER(TRIM($H82)),DB!$B$2:$B$2267,0),6),IFERROR(INDEX(DB!$B$2:$U$2267,MATCH(UPPER(TRIM($H82)),DB!$J$2:$J$2267,0),6),"")))</f>
        <v/>
      </c>
      <c r="N84" s="4" t="str">
        <f>IF(H84="","",IFERROR(INDEX(DB!$B$2:$U$1713,MATCH(UPPER(TRIM(H84)),DB!$B$2:$B$1713,0),7),IFERROR(INDEX(DB!$B$2:$U$1713,MATCH(UPPER(TRIM(H84)),DB!$J$2:$J$1713,0),7),"")))</f>
        <v/>
      </c>
      <c r="O84" s="4"/>
      <c r="P84" s="4"/>
      <c r="Q84" s="4"/>
      <c r="R84" s="4"/>
      <c r="S84" s="4"/>
      <c r="T84" s="4"/>
      <c r="U84" s="4"/>
      <c r="V84" s="4" t="str">
        <f t="shared" si="15"/>
        <v/>
      </c>
      <c r="W84" s="4"/>
      <c r="X84" s="4" t="str">
        <f t="shared" si="16"/>
        <v/>
      </c>
      <c r="Y84" s="4" t="str">
        <f t="shared" si="18"/>
        <v/>
      </c>
      <c r="Z84" s="4" t="str">
        <f t="shared" si="17"/>
        <v/>
      </c>
      <c r="AA84" s="4"/>
      <c r="AB84" s="4"/>
      <c r="AC84" s="4"/>
      <c r="AD84" s="4" t="str">
        <f>IF(H84="","",IFERROR(INDEX(DB!$B$2:$U$1713,MATCH(UPPER(TRIM(H84)),DB!$B$2:$B$1713,0),8),IFERROR(INDEX(DB!$B$2:$U$1713,MATCH(UPPER(TRIM(H84)),DB!$J$2:$J$1713,0),8),"")))</f>
        <v/>
      </c>
      <c r="AE84" s="4"/>
      <c r="AF84" s="4"/>
      <c r="AG84" s="4"/>
      <c r="AI84" t="str">
        <f>IF(AI4&lt;&gt;"",HYPERLINK("https://echa.europa.eu/search-for-chemicals?search_criteria_ecnumber=" &amp; AI4,"ECHA"),"")</f>
        <v/>
      </c>
    </row>
    <row r="85" spans="1:35" ht="15" customHeight="1" x14ac:dyDescent="0.25">
      <c r="A85" s="6" t="str">
        <f t="shared" si="14"/>
        <v/>
      </c>
      <c r="B85" s="6"/>
      <c r="C85" s="6"/>
      <c r="D85" s="7" t="str">
        <f t="shared" si="13"/>
        <v/>
      </c>
      <c r="E85" s="6"/>
      <c r="F85" s="6"/>
      <c r="G85" s="6"/>
      <c r="H85" s="6"/>
      <c r="I85" s="6" t="str">
        <f>IFERROR(INDEX(DB!$C$2:$C$2267,MATCH(UPPER(TRIM($H83)),DB!$B$2:$B$2267,0)),IFERROR(INDEX(DB!$C$2:$C$2267,MATCH(UPPER(TRIM($H83)),DB!$J$2:$J$2267,0)),""))</f>
        <v/>
      </c>
      <c r="J85" s="6" t="str">
        <f>IF(H83="","",IFERROR(INDEX(DB!$B$2:$U$2267,MATCH(UPPER(TRIM($H83)),DB!$B$2:$B$2267,0),3),IFERROR(INDEX(DB!$B$2:$U$2267,MATCH(UPPER(TRIM($H83)),DB!$J$2:$J$2267,0),3),"")))</f>
        <v/>
      </c>
      <c r="K85" s="6" t="str">
        <f>IF(H83="","",IFERROR(INDEX(DB!$B$2:$U$2267,MATCH(UPPER(TRIM($H83)),DB!$B$2:$B$2267,0),4),IFERROR(INDEX(DB!$B$2:$U$2267,MATCH(UPPER(TRIM($H83)),DB!$J$2:$J$2267,0),4),"")))</f>
        <v/>
      </c>
      <c r="L85" s="6" t="str">
        <f>IF(H83="","",IFERROR(INDEX(DB!$B$2:$U$2267,MATCH(UPPER(TRIM($H83)),DB!$B$2:$B$2267,0),5),IFERROR(INDEX(DB!$B$2:$U$2267,MATCH(UPPER(TRIM($H83)),DB!$J$2:$J$2267,0),5),"")))</f>
        <v/>
      </c>
      <c r="M85" s="6" t="str">
        <f>IF(H83="","",IFERROR(INDEX(DB!$B$2:$U$2267,MATCH(UPPER(TRIM($H83)),DB!$B$2:$B$2267,0),6),IFERROR(INDEX(DB!$B$2:$U$2267,MATCH(UPPER(TRIM($H83)),DB!$J$2:$J$2267,0),6),"")))</f>
        <v/>
      </c>
      <c r="N85" s="6" t="str">
        <f>IF(H85="","",IFERROR(INDEX(DB!$B$2:$U$1713,MATCH(UPPER(TRIM(H85)),DB!$B$2:$B$1713,0),7),IFERROR(INDEX(DB!$B$2:$U$1713,MATCH(UPPER(TRIM(H85)),DB!$J$2:$J$1713,0),7),"")))</f>
        <v/>
      </c>
      <c r="O85" s="6"/>
      <c r="P85" s="6"/>
      <c r="Q85" s="6"/>
      <c r="R85" s="6"/>
      <c r="S85" s="6"/>
      <c r="T85" s="6"/>
      <c r="U85" s="6"/>
      <c r="V85" s="6" t="str">
        <f t="shared" si="15"/>
        <v/>
      </c>
      <c r="W85" s="6"/>
      <c r="X85" s="6" t="str">
        <f t="shared" si="16"/>
        <v/>
      </c>
      <c r="Y85" s="6" t="str">
        <f t="shared" si="18"/>
        <v/>
      </c>
      <c r="Z85" s="6" t="str">
        <f t="shared" si="17"/>
        <v/>
      </c>
      <c r="AA85" s="6"/>
      <c r="AB85" s="6"/>
      <c r="AC85" s="6"/>
      <c r="AD85" s="6" t="str">
        <f>IF(H85="","",IFERROR(INDEX(DB!$B$2:$U$1713,MATCH(UPPER(TRIM(H85)),DB!$B$2:$B$1713,0),8),IFERROR(INDEX(DB!$B$2:$U$1713,MATCH(UPPER(TRIM(H85)),DB!$J$2:$J$1713,0),8),"")))</f>
        <v/>
      </c>
      <c r="AE85" s="6"/>
      <c r="AF85" s="6"/>
      <c r="AG85" s="6"/>
      <c r="AI85" t="str">
        <f>IF(AI4&lt;&gt;"",HYPERLINK("https://echa.europa.eu/search-for-chemicals?search_criteria_ecnumber=" &amp; AI4,"ECHA"),"")</f>
        <v/>
      </c>
    </row>
    <row r="86" spans="1:35" ht="15" customHeight="1" x14ac:dyDescent="0.25">
      <c r="A86" s="4" t="str">
        <f t="shared" si="14"/>
        <v/>
      </c>
      <c r="B86" s="4"/>
      <c r="C86" s="4"/>
      <c r="D86" s="5" t="str">
        <f t="shared" si="13"/>
        <v/>
      </c>
      <c r="E86" s="4"/>
      <c r="F86" s="4"/>
      <c r="G86" s="4"/>
      <c r="H86" s="4"/>
      <c r="I86" s="4" t="str">
        <f>IFERROR(INDEX(DB!$C$2:$C$2267,MATCH(UPPER(TRIM($H84)),DB!$B$2:$B$2267,0)),IFERROR(INDEX(DB!$C$2:$C$2267,MATCH(UPPER(TRIM($H84)),DB!$J$2:$J$2267,0)),""))</f>
        <v/>
      </c>
      <c r="J86" s="4" t="str">
        <f>IF(H84="","",IFERROR(INDEX(DB!$B$2:$U$2267,MATCH(UPPER(TRIM($H84)),DB!$B$2:$B$2267,0),3),IFERROR(INDEX(DB!$B$2:$U$2267,MATCH(UPPER(TRIM($H84)),DB!$J$2:$J$2267,0),3),"")))</f>
        <v/>
      </c>
      <c r="K86" s="4" t="str">
        <f>IF(H84="","",IFERROR(INDEX(DB!$B$2:$U$2267,MATCH(UPPER(TRIM($H84)),DB!$B$2:$B$2267,0),4),IFERROR(INDEX(DB!$B$2:$U$2267,MATCH(UPPER(TRIM($H84)),DB!$J$2:$J$2267,0),4),"")))</f>
        <v/>
      </c>
      <c r="L86" s="4" t="str">
        <f>IF(H84="","",IFERROR(INDEX(DB!$B$2:$U$2267,MATCH(UPPER(TRIM($H84)),DB!$B$2:$B$2267,0),5),IFERROR(INDEX(DB!$B$2:$U$2267,MATCH(UPPER(TRIM($H84)),DB!$J$2:$J$2267,0),5),"")))</f>
        <v/>
      </c>
      <c r="M86" s="4" t="str">
        <f>IF(H84="","",IFERROR(INDEX(DB!$B$2:$U$2267,MATCH(UPPER(TRIM($H84)),DB!$B$2:$B$2267,0),6),IFERROR(INDEX(DB!$B$2:$U$2267,MATCH(UPPER(TRIM($H84)),DB!$J$2:$J$2267,0),6),"")))</f>
        <v/>
      </c>
      <c r="N86" s="4" t="str">
        <f>IF(H86="","",IFERROR(INDEX(DB!$B$2:$U$1713,MATCH(UPPER(TRIM(H86)),DB!$B$2:$B$1713,0),7),IFERROR(INDEX(DB!$B$2:$U$1713,MATCH(UPPER(TRIM(H86)),DB!$J$2:$J$1713,0),7),"")))</f>
        <v/>
      </c>
      <c r="O86" s="4"/>
      <c r="P86" s="4"/>
      <c r="Q86" s="4"/>
      <c r="R86" s="4"/>
      <c r="S86" s="4"/>
      <c r="T86" s="4"/>
      <c r="U86" s="4"/>
      <c r="V86" s="4" t="str">
        <f t="shared" si="15"/>
        <v/>
      </c>
      <c r="W86" s="4"/>
      <c r="X86" s="4" t="str">
        <f t="shared" si="16"/>
        <v/>
      </c>
      <c r="Y86" s="4" t="str">
        <f t="shared" si="18"/>
        <v/>
      </c>
      <c r="Z86" s="4" t="str">
        <f t="shared" si="17"/>
        <v/>
      </c>
      <c r="AA86" s="4"/>
      <c r="AB86" s="4"/>
      <c r="AC86" s="4"/>
      <c r="AD86" s="4" t="str">
        <f>IF(H86="","",IFERROR(INDEX(DB!$B$2:$U$1713,MATCH(UPPER(TRIM(H86)),DB!$B$2:$B$1713,0),8),IFERROR(INDEX(DB!$B$2:$U$1713,MATCH(UPPER(TRIM(H86)),DB!$J$2:$J$1713,0),8),"")))</f>
        <v/>
      </c>
      <c r="AE86" s="4"/>
      <c r="AF86" s="4"/>
      <c r="AG86" s="4"/>
      <c r="AI86" t="str">
        <f>IF(AI4&lt;&gt;"",HYPERLINK("https://echa.europa.eu/search-for-chemicals?search_criteria_ecnumber=" &amp; AI4,"ECHA"),"")</f>
        <v/>
      </c>
    </row>
    <row r="87" spans="1:35" ht="15" customHeight="1" x14ac:dyDescent="0.25">
      <c r="A87" s="6" t="str">
        <f t="shared" si="14"/>
        <v/>
      </c>
      <c r="B87" s="6"/>
      <c r="C87" s="6"/>
      <c r="D87" s="7" t="str">
        <f t="shared" si="13"/>
        <v/>
      </c>
      <c r="E87" s="6"/>
      <c r="F87" s="6"/>
      <c r="G87" s="6"/>
      <c r="H87" s="6"/>
      <c r="I87" s="6" t="str">
        <f>IFERROR(INDEX(DB!$C$2:$C$2267,MATCH(UPPER(TRIM($H85)),DB!$B$2:$B$2267,0)),IFERROR(INDEX(DB!$C$2:$C$2267,MATCH(UPPER(TRIM($H85)),DB!$J$2:$J$2267,0)),""))</f>
        <v/>
      </c>
      <c r="J87" s="6" t="str">
        <f>IF(H85="","",IFERROR(INDEX(DB!$B$2:$U$2267,MATCH(UPPER(TRIM($H85)),DB!$B$2:$B$2267,0),3),IFERROR(INDEX(DB!$B$2:$U$2267,MATCH(UPPER(TRIM($H85)),DB!$J$2:$J$2267,0),3),"")))</f>
        <v/>
      </c>
      <c r="K87" s="6" t="str">
        <f>IF(H85="","",IFERROR(INDEX(DB!$B$2:$U$2267,MATCH(UPPER(TRIM($H85)),DB!$B$2:$B$2267,0),4),IFERROR(INDEX(DB!$B$2:$U$2267,MATCH(UPPER(TRIM($H85)),DB!$J$2:$J$2267,0),4),"")))</f>
        <v/>
      </c>
      <c r="L87" s="6" t="str">
        <f>IF(H85="","",IFERROR(INDEX(DB!$B$2:$U$2267,MATCH(UPPER(TRIM($H85)),DB!$B$2:$B$2267,0),5),IFERROR(INDEX(DB!$B$2:$U$2267,MATCH(UPPER(TRIM($H85)),DB!$J$2:$J$2267,0),5),"")))</f>
        <v/>
      </c>
      <c r="M87" s="6" t="str">
        <f>IF(H85="","",IFERROR(INDEX(DB!$B$2:$U$2267,MATCH(UPPER(TRIM($H85)),DB!$B$2:$B$2267,0),6),IFERROR(INDEX(DB!$B$2:$U$2267,MATCH(UPPER(TRIM($H85)),DB!$J$2:$J$2267,0),6),"")))</f>
        <v/>
      </c>
      <c r="N87" s="6" t="str">
        <f>IF(H87="","",IFERROR(INDEX(DB!$B$2:$U$1713,MATCH(UPPER(TRIM(H87)),DB!$B$2:$B$1713,0),7),IFERROR(INDEX(DB!$B$2:$U$1713,MATCH(UPPER(TRIM(H87)),DB!$J$2:$J$1713,0),7),"")))</f>
        <v/>
      </c>
      <c r="O87" s="6"/>
      <c r="P87" s="6"/>
      <c r="Q87" s="6"/>
      <c r="R87" s="6"/>
      <c r="S87" s="6"/>
      <c r="T87" s="6"/>
      <c r="U87" s="6"/>
      <c r="V87" s="6" t="str">
        <f t="shared" si="15"/>
        <v/>
      </c>
      <c r="W87" s="6"/>
      <c r="X87" s="6" t="str">
        <f t="shared" si="16"/>
        <v/>
      </c>
      <c r="Y87" s="6" t="str">
        <f t="shared" si="18"/>
        <v/>
      </c>
      <c r="Z87" s="6" t="str">
        <f t="shared" si="17"/>
        <v/>
      </c>
      <c r="AA87" s="6"/>
      <c r="AB87" s="6"/>
      <c r="AC87" s="6"/>
      <c r="AD87" s="6" t="str">
        <f>IF(H87="","",IFERROR(INDEX(DB!$B$2:$U$1713,MATCH(UPPER(TRIM(H87)),DB!$B$2:$B$1713,0),8),IFERROR(INDEX(DB!$B$2:$U$1713,MATCH(UPPER(TRIM(H87)),DB!$J$2:$J$1713,0),8),"")))</f>
        <v/>
      </c>
      <c r="AE87" s="6"/>
      <c r="AF87" s="6"/>
      <c r="AG87" s="6"/>
      <c r="AI87" t="str">
        <f>IF(AI4&lt;&gt;"",HYPERLINK("https://echa.europa.eu/search-for-chemicals?search_criteria_ecnumber=" &amp; AI4,"ECHA"),"")</f>
        <v/>
      </c>
    </row>
    <row r="88" spans="1:35" ht="15" customHeight="1" x14ac:dyDescent="0.25">
      <c r="A88" s="4" t="str">
        <f t="shared" si="14"/>
        <v/>
      </c>
      <c r="B88" s="4"/>
      <c r="C88" s="4"/>
      <c r="D88" s="5" t="str">
        <f t="shared" ref="D88:D119" si="19">IF(B86="","",B86+365)</f>
        <v/>
      </c>
      <c r="E88" s="4"/>
      <c r="F88" s="4"/>
      <c r="G88" s="4"/>
      <c r="H88" s="4"/>
      <c r="I88" s="4" t="str">
        <f>IFERROR(INDEX(DB!$C$2:$C$2267,MATCH(UPPER(TRIM($H86)),DB!$B$2:$B$2267,0)),IFERROR(INDEX(DB!$C$2:$C$2267,MATCH(UPPER(TRIM($H86)),DB!$J$2:$J$2267,0)),""))</f>
        <v/>
      </c>
      <c r="J88" s="4" t="str">
        <f>IF(H86="","",IFERROR(INDEX(DB!$B$2:$U$2267,MATCH(UPPER(TRIM($H86)),DB!$B$2:$B$2267,0),3),IFERROR(INDEX(DB!$B$2:$U$2267,MATCH(UPPER(TRIM($H86)),DB!$J$2:$J$2267,0),3),"")))</f>
        <v/>
      </c>
      <c r="K88" s="4" t="str">
        <f>IF(H86="","",IFERROR(INDEX(DB!$B$2:$U$2267,MATCH(UPPER(TRIM($H86)),DB!$B$2:$B$2267,0),4),IFERROR(INDEX(DB!$B$2:$U$2267,MATCH(UPPER(TRIM($H86)),DB!$J$2:$J$2267,0),4),"")))</f>
        <v/>
      </c>
      <c r="L88" s="4" t="str">
        <f>IF(H86="","",IFERROR(INDEX(DB!$B$2:$U$2267,MATCH(UPPER(TRIM($H86)),DB!$B$2:$B$2267,0),5),IFERROR(INDEX(DB!$B$2:$U$2267,MATCH(UPPER(TRIM($H86)),DB!$J$2:$J$2267,0),5),"")))</f>
        <v/>
      </c>
      <c r="M88" s="4" t="str">
        <f>IF(H86="","",IFERROR(INDEX(DB!$B$2:$U$2267,MATCH(UPPER(TRIM($H86)),DB!$B$2:$B$2267,0),6),IFERROR(INDEX(DB!$B$2:$U$2267,MATCH(UPPER(TRIM($H86)),DB!$J$2:$J$2267,0),6),"")))</f>
        <v/>
      </c>
      <c r="N88" s="4" t="str">
        <f>IF(H88="","",IFERROR(INDEX(DB!$B$2:$U$1713,MATCH(UPPER(TRIM(H88)),DB!$B$2:$B$1713,0),7),IFERROR(INDEX(DB!$B$2:$U$1713,MATCH(UPPER(TRIM(H88)),DB!$J$2:$J$1713,0),7),"")))</f>
        <v/>
      </c>
      <c r="O88" s="4"/>
      <c r="P88" s="4"/>
      <c r="Q88" s="4"/>
      <c r="R88" s="4"/>
      <c r="S88" s="4"/>
      <c r="T88" s="4"/>
      <c r="U88" s="4"/>
      <c r="V88" s="4" t="str">
        <f t="shared" si="15"/>
        <v/>
      </c>
      <c r="W88" s="4"/>
      <c r="X88" s="4" t="str">
        <f t="shared" si="16"/>
        <v/>
      </c>
      <c r="Y88" s="4" t="str">
        <f t="shared" si="18"/>
        <v/>
      </c>
      <c r="Z88" s="4" t="str">
        <f t="shared" si="17"/>
        <v/>
      </c>
      <c r="AA88" s="4"/>
      <c r="AB88" s="4"/>
      <c r="AC88" s="4"/>
      <c r="AD88" s="4" t="str">
        <f>IF(H88="","",IFERROR(INDEX(DB!$B$2:$U$1713,MATCH(UPPER(TRIM(H88)),DB!$B$2:$B$1713,0),8),IFERROR(INDEX(DB!$B$2:$U$1713,MATCH(UPPER(TRIM(H88)),DB!$J$2:$J$1713,0),8),"")))</f>
        <v/>
      </c>
      <c r="AE88" s="4"/>
      <c r="AF88" s="4"/>
      <c r="AG88" s="4"/>
      <c r="AI88" t="str">
        <f>IF(AI4&lt;&gt;"",HYPERLINK("https://echa.europa.eu/search-for-chemicals?search_criteria_ecnumber=" &amp; AI4,"ECHA"),"")</f>
        <v/>
      </c>
    </row>
    <row r="89" spans="1:35" ht="15" customHeight="1" x14ac:dyDescent="0.25">
      <c r="A89" s="6" t="str">
        <f t="shared" si="14"/>
        <v/>
      </c>
      <c r="B89" s="6"/>
      <c r="C89" s="6"/>
      <c r="D89" s="7" t="str">
        <f t="shared" si="19"/>
        <v/>
      </c>
      <c r="E89" s="6"/>
      <c r="F89" s="6"/>
      <c r="G89" s="6"/>
      <c r="H89" s="6"/>
      <c r="I89" s="6" t="str">
        <f>IFERROR(INDEX(DB!$C$2:$C$2267,MATCH(UPPER(TRIM($H87)),DB!$B$2:$B$2267,0)),IFERROR(INDEX(DB!$C$2:$C$2267,MATCH(UPPER(TRIM($H87)),DB!$J$2:$J$2267,0)),""))</f>
        <v/>
      </c>
      <c r="J89" s="6" t="str">
        <f>IF(H87="","",IFERROR(INDEX(DB!$B$2:$U$2267,MATCH(UPPER(TRIM($H87)),DB!$B$2:$B$2267,0),3),IFERROR(INDEX(DB!$B$2:$U$2267,MATCH(UPPER(TRIM($H87)),DB!$J$2:$J$2267,0),3),"")))</f>
        <v/>
      </c>
      <c r="K89" s="6" t="str">
        <f>IF(H87="","",IFERROR(INDEX(DB!$B$2:$U$2267,MATCH(UPPER(TRIM($H87)),DB!$B$2:$B$2267,0),4),IFERROR(INDEX(DB!$B$2:$U$2267,MATCH(UPPER(TRIM($H87)),DB!$J$2:$J$2267,0),4),"")))</f>
        <v/>
      </c>
      <c r="L89" s="6" t="str">
        <f>IF(H87="","",IFERROR(INDEX(DB!$B$2:$U$2267,MATCH(UPPER(TRIM($H87)),DB!$B$2:$B$2267,0),5),IFERROR(INDEX(DB!$B$2:$U$2267,MATCH(UPPER(TRIM($H87)),DB!$J$2:$J$2267,0),5),"")))</f>
        <v/>
      </c>
      <c r="M89" s="6" t="str">
        <f>IF(H87="","",IFERROR(INDEX(DB!$B$2:$U$2267,MATCH(UPPER(TRIM($H87)),DB!$B$2:$B$2267,0),6),IFERROR(INDEX(DB!$B$2:$U$2267,MATCH(UPPER(TRIM($H87)),DB!$J$2:$J$2267,0),6),"")))</f>
        <v/>
      </c>
      <c r="N89" s="6" t="str">
        <f>IF(H89="","",IFERROR(INDEX(DB!$B$2:$U$1713,MATCH(UPPER(TRIM(H89)),DB!$B$2:$B$1713,0),7),IFERROR(INDEX(DB!$B$2:$U$1713,MATCH(UPPER(TRIM(H89)),DB!$J$2:$J$1713,0),7),"")))</f>
        <v/>
      </c>
      <c r="O89" s="6"/>
      <c r="P89" s="6"/>
      <c r="Q89" s="6"/>
      <c r="R89" s="6"/>
      <c r="S89" s="6"/>
      <c r="T89" s="6"/>
      <c r="U89" s="6"/>
      <c r="V89" s="6" t="str">
        <f t="shared" si="15"/>
        <v/>
      </c>
      <c r="W89" s="6"/>
      <c r="X89" s="6" t="str">
        <f t="shared" si="16"/>
        <v/>
      </c>
      <c r="Y89" s="6" t="str">
        <f t="shared" si="18"/>
        <v/>
      </c>
      <c r="Z89" s="6" t="str">
        <f t="shared" si="17"/>
        <v/>
      </c>
      <c r="AA89" s="6"/>
      <c r="AB89" s="6"/>
      <c r="AC89" s="6"/>
      <c r="AD89" s="6" t="str">
        <f>IF(H89="","",IFERROR(INDEX(DB!$B$2:$U$1713,MATCH(UPPER(TRIM(H89)),DB!$B$2:$B$1713,0),8),IFERROR(INDEX(DB!$B$2:$U$1713,MATCH(UPPER(TRIM(H89)),DB!$J$2:$J$1713,0),8),"")))</f>
        <v/>
      </c>
      <c r="AE89" s="6"/>
      <c r="AF89" s="6"/>
      <c r="AG89" s="6"/>
      <c r="AI89" t="str">
        <f>IF(AI4&lt;&gt;"",HYPERLINK("https://echa.europa.eu/search-for-chemicals?search_criteria_ecnumber=" &amp; AI4,"ECHA"),"")</f>
        <v/>
      </c>
    </row>
    <row r="90" spans="1:35" ht="15" customHeight="1" x14ac:dyDescent="0.25">
      <c r="A90" s="4" t="str">
        <f t="shared" si="14"/>
        <v/>
      </c>
      <c r="B90" s="4"/>
      <c r="C90" s="4"/>
      <c r="D90" s="5" t="str">
        <f t="shared" si="19"/>
        <v/>
      </c>
      <c r="E90" s="4"/>
      <c r="F90" s="4"/>
      <c r="G90" s="4"/>
      <c r="H90" s="4"/>
      <c r="I90" s="4" t="str">
        <f>IFERROR(INDEX(DB!$C$2:$C$2267,MATCH(UPPER(TRIM($H88)),DB!$B$2:$B$2267,0)),IFERROR(INDEX(DB!$C$2:$C$2267,MATCH(UPPER(TRIM($H88)),DB!$J$2:$J$2267,0)),""))</f>
        <v/>
      </c>
      <c r="J90" s="4" t="str">
        <f>IF(H88="","",IFERROR(INDEX(DB!$B$2:$U$2267,MATCH(UPPER(TRIM($H88)),DB!$B$2:$B$2267,0),3),IFERROR(INDEX(DB!$B$2:$U$2267,MATCH(UPPER(TRIM($H88)),DB!$J$2:$J$2267,0),3),"")))</f>
        <v/>
      </c>
      <c r="K90" s="4" t="str">
        <f>IF(H88="","",IFERROR(INDEX(DB!$B$2:$U$2267,MATCH(UPPER(TRIM($H88)),DB!$B$2:$B$2267,0),4),IFERROR(INDEX(DB!$B$2:$U$2267,MATCH(UPPER(TRIM($H88)),DB!$J$2:$J$2267,0),4),"")))</f>
        <v/>
      </c>
      <c r="L90" s="4" t="str">
        <f>IF(H88="","",IFERROR(INDEX(DB!$B$2:$U$2267,MATCH(UPPER(TRIM($H88)),DB!$B$2:$B$2267,0),5),IFERROR(INDEX(DB!$B$2:$U$2267,MATCH(UPPER(TRIM($H88)),DB!$J$2:$J$2267,0),5),"")))</f>
        <v/>
      </c>
      <c r="M90" s="4" t="str">
        <f>IF(H88="","",IFERROR(INDEX(DB!$B$2:$U$2267,MATCH(UPPER(TRIM($H88)),DB!$B$2:$B$2267,0),6),IFERROR(INDEX(DB!$B$2:$U$2267,MATCH(UPPER(TRIM($H88)),DB!$J$2:$J$2267,0),6),"")))</f>
        <v/>
      </c>
      <c r="N90" s="4" t="str">
        <f>IF(H90="","",IFERROR(INDEX(DB!$B$2:$U$1713,MATCH(UPPER(TRIM(H90)),DB!$B$2:$B$1713,0),7),IFERROR(INDEX(DB!$B$2:$U$1713,MATCH(UPPER(TRIM(H90)),DB!$J$2:$J$1713,0),7),"")))</f>
        <v/>
      </c>
      <c r="O90" s="4"/>
      <c r="P90" s="4"/>
      <c r="Q90" s="4"/>
      <c r="R90" s="4"/>
      <c r="S90" s="4"/>
      <c r="T90" s="4"/>
      <c r="U90" s="4"/>
      <c r="V90" s="4" t="str">
        <f t="shared" si="15"/>
        <v/>
      </c>
      <c r="W90" s="4"/>
      <c r="X90" s="4" t="str">
        <f t="shared" si="16"/>
        <v/>
      </c>
      <c r="Y90" s="4" t="str">
        <f t="shared" si="18"/>
        <v/>
      </c>
      <c r="Z90" s="4" t="str">
        <f t="shared" si="17"/>
        <v/>
      </c>
      <c r="AA90" s="4"/>
      <c r="AB90" s="4"/>
      <c r="AC90" s="4"/>
      <c r="AD90" s="4" t="str">
        <f>IF(H90="","",IFERROR(INDEX(DB!$B$2:$U$1713,MATCH(UPPER(TRIM(H90)),DB!$B$2:$B$1713,0),8),IFERROR(INDEX(DB!$B$2:$U$1713,MATCH(UPPER(TRIM(H90)),DB!$J$2:$J$1713,0),8),"")))</f>
        <v/>
      </c>
      <c r="AE90" s="4"/>
      <c r="AF90" s="4"/>
      <c r="AG90" s="4"/>
      <c r="AI90" t="str">
        <f>IF(AI4&lt;&gt;"",HYPERLINK("https://echa.europa.eu/search-for-chemicals?search_criteria_ecnumber=" &amp; AI4,"ECHA"),"")</f>
        <v/>
      </c>
    </row>
    <row r="91" spans="1:35" ht="15" customHeight="1" x14ac:dyDescent="0.25">
      <c r="A91" s="6" t="str">
        <f t="shared" si="14"/>
        <v/>
      </c>
      <c r="B91" s="6"/>
      <c r="C91" s="6"/>
      <c r="D91" s="7" t="str">
        <f t="shared" si="19"/>
        <v/>
      </c>
      <c r="E91" s="6"/>
      <c r="F91" s="6"/>
      <c r="G91" s="6"/>
      <c r="H91" s="6"/>
      <c r="I91" s="6" t="str">
        <f>IFERROR(INDEX(DB!$C$2:$C$2267,MATCH(UPPER(TRIM($H89)),DB!$B$2:$B$2267,0)),IFERROR(INDEX(DB!$C$2:$C$2267,MATCH(UPPER(TRIM($H89)),DB!$J$2:$J$2267,0)),""))</f>
        <v/>
      </c>
      <c r="J91" s="6" t="str">
        <f>IF(H89="","",IFERROR(INDEX(DB!$B$2:$U$2267,MATCH(UPPER(TRIM($H89)),DB!$B$2:$B$2267,0),3),IFERROR(INDEX(DB!$B$2:$U$2267,MATCH(UPPER(TRIM($H89)),DB!$J$2:$J$2267,0),3),"")))</f>
        <v/>
      </c>
      <c r="K91" s="6" t="str">
        <f>IF(H89="","",IFERROR(INDEX(DB!$B$2:$U$2267,MATCH(UPPER(TRIM($H89)),DB!$B$2:$B$2267,0),4),IFERROR(INDEX(DB!$B$2:$U$2267,MATCH(UPPER(TRIM($H89)),DB!$J$2:$J$2267,0),4),"")))</f>
        <v/>
      </c>
      <c r="L91" s="6" t="str">
        <f>IF(H89="","",IFERROR(INDEX(DB!$B$2:$U$2267,MATCH(UPPER(TRIM($H89)),DB!$B$2:$B$2267,0),5),IFERROR(INDEX(DB!$B$2:$U$2267,MATCH(UPPER(TRIM($H89)),DB!$J$2:$J$2267,0),5),"")))</f>
        <v/>
      </c>
      <c r="M91" s="6" t="str">
        <f>IF(H89="","",IFERROR(INDEX(DB!$B$2:$U$2267,MATCH(UPPER(TRIM($H89)),DB!$B$2:$B$2267,0),6),IFERROR(INDEX(DB!$B$2:$U$2267,MATCH(UPPER(TRIM($H89)),DB!$J$2:$J$2267,0),6),"")))</f>
        <v/>
      </c>
      <c r="N91" s="6" t="str">
        <f>IF(H91="","",IFERROR(INDEX(DB!$B$2:$U$1713,MATCH(UPPER(TRIM(H91)),DB!$B$2:$B$1713,0),7),IFERROR(INDEX(DB!$B$2:$U$1713,MATCH(UPPER(TRIM(H91)),DB!$J$2:$J$1713,0),7),"")))</f>
        <v/>
      </c>
      <c r="O91" s="6"/>
      <c r="P91" s="6"/>
      <c r="Q91" s="6"/>
      <c r="R91" s="6"/>
      <c r="S91" s="6"/>
      <c r="T91" s="6"/>
      <c r="U91" s="6"/>
      <c r="V91" s="6" t="str">
        <f t="shared" si="15"/>
        <v/>
      </c>
      <c r="W91" s="6"/>
      <c r="X91" s="6" t="str">
        <f t="shared" si="16"/>
        <v/>
      </c>
      <c r="Y91" s="6" t="str">
        <f t="shared" si="18"/>
        <v/>
      </c>
      <c r="Z91" s="6" t="str">
        <f t="shared" si="17"/>
        <v/>
      </c>
      <c r="AA91" s="6"/>
      <c r="AB91" s="6"/>
      <c r="AC91" s="6"/>
      <c r="AD91" s="6" t="str">
        <f>IF(H91="","",IFERROR(INDEX(DB!$B$2:$U$1713,MATCH(UPPER(TRIM(H91)),DB!$B$2:$B$1713,0),8),IFERROR(INDEX(DB!$B$2:$U$1713,MATCH(UPPER(TRIM(H91)),DB!$J$2:$J$1713,0),8),"")))</f>
        <v/>
      </c>
      <c r="AE91" s="6"/>
      <c r="AF91" s="6"/>
      <c r="AG91" s="6"/>
      <c r="AI91" t="str">
        <f>IF(AI4&lt;&gt;"",HYPERLINK("https://echa.europa.eu/search-for-chemicals?search_criteria_ecnumber=" &amp; AI4,"ECHA"),"")</f>
        <v/>
      </c>
    </row>
    <row r="92" spans="1:35" ht="15" customHeight="1" x14ac:dyDescent="0.25">
      <c r="A92" s="4" t="str">
        <f t="shared" si="14"/>
        <v/>
      </c>
      <c r="B92" s="4"/>
      <c r="C92" s="4"/>
      <c r="D92" s="5" t="str">
        <f t="shared" si="19"/>
        <v/>
      </c>
      <c r="E92" s="4"/>
      <c r="F92" s="4"/>
      <c r="G92" s="4"/>
      <c r="H92" s="4"/>
      <c r="I92" s="4" t="str">
        <f>IFERROR(INDEX(DB!$C$2:$C$2267,MATCH(UPPER(TRIM($H90)),DB!$B$2:$B$2267,0)),IFERROR(INDEX(DB!$C$2:$C$2267,MATCH(UPPER(TRIM($H90)),DB!$J$2:$J$2267,0)),""))</f>
        <v/>
      </c>
      <c r="J92" s="4" t="str">
        <f>IF(H90="","",IFERROR(INDEX(DB!$B$2:$U$2267,MATCH(UPPER(TRIM($H90)),DB!$B$2:$B$2267,0),3),IFERROR(INDEX(DB!$B$2:$U$2267,MATCH(UPPER(TRIM($H90)),DB!$J$2:$J$2267,0),3),"")))</f>
        <v/>
      </c>
      <c r="K92" s="4" t="str">
        <f>IF(H90="","",IFERROR(INDEX(DB!$B$2:$U$2267,MATCH(UPPER(TRIM($H90)),DB!$B$2:$B$2267,0),4),IFERROR(INDEX(DB!$B$2:$U$2267,MATCH(UPPER(TRIM($H90)),DB!$J$2:$J$2267,0),4),"")))</f>
        <v/>
      </c>
      <c r="L92" s="4" t="str">
        <f>IF(H90="","",IFERROR(INDEX(DB!$B$2:$U$2267,MATCH(UPPER(TRIM($H90)),DB!$B$2:$B$2267,0),5),IFERROR(INDEX(DB!$B$2:$U$2267,MATCH(UPPER(TRIM($H90)),DB!$J$2:$J$2267,0),5),"")))</f>
        <v/>
      </c>
      <c r="M92" s="4" t="str">
        <f>IF(H90="","",IFERROR(INDEX(DB!$B$2:$U$2267,MATCH(UPPER(TRIM($H90)),DB!$B$2:$B$2267,0),6),IFERROR(INDEX(DB!$B$2:$U$2267,MATCH(UPPER(TRIM($H90)),DB!$J$2:$J$2267,0),6),"")))</f>
        <v/>
      </c>
      <c r="N92" s="4" t="str">
        <f>IF(H92="","",IFERROR(INDEX(DB!$B$2:$U$1713,MATCH(UPPER(TRIM(H92)),DB!$B$2:$B$1713,0),7),IFERROR(INDEX(DB!$B$2:$U$1713,MATCH(UPPER(TRIM(H92)),DB!$J$2:$J$1713,0),7),"")))</f>
        <v/>
      </c>
      <c r="O92" s="4"/>
      <c r="P92" s="4"/>
      <c r="Q92" s="4"/>
      <c r="R92" s="4"/>
      <c r="S92" s="4"/>
      <c r="T92" s="4"/>
      <c r="U92" s="4"/>
      <c r="V92" s="4" t="str">
        <f t="shared" si="15"/>
        <v/>
      </c>
      <c r="W92" s="4"/>
      <c r="X92" s="4" t="str">
        <f t="shared" si="16"/>
        <v/>
      </c>
      <c r="Y92" s="4" t="str">
        <f t="shared" si="18"/>
        <v/>
      </c>
      <c r="Z92" s="4" t="str">
        <f t="shared" si="17"/>
        <v/>
      </c>
      <c r="AA92" s="4"/>
      <c r="AB92" s="4"/>
      <c r="AC92" s="4"/>
      <c r="AD92" s="4" t="str">
        <f>IF(H92="","",IFERROR(INDEX(DB!$B$2:$U$1713,MATCH(UPPER(TRIM(H92)),DB!$B$2:$B$1713,0),8),IFERROR(INDEX(DB!$B$2:$U$1713,MATCH(UPPER(TRIM(H92)),DB!$J$2:$J$1713,0),8),"")))</f>
        <v/>
      </c>
      <c r="AE92" s="4"/>
      <c r="AF92" s="4"/>
      <c r="AG92" s="4"/>
      <c r="AI92" t="str">
        <f>IF(AI4&lt;&gt;"",HYPERLINK("https://echa.europa.eu/search-for-chemicals?search_criteria_ecnumber=" &amp; AI4,"ECHA"),"")</f>
        <v/>
      </c>
    </row>
    <row r="93" spans="1:35" ht="15" customHeight="1" x14ac:dyDescent="0.25">
      <c r="A93" s="6" t="str">
        <f t="shared" si="14"/>
        <v/>
      </c>
      <c r="B93" s="6"/>
      <c r="C93" s="6"/>
      <c r="D93" s="7" t="str">
        <f t="shared" si="19"/>
        <v/>
      </c>
      <c r="E93" s="6"/>
      <c r="F93" s="6"/>
      <c r="G93" s="6"/>
      <c r="H93" s="6"/>
      <c r="I93" s="6" t="str">
        <f>IFERROR(INDEX(DB!$C$2:$C$2267,MATCH(UPPER(TRIM($H91)),DB!$B$2:$B$2267,0)),IFERROR(INDEX(DB!$C$2:$C$2267,MATCH(UPPER(TRIM($H91)),DB!$J$2:$J$2267,0)),""))</f>
        <v/>
      </c>
      <c r="J93" s="6" t="str">
        <f>IF(H91="","",IFERROR(INDEX(DB!$B$2:$U$2267,MATCH(UPPER(TRIM($H91)),DB!$B$2:$B$2267,0),3),IFERROR(INDEX(DB!$B$2:$U$2267,MATCH(UPPER(TRIM($H91)),DB!$J$2:$J$2267,0),3),"")))</f>
        <v/>
      </c>
      <c r="K93" s="6" t="str">
        <f>IF(H91="","",IFERROR(INDEX(DB!$B$2:$U$2267,MATCH(UPPER(TRIM($H91)),DB!$B$2:$B$2267,0),4),IFERROR(INDEX(DB!$B$2:$U$2267,MATCH(UPPER(TRIM($H91)),DB!$J$2:$J$2267,0),4),"")))</f>
        <v/>
      </c>
      <c r="L93" s="6" t="str">
        <f>IF(H91="","",IFERROR(INDEX(DB!$B$2:$U$2267,MATCH(UPPER(TRIM($H91)),DB!$B$2:$B$2267,0),5),IFERROR(INDEX(DB!$B$2:$U$2267,MATCH(UPPER(TRIM($H91)),DB!$J$2:$J$2267,0),5),"")))</f>
        <v/>
      </c>
      <c r="M93" s="6" t="str">
        <f>IF(H91="","",IFERROR(INDEX(DB!$B$2:$U$2267,MATCH(UPPER(TRIM($H91)),DB!$B$2:$B$2267,0),6),IFERROR(INDEX(DB!$B$2:$U$2267,MATCH(UPPER(TRIM($H91)),DB!$J$2:$J$2267,0),6),"")))</f>
        <v/>
      </c>
      <c r="N93" s="6" t="str">
        <f>IF(H93="","",IFERROR(INDEX(DB!$B$2:$U$1713,MATCH(UPPER(TRIM(H93)),DB!$B$2:$B$1713,0),7),IFERROR(INDEX(DB!$B$2:$U$1713,MATCH(UPPER(TRIM(H93)),DB!$J$2:$J$1713,0),7),"")))</f>
        <v/>
      </c>
      <c r="O93" s="6"/>
      <c r="P93" s="6"/>
      <c r="Q93" s="6"/>
      <c r="R93" s="6"/>
      <c r="S93" s="6"/>
      <c r="T93" s="6"/>
      <c r="U93" s="6"/>
      <c r="V93" s="6" t="str">
        <f t="shared" si="15"/>
        <v/>
      </c>
      <c r="W93" s="6"/>
      <c r="X93" s="6" t="str">
        <f t="shared" si="16"/>
        <v/>
      </c>
      <c r="Y93" s="6" t="str">
        <f t="shared" si="18"/>
        <v/>
      </c>
      <c r="Z93" s="6" t="str">
        <f t="shared" si="17"/>
        <v/>
      </c>
      <c r="AA93" s="6"/>
      <c r="AB93" s="6"/>
      <c r="AC93" s="6"/>
      <c r="AD93" s="6" t="str">
        <f>IF(H93="","",IFERROR(INDEX(DB!$B$2:$U$1713,MATCH(UPPER(TRIM(H93)),DB!$B$2:$B$1713,0),8),IFERROR(INDEX(DB!$B$2:$U$1713,MATCH(UPPER(TRIM(H93)),DB!$J$2:$J$1713,0),8),"")))</f>
        <v/>
      </c>
      <c r="AE93" s="6"/>
      <c r="AF93" s="6"/>
      <c r="AG93" s="6"/>
      <c r="AI93" t="str">
        <f>IF(AI4&lt;&gt;"",HYPERLINK("https://echa.europa.eu/search-for-chemicals?search_criteria_ecnumber=" &amp; AI4,"ECHA"),"")</f>
        <v/>
      </c>
    </row>
    <row r="94" spans="1:35" ht="15" customHeight="1" x14ac:dyDescent="0.25">
      <c r="A94" s="4" t="str">
        <f t="shared" si="14"/>
        <v/>
      </c>
      <c r="B94" s="4"/>
      <c r="C94" s="4"/>
      <c r="D94" s="5" t="str">
        <f t="shared" si="19"/>
        <v/>
      </c>
      <c r="E94" s="4"/>
      <c r="F94" s="4"/>
      <c r="G94" s="4"/>
      <c r="H94" s="4"/>
      <c r="I94" s="4" t="str">
        <f>IFERROR(INDEX(DB!$C$2:$C$2267,MATCH(UPPER(TRIM($H92)),DB!$B$2:$B$2267,0)),IFERROR(INDEX(DB!$C$2:$C$2267,MATCH(UPPER(TRIM($H92)),DB!$J$2:$J$2267,0)),""))</f>
        <v/>
      </c>
      <c r="J94" s="4" t="str">
        <f>IF(H92="","",IFERROR(INDEX(DB!$B$2:$U$2267,MATCH(UPPER(TRIM($H92)),DB!$B$2:$B$2267,0),3),IFERROR(INDEX(DB!$B$2:$U$2267,MATCH(UPPER(TRIM($H92)),DB!$J$2:$J$2267,0),3),"")))</f>
        <v/>
      </c>
      <c r="K94" s="4" t="str">
        <f>IF(H92="","",IFERROR(INDEX(DB!$B$2:$U$2267,MATCH(UPPER(TRIM($H92)),DB!$B$2:$B$2267,0),4),IFERROR(INDEX(DB!$B$2:$U$2267,MATCH(UPPER(TRIM($H92)),DB!$J$2:$J$2267,0),4),"")))</f>
        <v/>
      </c>
      <c r="L94" s="4" t="str">
        <f>IF(H92="","",IFERROR(INDEX(DB!$B$2:$U$2267,MATCH(UPPER(TRIM($H92)),DB!$B$2:$B$2267,0),5),IFERROR(INDEX(DB!$B$2:$U$2267,MATCH(UPPER(TRIM($H92)),DB!$J$2:$J$2267,0),5),"")))</f>
        <v/>
      </c>
      <c r="M94" s="4" t="str">
        <f>IF(H92="","",IFERROR(INDEX(DB!$B$2:$U$2267,MATCH(UPPER(TRIM($H92)),DB!$B$2:$B$2267,0),6),IFERROR(INDEX(DB!$B$2:$U$2267,MATCH(UPPER(TRIM($H92)),DB!$J$2:$J$2267,0),6),"")))</f>
        <v/>
      </c>
      <c r="N94" s="4" t="str">
        <f>IF(H94="","",IFERROR(INDEX(DB!$B$2:$U$1713,MATCH(UPPER(TRIM(H94)),DB!$B$2:$B$1713,0),7),IFERROR(INDEX(DB!$B$2:$U$1713,MATCH(UPPER(TRIM(H94)),DB!$J$2:$J$1713,0),7),"")))</f>
        <v/>
      </c>
      <c r="O94" s="4"/>
      <c r="P94" s="4"/>
      <c r="Q94" s="4"/>
      <c r="R94" s="4"/>
      <c r="S94" s="4"/>
      <c r="T94" s="4"/>
      <c r="U94" s="4"/>
      <c r="V94" s="4" t="str">
        <f t="shared" si="15"/>
        <v/>
      </c>
      <c r="W94" s="4"/>
      <c r="X94" s="4" t="str">
        <f t="shared" si="16"/>
        <v/>
      </c>
      <c r="Y94" s="4" t="str">
        <f t="shared" si="18"/>
        <v/>
      </c>
      <c r="Z94" s="4" t="str">
        <f t="shared" si="17"/>
        <v/>
      </c>
      <c r="AA94" s="4"/>
      <c r="AB94" s="4"/>
      <c r="AC94" s="4"/>
      <c r="AD94" s="4" t="str">
        <f>IF(H94="","",IFERROR(INDEX(DB!$B$2:$U$1713,MATCH(UPPER(TRIM(H94)),DB!$B$2:$B$1713,0),8),IFERROR(INDEX(DB!$B$2:$U$1713,MATCH(UPPER(TRIM(H94)),DB!$J$2:$J$1713,0),8),"")))</f>
        <v/>
      </c>
      <c r="AE94" s="4"/>
      <c r="AF94" s="4"/>
      <c r="AG94" s="4"/>
      <c r="AI94" t="str">
        <f>IF(AI4&lt;&gt;"",HYPERLINK("https://echa.europa.eu/search-for-chemicals?search_criteria_ecnumber=" &amp; AI4,"ECHA"),"")</f>
        <v/>
      </c>
    </row>
    <row r="95" spans="1:35" ht="15" customHeight="1" x14ac:dyDescent="0.25">
      <c r="A95" s="6" t="str">
        <f t="shared" si="14"/>
        <v/>
      </c>
      <c r="B95" s="6"/>
      <c r="C95" s="6"/>
      <c r="D95" s="7" t="str">
        <f t="shared" si="19"/>
        <v/>
      </c>
      <c r="E95" s="6"/>
      <c r="F95" s="6"/>
      <c r="G95" s="6"/>
      <c r="H95" s="6"/>
      <c r="I95" s="6" t="str">
        <f>IFERROR(INDEX(DB!$C$2:$C$2267,MATCH(UPPER(TRIM($H93)),DB!$B$2:$B$2267,0)),IFERROR(INDEX(DB!$C$2:$C$2267,MATCH(UPPER(TRIM($H93)),DB!$J$2:$J$2267,0)),""))</f>
        <v/>
      </c>
      <c r="J95" s="6" t="str">
        <f>IF(H93="","",IFERROR(INDEX(DB!$B$2:$U$2267,MATCH(UPPER(TRIM($H93)),DB!$B$2:$B$2267,0),3),IFERROR(INDEX(DB!$B$2:$U$2267,MATCH(UPPER(TRIM($H93)),DB!$J$2:$J$2267,0),3),"")))</f>
        <v/>
      </c>
      <c r="K95" s="6" t="str">
        <f>IF(H93="","",IFERROR(INDEX(DB!$B$2:$U$2267,MATCH(UPPER(TRIM($H93)),DB!$B$2:$B$2267,0),4),IFERROR(INDEX(DB!$B$2:$U$2267,MATCH(UPPER(TRIM($H93)),DB!$J$2:$J$2267,0),4),"")))</f>
        <v/>
      </c>
      <c r="L95" s="6" t="str">
        <f>IF(H93="","",IFERROR(INDEX(DB!$B$2:$U$2267,MATCH(UPPER(TRIM($H93)),DB!$B$2:$B$2267,0),5),IFERROR(INDEX(DB!$B$2:$U$2267,MATCH(UPPER(TRIM($H93)),DB!$J$2:$J$2267,0),5),"")))</f>
        <v/>
      </c>
      <c r="M95" s="6" t="str">
        <f>IF(H93="","",IFERROR(INDEX(DB!$B$2:$U$2267,MATCH(UPPER(TRIM($H93)),DB!$B$2:$B$2267,0),6),IFERROR(INDEX(DB!$B$2:$U$2267,MATCH(UPPER(TRIM($H93)),DB!$J$2:$J$2267,0),6),"")))</f>
        <v/>
      </c>
      <c r="N95" s="6" t="str">
        <f>IF(H95="","",IFERROR(INDEX(DB!$B$2:$U$1713,MATCH(UPPER(TRIM(H95)),DB!$B$2:$B$1713,0),7),IFERROR(INDEX(DB!$B$2:$U$1713,MATCH(UPPER(TRIM(H95)),DB!$J$2:$J$1713,0),7),"")))</f>
        <v/>
      </c>
      <c r="O95" s="6"/>
      <c r="P95" s="6"/>
      <c r="Q95" s="6"/>
      <c r="R95" s="6"/>
      <c r="S95" s="6"/>
      <c r="T95" s="6"/>
      <c r="U95" s="6"/>
      <c r="V95" s="6" t="str">
        <f t="shared" si="15"/>
        <v/>
      </c>
      <c r="W95" s="6"/>
      <c r="X95" s="6" t="str">
        <f t="shared" si="16"/>
        <v/>
      </c>
      <c r="Y95" s="6" t="str">
        <f t="shared" si="18"/>
        <v/>
      </c>
      <c r="Z95" s="6" t="str">
        <f t="shared" si="17"/>
        <v/>
      </c>
      <c r="AA95" s="6"/>
      <c r="AB95" s="6"/>
      <c r="AC95" s="6"/>
      <c r="AD95" s="6" t="str">
        <f>IF(H95="","",IFERROR(INDEX(DB!$B$2:$U$1713,MATCH(UPPER(TRIM(H95)),DB!$B$2:$B$1713,0),8),IFERROR(INDEX(DB!$B$2:$U$1713,MATCH(UPPER(TRIM(H95)),DB!$J$2:$J$1713,0),8),"")))</f>
        <v/>
      </c>
      <c r="AE95" s="6"/>
      <c r="AF95" s="6"/>
      <c r="AG95" s="6"/>
      <c r="AI95" t="str">
        <f>IF(AI4&lt;&gt;"",HYPERLINK("https://echa.europa.eu/search-for-chemicals?search_criteria_ecnumber=" &amp; AI4,"ECHA"),"")</f>
        <v/>
      </c>
    </row>
    <row r="96" spans="1:35" ht="15" customHeight="1" x14ac:dyDescent="0.25">
      <c r="A96" s="4" t="str">
        <f t="shared" si="14"/>
        <v/>
      </c>
      <c r="B96" s="4"/>
      <c r="C96" s="4"/>
      <c r="D96" s="5" t="str">
        <f t="shared" si="19"/>
        <v/>
      </c>
      <c r="E96" s="4"/>
      <c r="F96" s="4"/>
      <c r="G96" s="4"/>
      <c r="H96" s="4"/>
      <c r="I96" s="4" t="str">
        <f>IFERROR(INDEX(DB!$C$2:$C$2267,MATCH(UPPER(TRIM($H94)),DB!$B$2:$B$2267,0)),IFERROR(INDEX(DB!$C$2:$C$2267,MATCH(UPPER(TRIM($H94)),DB!$J$2:$J$2267,0)),""))</f>
        <v/>
      </c>
      <c r="J96" s="4" t="str">
        <f>IF(H94="","",IFERROR(INDEX(DB!$B$2:$U$2267,MATCH(UPPER(TRIM($H94)),DB!$B$2:$B$2267,0),3),IFERROR(INDEX(DB!$B$2:$U$2267,MATCH(UPPER(TRIM($H94)),DB!$J$2:$J$2267,0),3),"")))</f>
        <v/>
      </c>
      <c r="K96" s="4" t="str">
        <f>IF(H94="","",IFERROR(INDEX(DB!$B$2:$U$2267,MATCH(UPPER(TRIM($H94)),DB!$B$2:$B$2267,0),4),IFERROR(INDEX(DB!$B$2:$U$2267,MATCH(UPPER(TRIM($H94)),DB!$J$2:$J$2267,0),4),"")))</f>
        <v/>
      </c>
      <c r="L96" s="4" t="str">
        <f>IF(H94="","",IFERROR(INDEX(DB!$B$2:$U$2267,MATCH(UPPER(TRIM($H94)),DB!$B$2:$B$2267,0),5),IFERROR(INDEX(DB!$B$2:$U$2267,MATCH(UPPER(TRIM($H94)),DB!$J$2:$J$2267,0),5),"")))</f>
        <v/>
      </c>
      <c r="M96" s="4" t="str">
        <f>IF(H94="","",IFERROR(INDEX(DB!$B$2:$U$2267,MATCH(UPPER(TRIM($H94)),DB!$B$2:$B$2267,0),6),IFERROR(INDEX(DB!$B$2:$U$2267,MATCH(UPPER(TRIM($H94)),DB!$J$2:$J$2267,0),6),"")))</f>
        <v/>
      </c>
      <c r="N96" s="4" t="str">
        <f>IF(H96="","",IFERROR(INDEX(DB!$B$2:$U$1713,MATCH(UPPER(TRIM(H96)),DB!$B$2:$B$1713,0),7),IFERROR(INDEX(DB!$B$2:$U$1713,MATCH(UPPER(TRIM(H96)),DB!$J$2:$J$1713,0),7),"")))</f>
        <v/>
      </c>
      <c r="O96" s="4"/>
      <c r="P96" s="4"/>
      <c r="Q96" s="4"/>
      <c r="R96" s="4"/>
      <c r="S96" s="4"/>
      <c r="T96" s="4"/>
      <c r="U96" s="4"/>
      <c r="V96" s="4" t="str">
        <f t="shared" si="15"/>
        <v/>
      </c>
      <c r="W96" s="4"/>
      <c r="X96" s="4" t="str">
        <f t="shared" si="16"/>
        <v/>
      </c>
      <c r="Y96" s="4" t="str">
        <f t="shared" si="18"/>
        <v/>
      </c>
      <c r="Z96" s="4" t="str">
        <f t="shared" si="17"/>
        <v/>
      </c>
      <c r="AA96" s="4"/>
      <c r="AB96" s="4"/>
      <c r="AC96" s="4"/>
      <c r="AD96" s="4" t="str">
        <f>IF(H96="","",IFERROR(INDEX(DB!$B$2:$U$1713,MATCH(UPPER(TRIM(H96)),DB!$B$2:$B$1713,0),8),IFERROR(INDEX(DB!$B$2:$U$1713,MATCH(UPPER(TRIM(H96)),DB!$J$2:$J$1713,0),8),"")))</f>
        <v/>
      </c>
      <c r="AE96" s="4"/>
      <c r="AF96" s="4"/>
      <c r="AG96" s="4"/>
      <c r="AI96" t="str">
        <f>IF(AI4&lt;&gt;"",HYPERLINK("https://echa.europa.eu/search-for-chemicals?search_criteria_ecnumber=" &amp; AI4,"ECHA"),"")</f>
        <v/>
      </c>
    </row>
    <row r="97" spans="1:35" ht="15" customHeight="1" x14ac:dyDescent="0.25">
      <c r="A97" s="6" t="str">
        <f t="shared" si="14"/>
        <v/>
      </c>
      <c r="B97" s="6"/>
      <c r="C97" s="6"/>
      <c r="D97" s="7" t="str">
        <f t="shared" si="19"/>
        <v/>
      </c>
      <c r="E97" s="6"/>
      <c r="F97" s="6"/>
      <c r="G97" s="6"/>
      <c r="H97" s="6"/>
      <c r="I97" s="6" t="str">
        <f>IFERROR(INDEX(DB!$C$2:$C$2267,MATCH(UPPER(TRIM($H95)),DB!$B$2:$B$2267,0)),IFERROR(INDEX(DB!$C$2:$C$2267,MATCH(UPPER(TRIM($H95)),DB!$J$2:$J$2267,0)),""))</f>
        <v/>
      </c>
      <c r="J97" s="6" t="str">
        <f>IF(H95="","",IFERROR(INDEX(DB!$B$2:$U$2267,MATCH(UPPER(TRIM($H95)),DB!$B$2:$B$2267,0),3),IFERROR(INDEX(DB!$B$2:$U$2267,MATCH(UPPER(TRIM($H95)),DB!$J$2:$J$2267,0),3),"")))</f>
        <v/>
      </c>
      <c r="K97" s="6" t="str">
        <f>IF(H95="","",IFERROR(INDEX(DB!$B$2:$U$2267,MATCH(UPPER(TRIM($H95)),DB!$B$2:$B$2267,0),4),IFERROR(INDEX(DB!$B$2:$U$2267,MATCH(UPPER(TRIM($H95)),DB!$J$2:$J$2267,0),4),"")))</f>
        <v/>
      </c>
      <c r="L97" s="6" t="str">
        <f>IF(H95="","",IFERROR(INDEX(DB!$B$2:$U$2267,MATCH(UPPER(TRIM($H95)),DB!$B$2:$B$2267,0),5),IFERROR(INDEX(DB!$B$2:$U$2267,MATCH(UPPER(TRIM($H95)),DB!$J$2:$J$2267,0),5),"")))</f>
        <v/>
      </c>
      <c r="M97" s="6" t="str">
        <f>IF(H95="","",IFERROR(INDEX(DB!$B$2:$U$2267,MATCH(UPPER(TRIM($H95)),DB!$B$2:$B$2267,0),6),IFERROR(INDEX(DB!$B$2:$U$2267,MATCH(UPPER(TRIM($H95)),DB!$J$2:$J$2267,0),6),"")))</f>
        <v/>
      </c>
      <c r="N97" s="6" t="str">
        <f>IF(H97="","",IFERROR(INDEX(DB!$B$2:$U$1713,MATCH(UPPER(TRIM(H97)),DB!$B$2:$B$1713,0),7),IFERROR(INDEX(DB!$B$2:$U$1713,MATCH(UPPER(TRIM(H97)),DB!$J$2:$J$1713,0),7),"")))</f>
        <v/>
      </c>
      <c r="O97" s="6"/>
      <c r="P97" s="6"/>
      <c r="Q97" s="6"/>
      <c r="R97" s="6"/>
      <c r="S97" s="6"/>
      <c r="T97" s="6"/>
      <c r="U97" s="6"/>
      <c r="V97" s="6" t="str">
        <f t="shared" si="15"/>
        <v/>
      </c>
      <c r="W97" s="6"/>
      <c r="X97" s="6" t="str">
        <f t="shared" si="16"/>
        <v/>
      </c>
      <c r="Y97" s="6" t="str">
        <f t="shared" si="18"/>
        <v/>
      </c>
      <c r="Z97" s="6" t="str">
        <f t="shared" si="17"/>
        <v/>
      </c>
      <c r="AA97" s="6"/>
      <c r="AB97" s="6"/>
      <c r="AC97" s="6"/>
      <c r="AD97" s="6" t="str">
        <f>IF(H97="","",IFERROR(INDEX(DB!$B$2:$U$1713,MATCH(UPPER(TRIM(H97)),DB!$B$2:$B$1713,0),8),IFERROR(INDEX(DB!$B$2:$U$1713,MATCH(UPPER(TRIM(H97)),DB!$J$2:$J$1713,0),8),"")))</f>
        <v/>
      </c>
      <c r="AE97" s="6"/>
      <c r="AF97" s="6"/>
      <c r="AG97" s="6"/>
      <c r="AI97" t="str">
        <f>IF(AI4&lt;&gt;"",HYPERLINK("https://echa.europa.eu/search-for-chemicals?search_criteria_ecnumber=" &amp; AI4,"ECHA"),"")</f>
        <v/>
      </c>
    </row>
    <row r="98" spans="1:35" ht="15" customHeight="1" x14ac:dyDescent="0.25">
      <c r="A98" s="4" t="str">
        <f t="shared" si="14"/>
        <v/>
      </c>
      <c r="B98" s="4"/>
      <c r="C98" s="4"/>
      <c r="D98" s="5" t="str">
        <f t="shared" si="19"/>
        <v/>
      </c>
      <c r="E98" s="4"/>
      <c r="F98" s="4"/>
      <c r="G98" s="4"/>
      <c r="H98" s="4"/>
      <c r="I98" s="4" t="str">
        <f>IFERROR(INDEX(DB!$C$2:$C$2267,MATCH(UPPER(TRIM($H96)),DB!$B$2:$B$2267,0)),IFERROR(INDEX(DB!$C$2:$C$2267,MATCH(UPPER(TRIM($H96)),DB!$J$2:$J$2267,0)),""))</f>
        <v/>
      </c>
      <c r="J98" s="4" t="str">
        <f>IF(H96="","",IFERROR(INDEX(DB!$B$2:$U$2267,MATCH(UPPER(TRIM($H96)),DB!$B$2:$B$2267,0),3),IFERROR(INDEX(DB!$B$2:$U$2267,MATCH(UPPER(TRIM($H96)),DB!$J$2:$J$2267,0),3),"")))</f>
        <v/>
      </c>
      <c r="K98" s="4" t="str">
        <f>IF(H96="","",IFERROR(INDEX(DB!$B$2:$U$2267,MATCH(UPPER(TRIM($H96)),DB!$B$2:$B$2267,0),4),IFERROR(INDEX(DB!$B$2:$U$2267,MATCH(UPPER(TRIM($H96)),DB!$J$2:$J$2267,0),4),"")))</f>
        <v/>
      </c>
      <c r="L98" s="4" t="str">
        <f>IF(H96="","",IFERROR(INDEX(DB!$B$2:$U$2267,MATCH(UPPER(TRIM($H96)),DB!$B$2:$B$2267,0),5),IFERROR(INDEX(DB!$B$2:$U$2267,MATCH(UPPER(TRIM($H96)),DB!$J$2:$J$2267,0),5),"")))</f>
        <v/>
      </c>
      <c r="M98" s="4" t="str">
        <f>IF(H96="","",IFERROR(INDEX(DB!$B$2:$U$2267,MATCH(UPPER(TRIM($H96)),DB!$B$2:$B$2267,0),6),IFERROR(INDEX(DB!$B$2:$U$2267,MATCH(UPPER(TRIM($H96)),DB!$J$2:$J$2267,0),6),"")))</f>
        <v/>
      </c>
      <c r="N98" s="4" t="str">
        <f>IF(H98="","",IFERROR(INDEX(DB!$B$2:$U$1713,MATCH(UPPER(TRIM(H98)),DB!$B$2:$B$1713,0),7),IFERROR(INDEX(DB!$B$2:$U$1713,MATCH(UPPER(TRIM(H98)),DB!$J$2:$J$1713,0),7),"")))</f>
        <v/>
      </c>
      <c r="O98" s="4"/>
      <c r="P98" s="4"/>
      <c r="Q98" s="4"/>
      <c r="R98" s="4"/>
      <c r="S98" s="4"/>
      <c r="T98" s="4"/>
      <c r="U98" s="4"/>
      <c r="V98" s="4" t="str">
        <f t="shared" si="15"/>
        <v/>
      </c>
      <c r="W98" s="4"/>
      <c r="X98" s="4" t="str">
        <f t="shared" si="16"/>
        <v/>
      </c>
      <c r="Y98" s="4" t="str">
        <f t="shared" si="18"/>
        <v/>
      </c>
      <c r="Z98" s="4" t="str">
        <f t="shared" si="17"/>
        <v/>
      </c>
      <c r="AA98" s="4"/>
      <c r="AB98" s="4"/>
      <c r="AC98" s="4"/>
      <c r="AD98" s="4" t="str">
        <f>IF(H98="","",IFERROR(INDEX(DB!$B$2:$U$1713,MATCH(UPPER(TRIM(H98)),DB!$B$2:$B$1713,0),8),IFERROR(INDEX(DB!$B$2:$U$1713,MATCH(UPPER(TRIM(H98)),DB!$J$2:$J$1713,0),8),"")))</f>
        <v/>
      </c>
      <c r="AE98" s="4"/>
      <c r="AF98" s="4"/>
      <c r="AG98" s="4"/>
      <c r="AI98" t="str">
        <f>IF(AI4&lt;&gt;"",HYPERLINK("https://echa.europa.eu/search-for-chemicals?search_criteria_ecnumber=" &amp; AI4,"ECHA"),"")</f>
        <v/>
      </c>
    </row>
    <row r="99" spans="1:35" ht="15" customHeight="1" x14ac:dyDescent="0.25">
      <c r="A99" s="6" t="str">
        <f t="shared" si="14"/>
        <v/>
      </c>
      <c r="B99" s="6"/>
      <c r="C99" s="6"/>
      <c r="D99" s="7" t="str">
        <f t="shared" si="19"/>
        <v/>
      </c>
      <c r="E99" s="6"/>
      <c r="F99" s="6"/>
      <c r="G99" s="6"/>
      <c r="H99" s="6"/>
      <c r="I99" s="6" t="str">
        <f>IFERROR(INDEX(DB!$C$2:$C$2267,MATCH(UPPER(TRIM($H97)),DB!$B$2:$B$2267,0)),IFERROR(INDEX(DB!$C$2:$C$2267,MATCH(UPPER(TRIM($H97)),DB!$J$2:$J$2267,0)),""))</f>
        <v/>
      </c>
      <c r="J99" s="6" t="str">
        <f>IF(H97="","",IFERROR(INDEX(DB!$B$2:$U$2267,MATCH(UPPER(TRIM($H97)),DB!$B$2:$B$2267,0),3),IFERROR(INDEX(DB!$B$2:$U$2267,MATCH(UPPER(TRIM($H97)),DB!$J$2:$J$2267,0),3),"")))</f>
        <v/>
      </c>
      <c r="K99" s="6" t="str">
        <f>IF(H97="","",IFERROR(INDEX(DB!$B$2:$U$2267,MATCH(UPPER(TRIM($H97)),DB!$B$2:$B$2267,0),4),IFERROR(INDEX(DB!$B$2:$U$2267,MATCH(UPPER(TRIM($H97)),DB!$J$2:$J$2267,0),4),"")))</f>
        <v/>
      </c>
      <c r="L99" s="6" t="str">
        <f>IF(H97="","",IFERROR(INDEX(DB!$B$2:$U$2267,MATCH(UPPER(TRIM($H97)),DB!$B$2:$B$2267,0),5),IFERROR(INDEX(DB!$B$2:$U$2267,MATCH(UPPER(TRIM($H97)),DB!$J$2:$J$2267,0),5),"")))</f>
        <v/>
      </c>
      <c r="M99" s="6" t="str">
        <f>IF(H97="","",IFERROR(INDEX(DB!$B$2:$U$2267,MATCH(UPPER(TRIM($H97)),DB!$B$2:$B$2267,0),6),IFERROR(INDEX(DB!$B$2:$U$2267,MATCH(UPPER(TRIM($H97)),DB!$J$2:$J$2267,0),6),"")))</f>
        <v/>
      </c>
      <c r="N99" s="6" t="str">
        <f>IF(H99="","",IFERROR(INDEX(DB!$B$2:$U$1713,MATCH(UPPER(TRIM(H99)),DB!$B$2:$B$1713,0),7),IFERROR(INDEX(DB!$B$2:$U$1713,MATCH(UPPER(TRIM(H99)),DB!$J$2:$J$1713,0),7),"")))</f>
        <v/>
      </c>
      <c r="O99" s="6"/>
      <c r="P99" s="6"/>
      <c r="Q99" s="6"/>
      <c r="R99" s="6"/>
      <c r="S99" s="6"/>
      <c r="T99" s="6"/>
      <c r="U99" s="6"/>
      <c r="V99" s="6" t="str">
        <f t="shared" si="15"/>
        <v/>
      </c>
      <c r="W99" s="6"/>
      <c r="X99" s="6" t="str">
        <f t="shared" si="16"/>
        <v/>
      </c>
      <c r="Y99" s="6" t="str">
        <f t="shared" si="18"/>
        <v/>
      </c>
      <c r="Z99" s="6" t="str">
        <f t="shared" si="17"/>
        <v/>
      </c>
      <c r="AA99" s="6"/>
      <c r="AB99" s="6"/>
      <c r="AC99" s="6"/>
      <c r="AD99" s="6" t="str">
        <f>IF(H99="","",IFERROR(INDEX(DB!$B$2:$U$1713,MATCH(UPPER(TRIM(H99)),DB!$B$2:$B$1713,0),8),IFERROR(INDEX(DB!$B$2:$U$1713,MATCH(UPPER(TRIM(H99)),DB!$J$2:$J$1713,0),8),"")))</f>
        <v/>
      </c>
      <c r="AE99" s="6"/>
      <c r="AF99" s="6"/>
      <c r="AG99" s="6"/>
      <c r="AI99" t="str">
        <f>IF(AI4&lt;&gt;"",HYPERLINK("https://echa.europa.eu/search-for-chemicals?search_criteria_ecnumber=" &amp; AI4,"ECHA"),"")</f>
        <v/>
      </c>
    </row>
    <row r="100" spans="1:35" ht="15" customHeight="1" x14ac:dyDescent="0.25">
      <c r="A100" s="4" t="str">
        <f t="shared" si="14"/>
        <v/>
      </c>
      <c r="B100" s="4"/>
      <c r="C100" s="4"/>
      <c r="D100" s="5" t="str">
        <f t="shared" si="19"/>
        <v/>
      </c>
      <c r="E100" s="4"/>
      <c r="F100" s="4"/>
      <c r="G100" s="4"/>
      <c r="H100" s="4"/>
      <c r="I100" s="4" t="str">
        <f>IFERROR(INDEX(DB!$C$2:$C$2267,MATCH(UPPER(TRIM($H98)),DB!$B$2:$B$2267,0)),IFERROR(INDEX(DB!$C$2:$C$2267,MATCH(UPPER(TRIM($H98)),DB!$J$2:$J$2267,0)),""))</f>
        <v/>
      </c>
      <c r="J100" s="4" t="str">
        <f>IF(H98="","",IFERROR(INDEX(DB!$B$2:$U$2267,MATCH(UPPER(TRIM($H98)),DB!$B$2:$B$2267,0),3),IFERROR(INDEX(DB!$B$2:$U$2267,MATCH(UPPER(TRIM($H98)),DB!$J$2:$J$2267,0),3),"")))</f>
        <v/>
      </c>
      <c r="K100" s="4" t="str">
        <f>IF(H98="","",IFERROR(INDEX(DB!$B$2:$U$2267,MATCH(UPPER(TRIM($H98)),DB!$B$2:$B$2267,0),4),IFERROR(INDEX(DB!$B$2:$U$2267,MATCH(UPPER(TRIM($H98)),DB!$J$2:$J$2267,0),4),"")))</f>
        <v/>
      </c>
      <c r="L100" s="4" t="str">
        <f>IF(H98="","",IFERROR(INDEX(DB!$B$2:$U$2267,MATCH(UPPER(TRIM($H98)),DB!$B$2:$B$2267,0),5),IFERROR(INDEX(DB!$B$2:$U$2267,MATCH(UPPER(TRIM($H98)),DB!$J$2:$J$2267,0),5),"")))</f>
        <v/>
      </c>
      <c r="M100" s="4" t="str">
        <f>IF(H98="","",IFERROR(INDEX(DB!$B$2:$U$2267,MATCH(UPPER(TRIM($H98)),DB!$B$2:$B$2267,0),6),IFERROR(INDEX(DB!$B$2:$U$2267,MATCH(UPPER(TRIM($H98)),DB!$J$2:$J$2267,0),6),"")))</f>
        <v/>
      </c>
      <c r="N100" s="4" t="str">
        <f>IF(H100="","",IFERROR(INDEX(DB!$B$2:$U$1713,MATCH(UPPER(TRIM(H100)),DB!$B$2:$B$1713,0),7),IFERROR(INDEX(DB!$B$2:$U$1713,MATCH(UPPER(TRIM(H100)),DB!$J$2:$J$1713,0),7),"")))</f>
        <v/>
      </c>
      <c r="O100" s="4"/>
      <c r="P100" s="4"/>
      <c r="Q100" s="4"/>
      <c r="R100" s="4"/>
      <c r="S100" s="4"/>
      <c r="T100" s="4"/>
      <c r="U100" s="4"/>
      <c r="V100" s="4" t="str">
        <f t="shared" si="15"/>
        <v/>
      </c>
      <c r="W100" s="4"/>
      <c r="X100" s="4" t="str">
        <f t="shared" si="16"/>
        <v/>
      </c>
      <c r="Y100" s="4" t="str">
        <f t="shared" si="18"/>
        <v/>
      </c>
      <c r="Z100" s="4" t="str">
        <f t="shared" si="17"/>
        <v/>
      </c>
      <c r="AA100" s="4"/>
      <c r="AB100" s="4"/>
      <c r="AC100" s="4"/>
      <c r="AD100" s="4" t="str">
        <f>IF(H100="","",IFERROR(INDEX(DB!$B$2:$U$1713,MATCH(UPPER(TRIM(H100)),DB!$B$2:$B$1713,0),8),IFERROR(INDEX(DB!$B$2:$U$1713,MATCH(UPPER(TRIM(H100)),DB!$J$2:$J$1713,0),8),"")))</f>
        <v/>
      </c>
      <c r="AE100" s="4"/>
      <c r="AF100" s="4"/>
      <c r="AG100" s="4"/>
      <c r="AI100" t="str">
        <f>IF(AI4&lt;&gt;"",HYPERLINK("https://echa.europa.eu/search-for-chemicals?search_criteria_ecnumber=" &amp; AI4,"ECHA"),"")</f>
        <v/>
      </c>
    </row>
    <row r="101" spans="1:35" ht="15" customHeight="1" x14ac:dyDescent="0.25">
      <c r="A101" s="6" t="str">
        <f t="shared" si="14"/>
        <v/>
      </c>
      <c r="B101" s="6"/>
      <c r="C101" s="6"/>
      <c r="D101" s="7" t="str">
        <f t="shared" si="19"/>
        <v/>
      </c>
      <c r="E101" s="6"/>
      <c r="F101" s="6"/>
      <c r="G101" s="6"/>
      <c r="H101" s="6"/>
      <c r="I101" s="6" t="str">
        <f>IFERROR(INDEX(DB!$C$2:$C$2267,MATCH(UPPER(TRIM($H99)),DB!$B$2:$B$2267,0)),IFERROR(INDEX(DB!$C$2:$C$2267,MATCH(UPPER(TRIM($H99)),DB!$J$2:$J$2267,0)),""))</f>
        <v/>
      </c>
      <c r="J101" s="6" t="str">
        <f>IF(H99="","",IFERROR(INDEX(DB!$B$2:$U$2267,MATCH(UPPER(TRIM($H99)),DB!$B$2:$B$2267,0),3),IFERROR(INDEX(DB!$B$2:$U$2267,MATCH(UPPER(TRIM($H99)),DB!$J$2:$J$2267,0),3),"")))</f>
        <v/>
      </c>
      <c r="K101" s="6" t="str">
        <f>IF(H99="","",IFERROR(INDEX(DB!$B$2:$U$2267,MATCH(UPPER(TRIM($H99)),DB!$B$2:$B$2267,0),4),IFERROR(INDEX(DB!$B$2:$U$2267,MATCH(UPPER(TRIM($H99)),DB!$J$2:$J$2267,0),4),"")))</f>
        <v/>
      </c>
      <c r="L101" s="6" t="str">
        <f>IF(H99="","",IFERROR(INDEX(DB!$B$2:$U$2267,MATCH(UPPER(TRIM($H99)),DB!$B$2:$B$2267,0),5),IFERROR(INDEX(DB!$B$2:$U$2267,MATCH(UPPER(TRIM($H99)),DB!$J$2:$J$2267,0),5),"")))</f>
        <v/>
      </c>
      <c r="M101" s="6" t="str">
        <f>IF(H99="","",IFERROR(INDEX(DB!$B$2:$U$2267,MATCH(UPPER(TRIM($H99)),DB!$B$2:$B$2267,0),6),IFERROR(INDEX(DB!$B$2:$U$2267,MATCH(UPPER(TRIM($H99)),DB!$J$2:$J$2267,0),6),"")))</f>
        <v/>
      </c>
      <c r="N101" s="6" t="str">
        <f>IF(H101="","",IFERROR(INDEX(DB!$B$2:$U$1713,MATCH(UPPER(TRIM(H101)),DB!$B$2:$B$1713,0),7),IFERROR(INDEX(DB!$B$2:$U$1713,MATCH(UPPER(TRIM(H101)),DB!$J$2:$J$1713,0),7),"")))</f>
        <v/>
      </c>
      <c r="O101" s="6"/>
      <c r="P101" s="6"/>
      <c r="Q101" s="6"/>
      <c r="R101" s="6"/>
      <c r="S101" s="6"/>
      <c r="T101" s="6"/>
      <c r="U101" s="6"/>
      <c r="V101" s="6" t="str">
        <f t="shared" si="15"/>
        <v/>
      </c>
      <c r="W101" s="6"/>
      <c r="X101" s="6" t="str">
        <f t="shared" si="16"/>
        <v/>
      </c>
      <c r="Y101" s="6" t="str">
        <f t="shared" si="18"/>
        <v/>
      </c>
      <c r="Z101" s="6" t="str">
        <f t="shared" si="17"/>
        <v/>
      </c>
      <c r="AA101" s="6"/>
      <c r="AB101" s="6"/>
      <c r="AC101" s="6"/>
      <c r="AD101" s="6" t="str">
        <f>IF(H101="","",IFERROR(INDEX(DB!$B$2:$U$1713,MATCH(UPPER(TRIM(H101)),DB!$B$2:$B$1713,0),8),IFERROR(INDEX(DB!$B$2:$U$1713,MATCH(UPPER(TRIM(H101)),DB!$J$2:$J$1713,0),8),"")))</f>
        <v/>
      </c>
      <c r="AE101" s="6"/>
      <c r="AF101" s="6"/>
      <c r="AG101" s="6"/>
      <c r="AI101" t="str">
        <f>IF(AI4&lt;&gt;"",HYPERLINK("https://echa.europa.eu/search-for-chemicals?search_criteria_ecnumber=" &amp; AI4,"ECHA"),"")</f>
        <v/>
      </c>
    </row>
    <row r="102" spans="1:35" ht="15" customHeight="1" x14ac:dyDescent="0.25">
      <c r="A102" s="4" t="str">
        <f t="shared" si="14"/>
        <v/>
      </c>
      <c r="B102" s="4"/>
      <c r="C102" s="4"/>
      <c r="D102" s="5" t="str">
        <f t="shared" si="19"/>
        <v/>
      </c>
      <c r="E102" s="4"/>
      <c r="F102" s="4"/>
      <c r="G102" s="4"/>
      <c r="H102" s="4"/>
      <c r="I102" s="4" t="str">
        <f>IFERROR(INDEX(DB!$C$2:$C$2267,MATCH(UPPER(TRIM($H100)),DB!$B$2:$B$2267,0)),IFERROR(INDEX(DB!$C$2:$C$2267,MATCH(UPPER(TRIM($H100)),DB!$J$2:$J$2267,0)),""))</f>
        <v/>
      </c>
      <c r="J102" s="4" t="str">
        <f>IF(H100="","",IFERROR(INDEX(DB!$B$2:$U$2267,MATCH(UPPER(TRIM($H100)),DB!$B$2:$B$2267,0),3),IFERROR(INDEX(DB!$B$2:$U$2267,MATCH(UPPER(TRIM($H100)),DB!$J$2:$J$2267,0),3),"")))</f>
        <v/>
      </c>
      <c r="K102" s="4" t="str">
        <f>IF(H100="","",IFERROR(INDEX(DB!$B$2:$U$2267,MATCH(UPPER(TRIM($H100)),DB!$B$2:$B$2267,0),4),IFERROR(INDEX(DB!$B$2:$U$2267,MATCH(UPPER(TRIM($H100)),DB!$J$2:$J$2267,0),4),"")))</f>
        <v/>
      </c>
      <c r="L102" s="4" t="str">
        <f>IF(H100="","",IFERROR(INDEX(DB!$B$2:$U$2267,MATCH(UPPER(TRIM($H100)),DB!$B$2:$B$2267,0),5),IFERROR(INDEX(DB!$B$2:$U$2267,MATCH(UPPER(TRIM($H100)),DB!$J$2:$J$2267,0),5),"")))</f>
        <v/>
      </c>
      <c r="M102" s="4" t="str">
        <f>IF(H100="","",IFERROR(INDEX(DB!$B$2:$U$2267,MATCH(UPPER(TRIM($H100)),DB!$B$2:$B$2267,0),6),IFERROR(INDEX(DB!$B$2:$U$2267,MATCH(UPPER(TRIM($H100)),DB!$J$2:$J$2267,0),6),"")))</f>
        <v/>
      </c>
      <c r="N102" s="4" t="str">
        <f>IF(H102="","",IFERROR(INDEX(DB!$B$2:$U$1713,MATCH(UPPER(TRIM(H102)),DB!$B$2:$B$1713,0),7),IFERROR(INDEX(DB!$B$2:$U$1713,MATCH(UPPER(TRIM(H102)),DB!$J$2:$J$1713,0),7),"")))</f>
        <v/>
      </c>
      <c r="O102" s="4"/>
      <c r="P102" s="4"/>
      <c r="Q102" s="4"/>
      <c r="R102" s="4"/>
      <c r="S102" s="4"/>
      <c r="T102" s="4"/>
      <c r="U102" s="4"/>
      <c r="V102" s="4" t="str">
        <f t="shared" si="15"/>
        <v/>
      </c>
      <c r="W102" s="4"/>
      <c r="X102" s="4" t="str">
        <f t="shared" si="16"/>
        <v/>
      </c>
      <c r="Y102" s="4" t="str">
        <f t="shared" si="18"/>
        <v/>
      </c>
      <c r="Z102" s="4" t="str">
        <f t="shared" si="17"/>
        <v/>
      </c>
      <c r="AA102" s="4"/>
      <c r="AB102" s="4"/>
      <c r="AC102" s="4"/>
      <c r="AD102" s="4" t="str">
        <f>IF(H102="","",IFERROR(INDEX(DB!$B$2:$U$1713,MATCH(UPPER(TRIM(H102)),DB!$B$2:$B$1713,0),8),IFERROR(INDEX(DB!$B$2:$U$1713,MATCH(UPPER(TRIM(H102)),DB!$J$2:$J$1713,0),8),"")))</f>
        <v/>
      </c>
      <c r="AE102" s="4"/>
      <c r="AF102" s="4"/>
      <c r="AG102" s="4"/>
      <c r="AI102" t="str">
        <f>IF(AI4&lt;&gt;"",HYPERLINK("https://echa.europa.eu/search-for-chemicals?search_criteria_ecnumber=" &amp; AI4,"ECHA"),"")</f>
        <v/>
      </c>
    </row>
    <row r="103" spans="1:35" ht="15" customHeight="1" x14ac:dyDescent="0.25">
      <c r="A103" s="6" t="str">
        <f t="shared" si="14"/>
        <v/>
      </c>
      <c r="B103" s="6"/>
      <c r="C103" s="6"/>
      <c r="D103" s="7" t="str">
        <f t="shared" si="19"/>
        <v/>
      </c>
      <c r="E103" s="6"/>
      <c r="F103" s="6"/>
      <c r="G103" s="6"/>
      <c r="H103" s="6"/>
      <c r="I103" s="6" t="str">
        <f>IFERROR(INDEX(DB!$C$2:$C$2267,MATCH(UPPER(TRIM($H101)),DB!$B$2:$B$2267,0)),IFERROR(INDEX(DB!$C$2:$C$2267,MATCH(UPPER(TRIM($H101)),DB!$J$2:$J$2267,0)),""))</f>
        <v/>
      </c>
      <c r="J103" s="6" t="str">
        <f>IF(H101="","",IFERROR(INDEX(DB!$B$2:$U$2267,MATCH(UPPER(TRIM($H101)),DB!$B$2:$B$2267,0),3),IFERROR(INDEX(DB!$B$2:$U$2267,MATCH(UPPER(TRIM($H101)),DB!$J$2:$J$2267,0),3),"")))</f>
        <v/>
      </c>
      <c r="K103" s="6" t="str">
        <f>IF(H101="","",IFERROR(INDEX(DB!$B$2:$U$2267,MATCH(UPPER(TRIM($H101)),DB!$B$2:$B$2267,0),4),IFERROR(INDEX(DB!$B$2:$U$2267,MATCH(UPPER(TRIM($H101)),DB!$J$2:$J$2267,0),4),"")))</f>
        <v/>
      </c>
      <c r="L103" s="6" t="str">
        <f>IF(H101="","",IFERROR(INDEX(DB!$B$2:$U$2267,MATCH(UPPER(TRIM($H101)),DB!$B$2:$B$2267,0),5),IFERROR(INDEX(DB!$B$2:$U$2267,MATCH(UPPER(TRIM($H101)),DB!$J$2:$J$2267,0),5),"")))</f>
        <v/>
      </c>
      <c r="M103" s="6" t="str">
        <f>IF(H101="","",IFERROR(INDEX(DB!$B$2:$U$2267,MATCH(UPPER(TRIM($H101)),DB!$B$2:$B$2267,0),6),IFERROR(INDEX(DB!$B$2:$U$2267,MATCH(UPPER(TRIM($H101)),DB!$J$2:$J$2267,0),6),"")))</f>
        <v/>
      </c>
      <c r="N103" s="6" t="str">
        <f>IF(H103="","",IFERROR(INDEX(DB!$B$2:$U$1713,MATCH(UPPER(TRIM(H103)),DB!$B$2:$B$1713,0),7),IFERROR(INDEX(DB!$B$2:$U$1713,MATCH(UPPER(TRIM(H103)),DB!$J$2:$J$1713,0),7),"")))</f>
        <v/>
      </c>
      <c r="O103" s="6"/>
      <c r="P103" s="6"/>
      <c r="Q103" s="6"/>
      <c r="R103" s="6"/>
      <c r="S103" s="6"/>
      <c r="T103" s="6"/>
      <c r="U103" s="6"/>
      <c r="V103" s="6" t="str">
        <f t="shared" si="15"/>
        <v/>
      </c>
      <c r="W103" s="6"/>
      <c r="X103" s="6" t="str">
        <f t="shared" si="16"/>
        <v/>
      </c>
      <c r="Y103" s="6" t="str">
        <f t="shared" si="18"/>
        <v/>
      </c>
      <c r="Z103" s="6" t="str">
        <f t="shared" si="17"/>
        <v/>
      </c>
      <c r="AA103" s="6"/>
      <c r="AB103" s="6"/>
      <c r="AC103" s="6"/>
      <c r="AD103" s="6" t="str">
        <f>IF(H103="","",IFERROR(INDEX(DB!$B$2:$U$1713,MATCH(UPPER(TRIM(H103)),DB!$B$2:$B$1713,0),8),IFERROR(INDEX(DB!$B$2:$U$1713,MATCH(UPPER(TRIM(H103)),DB!$J$2:$J$1713,0),8),"")))</f>
        <v/>
      </c>
      <c r="AE103" s="6"/>
      <c r="AF103" s="6"/>
      <c r="AG103" s="6"/>
      <c r="AI103" t="str">
        <f>IF(AI4&lt;&gt;"",HYPERLINK("https://echa.europa.eu/search-for-chemicals?search_criteria_ecnumber=" &amp; AI4,"ECHA"),"")</f>
        <v/>
      </c>
    </row>
    <row r="104" spans="1:35" ht="15" customHeight="1" x14ac:dyDescent="0.25">
      <c r="A104" s="4" t="str">
        <f t="shared" si="14"/>
        <v/>
      </c>
      <c r="B104" s="4"/>
      <c r="C104" s="4"/>
      <c r="D104" s="5" t="str">
        <f t="shared" si="19"/>
        <v/>
      </c>
      <c r="E104" s="4"/>
      <c r="F104" s="4"/>
      <c r="G104" s="4"/>
      <c r="H104" s="4"/>
      <c r="I104" s="4" t="str">
        <f>IFERROR(INDEX(DB!$C$2:$C$2267,MATCH(UPPER(TRIM($H102)),DB!$B$2:$B$2267,0)),IFERROR(INDEX(DB!$C$2:$C$2267,MATCH(UPPER(TRIM($H102)),DB!$J$2:$J$2267,0)),""))</f>
        <v/>
      </c>
      <c r="J104" s="4" t="str">
        <f>IF(H102="","",IFERROR(INDEX(DB!$B$2:$U$2267,MATCH(UPPER(TRIM($H102)),DB!$B$2:$B$2267,0),3),IFERROR(INDEX(DB!$B$2:$U$2267,MATCH(UPPER(TRIM($H102)),DB!$J$2:$J$2267,0),3),"")))</f>
        <v/>
      </c>
      <c r="K104" s="4" t="str">
        <f>IF(H102="","",IFERROR(INDEX(DB!$B$2:$U$2267,MATCH(UPPER(TRIM($H102)),DB!$B$2:$B$2267,0),4),IFERROR(INDEX(DB!$B$2:$U$2267,MATCH(UPPER(TRIM($H102)),DB!$J$2:$J$2267,0),4),"")))</f>
        <v/>
      </c>
      <c r="L104" s="4" t="str">
        <f>IF(H102="","",IFERROR(INDEX(DB!$B$2:$U$2267,MATCH(UPPER(TRIM($H102)),DB!$B$2:$B$2267,0),5),IFERROR(INDEX(DB!$B$2:$U$2267,MATCH(UPPER(TRIM($H102)),DB!$J$2:$J$2267,0),5),"")))</f>
        <v/>
      </c>
      <c r="M104" s="4" t="str">
        <f>IF(H102="","",IFERROR(INDEX(DB!$B$2:$U$2267,MATCH(UPPER(TRIM($H102)),DB!$B$2:$B$2267,0),6),IFERROR(INDEX(DB!$B$2:$U$2267,MATCH(UPPER(TRIM($H102)),DB!$J$2:$J$2267,0),6),"")))</f>
        <v/>
      </c>
      <c r="N104" s="4" t="str">
        <f>IF(H104="","",IFERROR(INDEX(DB!$B$2:$U$1713,MATCH(UPPER(TRIM(H104)),DB!$B$2:$B$1713,0),7),IFERROR(INDEX(DB!$B$2:$U$1713,MATCH(UPPER(TRIM(H104)),DB!$J$2:$J$1713,0),7),"")))</f>
        <v/>
      </c>
      <c r="O104" s="4"/>
      <c r="P104" s="4"/>
      <c r="Q104" s="4"/>
      <c r="R104" s="4"/>
      <c r="S104" s="4"/>
      <c r="T104" s="4"/>
      <c r="U104" s="4"/>
      <c r="V104" s="4" t="str">
        <f t="shared" si="15"/>
        <v/>
      </c>
      <c r="W104" s="4"/>
      <c r="X104" s="4" t="str">
        <f t="shared" si="16"/>
        <v/>
      </c>
      <c r="Y104" s="4" t="str">
        <f t="shared" si="18"/>
        <v/>
      </c>
      <c r="Z104" s="4" t="str">
        <f t="shared" si="17"/>
        <v/>
      </c>
      <c r="AA104" s="4"/>
      <c r="AB104" s="4"/>
      <c r="AC104" s="4"/>
      <c r="AD104" s="4" t="str">
        <f>IF(H104="","",IFERROR(INDEX(DB!$B$2:$U$1713,MATCH(UPPER(TRIM(H104)),DB!$B$2:$B$1713,0),8),IFERROR(INDEX(DB!$B$2:$U$1713,MATCH(UPPER(TRIM(H104)),DB!$J$2:$J$1713,0),8),"")))</f>
        <v/>
      </c>
      <c r="AE104" s="4"/>
      <c r="AF104" s="4"/>
      <c r="AG104" s="4"/>
      <c r="AI104" t="str">
        <f>IF(AI4&lt;&gt;"",HYPERLINK("https://echa.europa.eu/search-for-chemicals?search_criteria_ecnumber=" &amp; AI4,"ECHA"),"")</f>
        <v/>
      </c>
    </row>
    <row r="105" spans="1:35" ht="15" customHeight="1" x14ac:dyDescent="0.25">
      <c r="A105" s="6" t="str">
        <f t="shared" si="14"/>
        <v/>
      </c>
      <c r="B105" s="6"/>
      <c r="C105" s="6"/>
      <c r="D105" s="7" t="str">
        <f t="shared" si="19"/>
        <v/>
      </c>
      <c r="E105" s="6"/>
      <c r="F105" s="6"/>
      <c r="G105" s="6"/>
      <c r="H105" s="6"/>
      <c r="I105" s="6" t="str">
        <f>IFERROR(INDEX(DB!$C$2:$C$2267,MATCH(UPPER(TRIM($H103)),DB!$B$2:$B$2267,0)),IFERROR(INDEX(DB!$C$2:$C$2267,MATCH(UPPER(TRIM($H103)),DB!$J$2:$J$2267,0)),""))</f>
        <v/>
      </c>
      <c r="J105" s="6" t="str">
        <f>IF(H103="","",IFERROR(INDEX(DB!$B$2:$U$2267,MATCH(UPPER(TRIM($H103)),DB!$B$2:$B$2267,0),3),IFERROR(INDEX(DB!$B$2:$U$2267,MATCH(UPPER(TRIM($H103)),DB!$J$2:$J$2267,0),3),"")))</f>
        <v/>
      </c>
      <c r="K105" s="6" t="str">
        <f>IF(H103="","",IFERROR(INDEX(DB!$B$2:$U$2267,MATCH(UPPER(TRIM($H103)),DB!$B$2:$B$2267,0),4),IFERROR(INDEX(DB!$B$2:$U$2267,MATCH(UPPER(TRIM($H103)),DB!$J$2:$J$2267,0),4),"")))</f>
        <v/>
      </c>
      <c r="L105" s="6" t="str">
        <f>IF(H103="","",IFERROR(INDEX(DB!$B$2:$U$2267,MATCH(UPPER(TRIM($H103)),DB!$B$2:$B$2267,0),5),IFERROR(INDEX(DB!$B$2:$U$2267,MATCH(UPPER(TRIM($H103)),DB!$J$2:$J$2267,0),5),"")))</f>
        <v/>
      </c>
      <c r="M105" s="6" t="str">
        <f>IF(H103="","",IFERROR(INDEX(DB!$B$2:$U$2267,MATCH(UPPER(TRIM($H103)),DB!$B$2:$B$2267,0),6),IFERROR(INDEX(DB!$B$2:$U$2267,MATCH(UPPER(TRIM($H103)),DB!$J$2:$J$2267,0),6),"")))</f>
        <v/>
      </c>
      <c r="N105" s="6" t="str">
        <f>IF(H105="","",IFERROR(INDEX(DB!$B$2:$U$1713,MATCH(UPPER(TRIM(H105)),DB!$B$2:$B$1713,0),7),IFERROR(INDEX(DB!$B$2:$U$1713,MATCH(UPPER(TRIM(H105)),DB!$J$2:$J$1713,0),7),"")))</f>
        <v/>
      </c>
      <c r="O105" s="6"/>
      <c r="P105" s="6"/>
      <c r="Q105" s="6"/>
      <c r="R105" s="6"/>
      <c r="S105" s="6"/>
      <c r="T105" s="6"/>
      <c r="U105" s="6"/>
      <c r="V105" s="6" t="str">
        <f t="shared" si="15"/>
        <v/>
      </c>
      <c r="W105" s="6"/>
      <c r="X105" s="6" t="str">
        <f t="shared" si="16"/>
        <v/>
      </c>
      <c r="Y105" s="6" t="str">
        <f t="shared" si="18"/>
        <v/>
      </c>
      <c r="Z105" s="6" t="str">
        <f t="shared" si="17"/>
        <v/>
      </c>
      <c r="AA105" s="6"/>
      <c r="AB105" s="6"/>
      <c r="AC105" s="6"/>
      <c r="AD105" s="6" t="str">
        <f>IF(H105="","",IFERROR(INDEX(DB!$B$2:$U$1713,MATCH(UPPER(TRIM(H105)),DB!$B$2:$B$1713,0),8),IFERROR(INDEX(DB!$B$2:$U$1713,MATCH(UPPER(TRIM(H105)),DB!$J$2:$J$1713,0),8),"")))</f>
        <v/>
      </c>
      <c r="AE105" s="6"/>
      <c r="AF105" s="6"/>
      <c r="AG105" s="6"/>
      <c r="AI105" t="str">
        <f>IF(AI4&lt;&gt;"",HYPERLINK("https://echa.europa.eu/search-for-chemicals?search_criteria_ecnumber=" &amp; AI4,"ECHA"),"")</f>
        <v/>
      </c>
    </row>
    <row r="106" spans="1:35" ht="15" customHeight="1" x14ac:dyDescent="0.25">
      <c r="A106" s="4" t="str">
        <f t="shared" si="14"/>
        <v/>
      </c>
      <c r="B106" s="4"/>
      <c r="C106" s="4"/>
      <c r="D106" s="5" t="str">
        <f t="shared" si="19"/>
        <v/>
      </c>
      <c r="E106" s="4"/>
      <c r="F106" s="4"/>
      <c r="G106" s="4"/>
      <c r="H106" s="4"/>
      <c r="I106" s="4" t="str">
        <f>IFERROR(INDEX(DB!$C$2:$C$2267,MATCH(UPPER(TRIM($H104)),DB!$B$2:$B$2267,0)),IFERROR(INDEX(DB!$C$2:$C$2267,MATCH(UPPER(TRIM($H104)),DB!$J$2:$J$2267,0)),""))</f>
        <v/>
      </c>
      <c r="J106" s="4" t="str">
        <f>IF(H104="","",IFERROR(INDEX(DB!$B$2:$U$2267,MATCH(UPPER(TRIM($H104)),DB!$B$2:$B$2267,0),3),IFERROR(INDEX(DB!$B$2:$U$2267,MATCH(UPPER(TRIM($H104)),DB!$J$2:$J$2267,0),3),"")))</f>
        <v/>
      </c>
      <c r="K106" s="4" t="str">
        <f>IF(H104="","",IFERROR(INDEX(DB!$B$2:$U$2267,MATCH(UPPER(TRIM($H104)),DB!$B$2:$B$2267,0),4),IFERROR(INDEX(DB!$B$2:$U$2267,MATCH(UPPER(TRIM($H104)),DB!$J$2:$J$2267,0),4),"")))</f>
        <v/>
      </c>
      <c r="L106" s="4" t="str">
        <f>IF(H104="","",IFERROR(INDEX(DB!$B$2:$U$2267,MATCH(UPPER(TRIM($H104)),DB!$B$2:$B$2267,0),5),IFERROR(INDEX(DB!$B$2:$U$2267,MATCH(UPPER(TRIM($H104)),DB!$J$2:$J$2267,0),5),"")))</f>
        <v/>
      </c>
      <c r="M106" s="4" t="str">
        <f>IF(H104="","",IFERROR(INDEX(DB!$B$2:$U$2267,MATCH(UPPER(TRIM($H104)),DB!$B$2:$B$2267,0),6),IFERROR(INDEX(DB!$B$2:$U$2267,MATCH(UPPER(TRIM($H104)),DB!$J$2:$J$2267,0),6),"")))</f>
        <v/>
      </c>
      <c r="N106" s="4" t="str">
        <f>IF(H106="","",IFERROR(INDEX(DB!$B$2:$U$1713,MATCH(UPPER(TRIM(H106)),DB!$B$2:$B$1713,0),7),IFERROR(INDEX(DB!$B$2:$U$1713,MATCH(UPPER(TRIM(H106)),DB!$J$2:$J$1713,0),7),"")))</f>
        <v/>
      </c>
      <c r="O106" s="4"/>
      <c r="P106" s="4"/>
      <c r="Q106" s="4"/>
      <c r="R106" s="4"/>
      <c r="S106" s="4"/>
      <c r="T106" s="4"/>
      <c r="U106" s="4"/>
      <c r="V106" s="4" t="str">
        <f t="shared" si="15"/>
        <v/>
      </c>
      <c r="W106" s="4"/>
      <c r="X106" s="4" t="str">
        <f t="shared" si="16"/>
        <v/>
      </c>
      <c r="Y106" s="4" t="str">
        <f t="shared" si="18"/>
        <v/>
      </c>
      <c r="Z106" s="4" t="str">
        <f t="shared" si="17"/>
        <v/>
      </c>
      <c r="AA106" s="4"/>
      <c r="AB106" s="4"/>
      <c r="AC106" s="4"/>
      <c r="AD106" s="4" t="str">
        <f>IF(H106="","",IFERROR(INDEX(DB!$B$2:$U$1713,MATCH(UPPER(TRIM(H106)),DB!$B$2:$B$1713,0),8),IFERROR(INDEX(DB!$B$2:$U$1713,MATCH(UPPER(TRIM(H106)),DB!$J$2:$J$1713,0),8),"")))</f>
        <v/>
      </c>
      <c r="AE106" s="4"/>
      <c r="AF106" s="4"/>
      <c r="AG106" s="4"/>
      <c r="AI106" t="str">
        <f>IF(AI4&lt;&gt;"",HYPERLINK("https://echa.europa.eu/search-for-chemicals?search_criteria_ecnumber=" &amp; AI4,"ECHA"),"")</f>
        <v/>
      </c>
    </row>
    <row r="107" spans="1:35" ht="15" customHeight="1" x14ac:dyDescent="0.25">
      <c r="A107" s="6" t="str">
        <f t="shared" si="14"/>
        <v/>
      </c>
      <c r="B107" s="6"/>
      <c r="C107" s="6"/>
      <c r="D107" s="7" t="str">
        <f t="shared" si="19"/>
        <v/>
      </c>
      <c r="E107" s="6"/>
      <c r="F107" s="6"/>
      <c r="G107" s="6"/>
      <c r="H107" s="6"/>
      <c r="I107" s="6" t="str">
        <f>IFERROR(INDEX(DB!$C$2:$C$2267,MATCH(UPPER(TRIM($H105)),DB!$B$2:$B$2267,0)),IFERROR(INDEX(DB!$C$2:$C$2267,MATCH(UPPER(TRIM($H105)),DB!$J$2:$J$2267,0)),""))</f>
        <v/>
      </c>
      <c r="J107" s="6" t="str">
        <f>IF(H105="","",IFERROR(INDEX(DB!$B$2:$U$2267,MATCH(UPPER(TRIM($H105)),DB!$B$2:$B$2267,0),3),IFERROR(INDEX(DB!$B$2:$U$2267,MATCH(UPPER(TRIM($H105)),DB!$J$2:$J$2267,0),3),"")))</f>
        <v/>
      </c>
      <c r="K107" s="6" t="str">
        <f>IF(H105="","",IFERROR(INDEX(DB!$B$2:$U$2267,MATCH(UPPER(TRIM($H105)),DB!$B$2:$B$2267,0),4),IFERROR(INDEX(DB!$B$2:$U$2267,MATCH(UPPER(TRIM($H105)),DB!$J$2:$J$2267,0),4),"")))</f>
        <v/>
      </c>
      <c r="L107" s="6" t="str">
        <f>IF(H105="","",IFERROR(INDEX(DB!$B$2:$U$2267,MATCH(UPPER(TRIM($H105)),DB!$B$2:$B$2267,0),5),IFERROR(INDEX(DB!$B$2:$U$2267,MATCH(UPPER(TRIM($H105)),DB!$J$2:$J$2267,0),5),"")))</f>
        <v/>
      </c>
      <c r="M107" s="6" t="str">
        <f>IF(H105="","",IFERROR(INDEX(DB!$B$2:$U$2267,MATCH(UPPER(TRIM($H105)),DB!$B$2:$B$2267,0),6),IFERROR(INDEX(DB!$B$2:$U$2267,MATCH(UPPER(TRIM($H105)),DB!$J$2:$J$2267,0),6),"")))</f>
        <v/>
      </c>
      <c r="N107" s="6" t="str">
        <f>IF(H107="","",IFERROR(INDEX(DB!$B$2:$U$1713,MATCH(UPPER(TRIM(H107)),DB!$B$2:$B$1713,0),7),IFERROR(INDEX(DB!$B$2:$U$1713,MATCH(UPPER(TRIM(H107)),DB!$J$2:$J$1713,0),7),"")))</f>
        <v/>
      </c>
      <c r="O107" s="6"/>
      <c r="P107" s="6"/>
      <c r="Q107" s="6"/>
      <c r="R107" s="6"/>
      <c r="S107" s="6"/>
      <c r="T107" s="6"/>
      <c r="U107" s="6"/>
      <c r="V107" s="6" t="str">
        <f t="shared" si="15"/>
        <v/>
      </c>
      <c r="W107" s="6"/>
      <c r="X107" s="6" t="str">
        <f t="shared" si="16"/>
        <v/>
      </c>
      <c r="Y107" s="6" t="str">
        <f t="shared" si="18"/>
        <v/>
      </c>
      <c r="Z107" s="6" t="str">
        <f t="shared" si="17"/>
        <v/>
      </c>
      <c r="AA107" s="6"/>
      <c r="AB107" s="6"/>
      <c r="AC107" s="6"/>
      <c r="AD107" s="6" t="str">
        <f>IF(H107="","",IFERROR(INDEX(DB!$B$2:$U$1713,MATCH(UPPER(TRIM(H107)),DB!$B$2:$B$1713,0),8),IFERROR(INDEX(DB!$B$2:$U$1713,MATCH(UPPER(TRIM(H107)),DB!$J$2:$J$1713,0),8),"")))</f>
        <v/>
      </c>
      <c r="AE107" s="6"/>
      <c r="AF107" s="6"/>
      <c r="AG107" s="6"/>
      <c r="AI107" t="str">
        <f>IF(AI4&lt;&gt;"",HYPERLINK("https://echa.europa.eu/search-for-chemicals?search_criteria_ecnumber=" &amp; AI4,"ECHA"),"")</f>
        <v/>
      </c>
    </row>
    <row r="108" spans="1:35" ht="15" customHeight="1" x14ac:dyDescent="0.25">
      <c r="A108" s="4" t="str">
        <f t="shared" si="14"/>
        <v/>
      </c>
      <c r="B108" s="4"/>
      <c r="C108" s="4"/>
      <c r="D108" s="5" t="str">
        <f t="shared" si="19"/>
        <v/>
      </c>
      <c r="E108" s="4"/>
      <c r="F108" s="4"/>
      <c r="G108" s="4"/>
      <c r="H108" s="4"/>
      <c r="I108" s="4" t="str">
        <f>IFERROR(INDEX(DB!$C$2:$C$2267,MATCH(UPPER(TRIM($H106)),DB!$B$2:$B$2267,0)),IFERROR(INDEX(DB!$C$2:$C$2267,MATCH(UPPER(TRIM($H106)),DB!$J$2:$J$2267,0)),""))</f>
        <v/>
      </c>
      <c r="J108" s="4" t="str">
        <f>IF(H106="","",IFERROR(INDEX(DB!$B$2:$U$2267,MATCH(UPPER(TRIM($H106)),DB!$B$2:$B$2267,0),3),IFERROR(INDEX(DB!$B$2:$U$2267,MATCH(UPPER(TRIM($H106)),DB!$J$2:$J$2267,0),3),"")))</f>
        <v/>
      </c>
      <c r="K108" s="4" t="str">
        <f>IF(H106="","",IFERROR(INDEX(DB!$B$2:$U$2267,MATCH(UPPER(TRIM($H106)),DB!$B$2:$B$2267,0),4),IFERROR(INDEX(DB!$B$2:$U$2267,MATCH(UPPER(TRIM($H106)),DB!$J$2:$J$2267,0),4),"")))</f>
        <v/>
      </c>
      <c r="L108" s="4" t="str">
        <f>IF(H106="","",IFERROR(INDEX(DB!$B$2:$U$2267,MATCH(UPPER(TRIM($H106)),DB!$B$2:$B$2267,0),5),IFERROR(INDEX(DB!$B$2:$U$2267,MATCH(UPPER(TRIM($H106)),DB!$J$2:$J$2267,0),5),"")))</f>
        <v/>
      </c>
      <c r="M108" s="4" t="str">
        <f>IF(H106="","",IFERROR(INDEX(DB!$B$2:$U$2267,MATCH(UPPER(TRIM($H106)),DB!$B$2:$B$2267,0),6),IFERROR(INDEX(DB!$B$2:$U$2267,MATCH(UPPER(TRIM($H106)),DB!$J$2:$J$2267,0),6),"")))</f>
        <v/>
      </c>
      <c r="N108" s="4" t="str">
        <f>IF(H108="","",IFERROR(INDEX(DB!$B$2:$U$1713,MATCH(UPPER(TRIM(H108)),DB!$B$2:$B$1713,0),7),IFERROR(INDEX(DB!$B$2:$U$1713,MATCH(UPPER(TRIM(H108)),DB!$J$2:$J$1713,0),7),"")))</f>
        <v/>
      </c>
      <c r="O108" s="4"/>
      <c r="P108" s="4"/>
      <c r="Q108" s="4"/>
      <c r="R108" s="4"/>
      <c r="S108" s="4"/>
      <c r="T108" s="4"/>
      <c r="U108" s="4"/>
      <c r="V108" s="4" t="str">
        <f t="shared" si="15"/>
        <v/>
      </c>
      <c r="W108" s="4"/>
      <c r="X108" s="4" t="str">
        <f t="shared" si="16"/>
        <v/>
      </c>
      <c r="Y108" s="4" t="str">
        <f t="shared" si="18"/>
        <v/>
      </c>
      <c r="Z108" s="4" t="str">
        <f t="shared" si="17"/>
        <v/>
      </c>
      <c r="AA108" s="4"/>
      <c r="AB108" s="4"/>
      <c r="AC108" s="4"/>
      <c r="AD108" s="4" t="str">
        <f>IF(H108="","",IFERROR(INDEX(DB!$B$2:$U$1713,MATCH(UPPER(TRIM(H108)),DB!$B$2:$B$1713,0),8),IFERROR(INDEX(DB!$B$2:$U$1713,MATCH(UPPER(TRIM(H108)),DB!$J$2:$J$1713,0),8),"")))</f>
        <v/>
      </c>
      <c r="AE108" s="4"/>
      <c r="AF108" s="4"/>
      <c r="AG108" s="4"/>
      <c r="AI108" t="str">
        <f>IF(AI4&lt;&gt;"",HYPERLINK("https://echa.europa.eu/search-for-chemicals?search_criteria_ecnumber=" &amp; AI4,"ECHA"),"")</f>
        <v/>
      </c>
    </row>
    <row r="109" spans="1:35" ht="15" customHeight="1" x14ac:dyDescent="0.25">
      <c r="A109" s="6" t="str">
        <f t="shared" si="14"/>
        <v/>
      </c>
      <c r="B109" s="6"/>
      <c r="C109" s="6"/>
      <c r="D109" s="7" t="str">
        <f t="shared" si="19"/>
        <v/>
      </c>
      <c r="E109" s="6"/>
      <c r="F109" s="6"/>
      <c r="G109" s="6"/>
      <c r="H109" s="6"/>
      <c r="I109" s="6" t="str">
        <f>IFERROR(INDEX(DB!$C$2:$C$2267,MATCH(UPPER(TRIM($H107)),DB!$B$2:$B$2267,0)),IFERROR(INDEX(DB!$C$2:$C$2267,MATCH(UPPER(TRIM($H107)),DB!$J$2:$J$2267,0)),""))</f>
        <v/>
      </c>
      <c r="J109" s="6" t="str">
        <f>IF(H107="","",IFERROR(INDEX(DB!$B$2:$U$2267,MATCH(UPPER(TRIM($H107)),DB!$B$2:$B$2267,0),3),IFERROR(INDEX(DB!$B$2:$U$2267,MATCH(UPPER(TRIM($H107)),DB!$J$2:$J$2267,0),3),"")))</f>
        <v/>
      </c>
      <c r="K109" s="6" t="str">
        <f>IF(H107="","",IFERROR(INDEX(DB!$B$2:$U$2267,MATCH(UPPER(TRIM($H107)),DB!$B$2:$B$2267,0),4),IFERROR(INDEX(DB!$B$2:$U$2267,MATCH(UPPER(TRIM($H107)),DB!$J$2:$J$2267,0),4),"")))</f>
        <v/>
      </c>
      <c r="L109" s="6" t="str">
        <f>IF(H107="","",IFERROR(INDEX(DB!$B$2:$U$2267,MATCH(UPPER(TRIM($H107)),DB!$B$2:$B$2267,0),5),IFERROR(INDEX(DB!$B$2:$U$2267,MATCH(UPPER(TRIM($H107)),DB!$J$2:$J$2267,0),5),"")))</f>
        <v/>
      </c>
      <c r="M109" s="6" t="str">
        <f>IF(H107="","",IFERROR(INDEX(DB!$B$2:$U$2267,MATCH(UPPER(TRIM($H107)),DB!$B$2:$B$2267,0),6),IFERROR(INDEX(DB!$B$2:$U$2267,MATCH(UPPER(TRIM($H107)),DB!$J$2:$J$2267,0),6),"")))</f>
        <v/>
      </c>
      <c r="N109" s="6" t="str">
        <f>IF(H109="","",IFERROR(INDEX(DB!$B$2:$U$1713,MATCH(UPPER(TRIM(H109)),DB!$B$2:$B$1713,0),7),IFERROR(INDEX(DB!$B$2:$U$1713,MATCH(UPPER(TRIM(H109)),DB!$J$2:$J$1713,0),7),"")))</f>
        <v/>
      </c>
      <c r="O109" s="6"/>
      <c r="P109" s="6"/>
      <c r="Q109" s="6"/>
      <c r="R109" s="6"/>
      <c r="S109" s="6"/>
      <c r="T109" s="6"/>
      <c r="U109" s="6"/>
      <c r="V109" s="6" t="str">
        <f t="shared" si="15"/>
        <v/>
      </c>
      <c r="W109" s="6"/>
      <c r="X109" s="6" t="str">
        <f t="shared" si="16"/>
        <v/>
      </c>
      <c r="Y109" s="6" t="str">
        <f t="shared" si="18"/>
        <v/>
      </c>
      <c r="Z109" s="6" t="str">
        <f t="shared" si="17"/>
        <v/>
      </c>
      <c r="AA109" s="6"/>
      <c r="AB109" s="6"/>
      <c r="AC109" s="6"/>
      <c r="AD109" s="6" t="str">
        <f>IF(H109="","",IFERROR(INDEX(DB!$B$2:$U$1713,MATCH(UPPER(TRIM(H109)),DB!$B$2:$B$1713,0),8),IFERROR(INDEX(DB!$B$2:$U$1713,MATCH(UPPER(TRIM(H109)),DB!$J$2:$J$1713,0),8),"")))</f>
        <v/>
      </c>
      <c r="AE109" s="6"/>
      <c r="AF109" s="6"/>
      <c r="AG109" s="6"/>
      <c r="AI109" t="str">
        <f>IF(AI4&lt;&gt;"",HYPERLINK("https://echa.europa.eu/search-for-chemicals?search_criteria_ecnumber=" &amp; AI4,"ECHA"),"")</f>
        <v/>
      </c>
    </row>
    <row r="110" spans="1:35" ht="15" customHeight="1" x14ac:dyDescent="0.25">
      <c r="A110" s="4" t="str">
        <f t="shared" si="14"/>
        <v/>
      </c>
      <c r="B110" s="4"/>
      <c r="C110" s="4"/>
      <c r="D110" s="5" t="str">
        <f t="shared" si="19"/>
        <v/>
      </c>
      <c r="E110" s="4"/>
      <c r="F110" s="4"/>
      <c r="G110" s="4"/>
      <c r="H110" s="4"/>
      <c r="I110" s="4" t="str">
        <f>IFERROR(INDEX(DB!$C$2:$C$2267,MATCH(UPPER(TRIM($H108)),DB!$B$2:$B$2267,0)),IFERROR(INDEX(DB!$C$2:$C$2267,MATCH(UPPER(TRIM($H108)),DB!$J$2:$J$2267,0)),""))</f>
        <v/>
      </c>
      <c r="J110" s="4" t="str">
        <f>IF(H108="","",IFERROR(INDEX(DB!$B$2:$U$2267,MATCH(UPPER(TRIM($H108)),DB!$B$2:$B$2267,0),3),IFERROR(INDEX(DB!$B$2:$U$2267,MATCH(UPPER(TRIM($H108)),DB!$J$2:$J$2267,0),3),"")))</f>
        <v/>
      </c>
      <c r="K110" s="4" t="str">
        <f>IF(H108="","",IFERROR(INDEX(DB!$B$2:$U$2267,MATCH(UPPER(TRIM($H108)),DB!$B$2:$B$2267,0),4),IFERROR(INDEX(DB!$B$2:$U$2267,MATCH(UPPER(TRIM($H108)),DB!$J$2:$J$2267,0),4),"")))</f>
        <v/>
      </c>
      <c r="L110" s="4" t="str">
        <f>IF(H108="","",IFERROR(INDEX(DB!$B$2:$U$2267,MATCH(UPPER(TRIM($H108)),DB!$B$2:$B$2267,0),5),IFERROR(INDEX(DB!$B$2:$U$2267,MATCH(UPPER(TRIM($H108)),DB!$J$2:$J$2267,0),5),"")))</f>
        <v/>
      </c>
      <c r="M110" s="4" t="str">
        <f>IF(H108="","",IFERROR(INDEX(DB!$B$2:$U$2267,MATCH(UPPER(TRIM($H108)),DB!$B$2:$B$2267,0),6),IFERROR(INDEX(DB!$B$2:$U$2267,MATCH(UPPER(TRIM($H108)),DB!$J$2:$J$2267,0),6),"")))</f>
        <v/>
      </c>
      <c r="N110" s="4" t="str">
        <f>IF(H110="","",IFERROR(INDEX(DB!$B$2:$U$1713,MATCH(UPPER(TRIM(H110)),DB!$B$2:$B$1713,0),7),IFERROR(INDEX(DB!$B$2:$U$1713,MATCH(UPPER(TRIM(H110)),DB!$J$2:$J$1713,0),7),"")))</f>
        <v/>
      </c>
      <c r="O110" s="4"/>
      <c r="P110" s="4"/>
      <c r="Q110" s="4"/>
      <c r="R110" s="4"/>
      <c r="S110" s="4"/>
      <c r="T110" s="4"/>
      <c r="U110" s="4"/>
      <c r="V110" s="4" t="str">
        <f t="shared" si="15"/>
        <v/>
      </c>
      <c r="W110" s="4"/>
      <c r="X110" s="4" t="str">
        <f t="shared" si="16"/>
        <v/>
      </c>
      <c r="Y110" s="4" t="str">
        <f t="shared" si="18"/>
        <v/>
      </c>
      <c r="Z110" s="4" t="str">
        <f t="shared" si="17"/>
        <v/>
      </c>
      <c r="AA110" s="4"/>
      <c r="AB110" s="4"/>
      <c r="AC110" s="4"/>
      <c r="AD110" s="4" t="str">
        <f>IF(H110="","",IFERROR(INDEX(DB!$B$2:$U$1713,MATCH(UPPER(TRIM(H110)),DB!$B$2:$B$1713,0),8),IFERROR(INDEX(DB!$B$2:$U$1713,MATCH(UPPER(TRIM(H110)),DB!$J$2:$J$1713,0),8),"")))</f>
        <v/>
      </c>
      <c r="AE110" s="4"/>
      <c r="AF110" s="4"/>
      <c r="AG110" s="4"/>
      <c r="AI110" t="str">
        <f>IF(AI4&lt;&gt;"",HYPERLINK("https://echa.europa.eu/search-for-chemicals?search_criteria_ecnumber=" &amp; AI4,"ECHA"),"")</f>
        <v/>
      </c>
    </row>
    <row r="111" spans="1:35" ht="15" customHeight="1" x14ac:dyDescent="0.25">
      <c r="A111" s="6" t="str">
        <f t="shared" si="14"/>
        <v/>
      </c>
      <c r="B111" s="6"/>
      <c r="C111" s="6"/>
      <c r="D111" s="7" t="str">
        <f t="shared" si="19"/>
        <v/>
      </c>
      <c r="E111" s="6"/>
      <c r="F111" s="6"/>
      <c r="G111" s="6"/>
      <c r="H111" s="6"/>
      <c r="I111" s="6" t="str">
        <f>IFERROR(INDEX(DB!$C$2:$C$2267,MATCH(UPPER(TRIM($H109)),DB!$B$2:$B$2267,0)),IFERROR(INDEX(DB!$C$2:$C$2267,MATCH(UPPER(TRIM($H109)),DB!$J$2:$J$2267,0)),""))</f>
        <v/>
      </c>
      <c r="J111" s="6" t="str">
        <f>IF(H109="","",IFERROR(INDEX(DB!$B$2:$U$2267,MATCH(UPPER(TRIM($H109)),DB!$B$2:$B$2267,0),3),IFERROR(INDEX(DB!$B$2:$U$2267,MATCH(UPPER(TRIM($H109)),DB!$J$2:$J$2267,0),3),"")))</f>
        <v/>
      </c>
      <c r="K111" s="6" t="str">
        <f>IF(H109="","",IFERROR(INDEX(DB!$B$2:$U$2267,MATCH(UPPER(TRIM($H109)),DB!$B$2:$B$2267,0),4),IFERROR(INDEX(DB!$B$2:$U$2267,MATCH(UPPER(TRIM($H109)),DB!$J$2:$J$2267,0),4),"")))</f>
        <v/>
      </c>
      <c r="L111" s="6" t="str">
        <f>IF(H109="","",IFERROR(INDEX(DB!$B$2:$U$2267,MATCH(UPPER(TRIM($H109)),DB!$B$2:$B$2267,0),5),IFERROR(INDEX(DB!$B$2:$U$2267,MATCH(UPPER(TRIM($H109)),DB!$J$2:$J$2267,0),5),"")))</f>
        <v/>
      </c>
      <c r="M111" s="6" t="str">
        <f>IF(H109="","",IFERROR(INDEX(DB!$B$2:$U$2267,MATCH(UPPER(TRIM($H109)),DB!$B$2:$B$2267,0),6),IFERROR(INDEX(DB!$B$2:$U$2267,MATCH(UPPER(TRIM($H109)),DB!$J$2:$J$2267,0),6),"")))</f>
        <v/>
      </c>
      <c r="N111" s="6" t="str">
        <f>IF(H111="","",IFERROR(INDEX(DB!$B$2:$U$1713,MATCH(UPPER(TRIM(H111)),DB!$B$2:$B$1713,0),7),IFERROR(INDEX(DB!$B$2:$U$1713,MATCH(UPPER(TRIM(H111)),DB!$J$2:$J$1713,0),7),"")))</f>
        <v/>
      </c>
      <c r="O111" s="6"/>
      <c r="P111" s="6"/>
      <c r="Q111" s="6"/>
      <c r="R111" s="6"/>
      <c r="S111" s="6"/>
      <c r="T111" s="6"/>
      <c r="U111" s="6"/>
      <c r="V111" s="6" t="str">
        <f t="shared" si="15"/>
        <v/>
      </c>
      <c r="W111" s="6"/>
      <c r="X111" s="6" t="str">
        <f t="shared" si="16"/>
        <v/>
      </c>
      <c r="Y111" s="6" t="str">
        <f t="shared" si="18"/>
        <v/>
      </c>
      <c r="Z111" s="6" t="str">
        <f t="shared" si="17"/>
        <v/>
      </c>
      <c r="AA111" s="6"/>
      <c r="AB111" s="6"/>
      <c r="AC111" s="6"/>
      <c r="AD111" s="6" t="str">
        <f>IF(H111="","",IFERROR(INDEX(DB!$B$2:$U$1713,MATCH(UPPER(TRIM(H111)),DB!$B$2:$B$1713,0),8),IFERROR(INDEX(DB!$B$2:$U$1713,MATCH(UPPER(TRIM(H111)),DB!$J$2:$J$1713,0),8),"")))</f>
        <v/>
      </c>
      <c r="AE111" s="6"/>
      <c r="AF111" s="6"/>
      <c r="AG111" s="6"/>
      <c r="AI111" t="str">
        <f>IF(AI4&lt;&gt;"",HYPERLINK("https://echa.europa.eu/search-for-chemicals?search_criteria_ecnumber=" &amp; AI4,"ECHA"),"")</f>
        <v/>
      </c>
    </row>
    <row r="112" spans="1:35" ht="15" customHeight="1" x14ac:dyDescent="0.25">
      <c r="A112" s="4" t="str">
        <f t="shared" ref="A112:A143" si="20">IF(H112="","",ROW()-16)</f>
        <v/>
      </c>
      <c r="B112" s="4"/>
      <c r="C112" s="4"/>
      <c r="D112" s="5" t="str">
        <f t="shared" si="19"/>
        <v/>
      </c>
      <c r="E112" s="4"/>
      <c r="F112" s="4"/>
      <c r="G112" s="4"/>
      <c r="H112" s="4"/>
      <c r="I112" s="4" t="str">
        <f>IFERROR(INDEX(DB!$C$2:$C$2267,MATCH(UPPER(TRIM($H110)),DB!$B$2:$B$2267,0)),IFERROR(INDEX(DB!$C$2:$C$2267,MATCH(UPPER(TRIM($H110)),DB!$J$2:$J$2267,0)),""))</f>
        <v/>
      </c>
      <c r="J112" s="4" t="str">
        <f>IF(H110="","",IFERROR(INDEX(DB!$B$2:$U$2267,MATCH(UPPER(TRIM($H110)),DB!$B$2:$B$2267,0),3),IFERROR(INDEX(DB!$B$2:$U$2267,MATCH(UPPER(TRIM($H110)),DB!$J$2:$J$2267,0),3),"")))</f>
        <v/>
      </c>
      <c r="K112" s="4" t="str">
        <f>IF(H110="","",IFERROR(INDEX(DB!$B$2:$U$2267,MATCH(UPPER(TRIM($H110)),DB!$B$2:$B$2267,0),4),IFERROR(INDEX(DB!$B$2:$U$2267,MATCH(UPPER(TRIM($H110)),DB!$J$2:$J$2267,0),4),"")))</f>
        <v/>
      </c>
      <c r="L112" s="4" t="str">
        <f>IF(H110="","",IFERROR(INDEX(DB!$B$2:$U$2267,MATCH(UPPER(TRIM($H110)),DB!$B$2:$B$2267,0),5),IFERROR(INDEX(DB!$B$2:$U$2267,MATCH(UPPER(TRIM($H110)),DB!$J$2:$J$2267,0),5),"")))</f>
        <v/>
      </c>
      <c r="M112" s="4" t="str">
        <f>IF(H110="","",IFERROR(INDEX(DB!$B$2:$U$2267,MATCH(UPPER(TRIM($H110)),DB!$B$2:$B$2267,0),6),IFERROR(INDEX(DB!$B$2:$U$2267,MATCH(UPPER(TRIM($H110)),DB!$J$2:$J$2267,0),6),"")))</f>
        <v/>
      </c>
      <c r="N112" s="4" t="str">
        <f>IF(H112="","",IFERROR(INDEX(DB!$B$2:$U$1713,MATCH(UPPER(TRIM(H112)),DB!$B$2:$B$1713,0),7),IFERROR(INDEX(DB!$B$2:$U$1713,MATCH(UPPER(TRIM(H112)),DB!$J$2:$J$1713,0),7),"")))</f>
        <v/>
      </c>
      <c r="O112" s="4"/>
      <c r="P112" s="4"/>
      <c r="Q112" s="4"/>
      <c r="R112" s="4"/>
      <c r="S112" s="4"/>
      <c r="T112" s="4"/>
      <c r="U112" s="4"/>
      <c r="V112" s="4" t="str">
        <f t="shared" ref="V112:V143" si="21">IF(M112="","",IF(OR(M112="E",M112="D"),IF(OR(N112="Yüksek",N112="Çok Yüksek",N112="Çok Yüksek (Gaz)",N112="Toz"),4,IF(N112="Orta",3,2)),IF(M112="C",IF(OR(N112="Yüksek",N112="Çok Yüksek",N112="Çok Yüksek (Gaz)",N112="Toz"),3,IF(N112="Orta",2,1)),IF(M112="B",IF(OR(N112="Yüksek",N112="Çok Yüksek",N112="Çok Yüksek (Gaz)",N112="Toz"),2,1),1))))</f>
        <v/>
      </c>
      <c r="W112" s="4"/>
      <c r="X112" s="4" t="str">
        <f t="shared" ref="X112:X143" si="22">IF($V112="","",IF($V112=1,"İyi uygulama + genel havalandırma. Kapalı kap/etiketleme.",IF($V112=2,"Yerel kontrol (LEV) / kapalı ekipman. KKD uygunluğu kontrol.",IF($V112=3,"Mühendislik kontrolü güçlendir (kapalı sistem/LEV) + prosedür. KKD zorunlu.","Uzman değerlendirmesi + mümkünse tam kapalı sistem. İzinli çalışma ve izleme."))))</f>
        <v/>
      </c>
      <c r="Y112" s="4" t="str">
        <f t="shared" si="18"/>
        <v/>
      </c>
      <c r="Z112" s="4" t="str">
        <f t="shared" ref="Z112:Z143" si="23">IF(V112="","",IF(V112=1,"Uygun",IF(V112=2,"Koşullu Uygun","Uygun Değil")))</f>
        <v/>
      </c>
      <c r="AA112" s="4"/>
      <c r="AB112" s="4"/>
      <c r="AC112" s="4"/>
      <c r="AD112" s="4" t="str">
        <f>IF(H112="","",IFERROR(INDEX(DB!$B$2:$U$1713,MATCH(UPPER(TRIM(H112)),DB!$B$2:$B$1713,0),8),IFERROR(INDEX(DB!$B$2:$U$1713,MATCH(UPPER(TRIM(H112)),DB!$J$2:$J$1713,0),8),"")))</f>
        <v/>
      </c>
      <c r="AE112" s="4"/>
      <c r="AF112" s="4"/>
      <c r="AG112" s="4"/>
      <c r="AI112" t="str">
        <f>IF(AI4&lt;&gt;"",HYPERLINK("https://echa.europa.eu/search-for-chemicals?search_criteria_ecnumber=" &amp; AI4,"ECHA"),"")</f>
        <v/>
      </c>
    </row>
    <row r="113" spans="1:35" ht="15" customHeight="1" x14ac:dyDescent="0.25">
      <c r="A113" s="6" t="str">
        <f t="shared" si="20"/>
        <v/>
      </c>
      <c r="B113" s="6"/>
      <c r="C113" s="6"/>
      <c r="D113" s="7" t="str">
        <f t="shared" si="19"/>
        <v/>
      </c>
      <c r="E113" s="6"/>
      <c r="F113" s="6"/>
      <c r="G113" s="6"/>
      <c r="H113" s="6"/>
      <c r="I113" s="6" t="str">
        <f>IFERROR(INDEX(DB!$C$2:$C$2267,MATCH(UPPER(TRIM($H111)),DB!$B$2:$B$2267,0)),IFERROR(INDEX(DB!$C$2:$C$2267,MATCH(UPPER(TRIM($H111)),DB!$J$2:$J$2267,0)),""))</f>
        <v/>
      </c>
      <c r="J113" s="6" t="str">
        <f>IF(H111="","",IFERROR(INDEX(DB!$B$2:$U$2267,MATCH(UPPER(TRIM($H111)),DB!$B$2:$B$2267,0),3),IFERROR(INDEX(DB!$B$2:$U$2267,MATCH(UPPER(TRIM($H111)),DB!$J$2:$J$2267,0),3),"")))</f>
        <v/>
      </c>
      <c r="K113" s="6" t="str">
        <f>IF(H111="","",IFERROR(INDEX(DB!$B$2:$U$2267,MATCH(UPPER(TRIM($H111)),DB!$B$2:$B$2267,0),4),IFERROR(INDEX(DB!$B$2:$U$2267,MATCH(UPPER(TRIM($H111)),DB!$J$2:$J$2267,0),4),"")))</f>
        <v/>
      </c>
      <c r="L113" s="6" t="str">
        <f>IF(H111="","",IFERROR(INDEX(DB!$B$2:$U$2267,MATCH(UPPER(TRIM($H111)),DB!$B$2:$B$2267,0),5),IFERROR(INDEX(DB!$B$2:$U$2267,MATCH(UPPER(TRIM($H111)),DB!$J$2:$J$2267,0),5),"")))</f>
        <v/>
      </c>
      <c r="M113" s="6" t="str">
        <f>IF(H111="","",IFERROR(INDEX(DB!$B$2:$U$2267,MATCH(UPPER(TRIM($H111)),DB!$B$2:$B$2267,0),6),IFERROR(INDEX(DB!$B$2:$U$2267,MATCH(UPPER(TRIM($H111)),DB!$J$2:$J$2267,0),6),"")))</f>
        <v/>
      </c>
      <c r="N113" s="6" t="str">
        <f>IF(H113="","",IFERROR(INDEX(DB!$B$2:$U$1713,MATCH(UPPER(TRIM(H113)),DB!$B$2:$B$1713,0),7),IFERROR(INDEX(DB!$B$2:$U$1713,MATCH(UPPER(TRIM(H113)),DB!$J$2:$J$1713,0),7),"")))</f>
        <v/>
      </c>
      <c r="O113" s="6"/>
      <c r="P113" s="6"/>
      <c r="Q113" s="6"/>
      <c r="R113" s="6"/>
      <c r="S113" s="6"/>
      <c r="T113" s="6"/>
      <c r="U113" s="6"/>
      <c r="V113" s="6" t="str">
        <f t="shared" si="21"/>
        <v/>
      </c>
      <c r="W113" s="6"/>
      <c r="X113" s="6" t="str">
        <f t="shared" si="22"/>
        <v/>
      </c>
      <c r="Y113" s="6" t="str">
        <f t="shared" ref="Y113:Y144" si="24">IF(V113="","",CHOOSE(V113,"Düşük","Orta","Yüksek","Kritik"))</f>
        <v/>
      </c>
      <c r="Z113" s="6" t="str">
        <f t="shared" si="23"/>
        <v/>
      </c>
      <c r="AA113" s="6"/>
      <c r="AB113" s="6"/>
      <c r="AC113" s="6"/>
      <c r="AD113" s="6" t="str">
        <f>IF(H113="","",IFERROR(INDEX(DB!$B$2:$U$1713,MATCH(UPPER(TRIM(H113)),DB!$B$2:$B$1713,0),8),IFERROR(INDEX(DB!$B$2:$U$1713,MATCH(UPPER(TRIM(H113)),DB!$J$2:$J$1713,0),8),"")))</f>
        <v/>
      </c>
      <c r="AE113" s="6"/>
      <c r="AF113" s="6"/>
      <c r="AG113" s="6"/>
      <c r="AI113" t="str">
        <f>IF(AI4&lt;&gt;"",HYPERLINK("https://echa.europa.eu/search-for-chemicals?search_criteria_ecnumber=" &amp; AI4,"ECHA"),"")</f>
        <v/>
      </c>
    </row>
    <row r="114" spans="1:35" ht="15" customHeight="1" x14ac:dyDescent="0.25">
      <c r="A114" s="4" t="str">
        <f t="shared" si="20"/>
        <v/>
      </c>
      <c r="B114" s="4"/>
      <c r="C114" s="4"/>
      <c r="D114" s="5" t="str">
        <f t="shared" si="19"/>
        <v/>
      </c>
      <c r="E114" s="4"/>
      <c r="F114" s="4"/>
      <c r="G114" s="4"/>
      <c r="H114" s="4"/>
      <c r="I114" s="4" t="str">
        <f>IFERROR(INDEX(DB!$C$2:$C$2267,MATCH(UPPER(TRIM($H112)),DB!$B$2:$B$2267,0)),IFERROR(INDEX(DB!$C$2:$C$2267,MATCH(UPPER(TRIM($H112)),DB!$J$2:$J$2267,0)),""))</f>
        <v/>
      </c>
      <c r="J114" s="4" t="str">
        <f>IF(H112="","",IFERROR(INDEX(DB!$B$2:$U$2267,MATCH(UPPER(TRIM($H112)),DB!$B$2:$B$2267,0),3),IFERROR(INDEX(DB!$B$2:$U$2267,MATCH(UPPER(TRIM($H112)),DB!$J$2:$J$2267,0),3),"")))</f>
        <v/>
      </c>
      <c r="K114" s="4" t="str">
        <f>IF(H112="","",IFERROR(INDEX(DB!$B$2:$U$2267,MATCH(UPPER(TRIM($H112)),DB!$B$2:$B$2267,0),4),IFERROR(INDEX(DB!$B$2:$U$2267,MATCH(UPPER(TRIM($H112)),DB!$J$2:$J$2267,0),4),"")))</f>
        <v/>
      </c>
      <c r="L114" s="4" t="str">
        <f>IF(H112="","",IFERROR(INDEX(DB!$B$2:$U$2267,MATCH(UPPER(TRIM($H112)),DB!$B$2:$B$2267,0),5),IFERROR(INDEX(DB!$B$2:$U$2267,MATCH(UPPER(TRIM($H112)),DB!$J$2:$J$2267,0),5),"")))</f>
        <v/>
      </c>
      <c r="M114" s="4" t="str">
        <f>IF(H112="","",IFERROR(INDEX(DB!$B$2:$U$2267,MATCH(UPPER(TRIM($H112)),DB!$B$2:$B$2267,0),6),IFERROR(INDEX(DB!$B$2:$U$2267,MATCH(UPPER(TRIM($H112)),DB!$J$2:$J$2267,0),6),"")))</f>
        <v/>
      </c>
      <c r="N114" s="4" t="str">
        <f>IF(H114="","",IFERROR(INDEX(DB!$B$2:$U$1713,MATCH(UPPER(TRIM(H114)),DB!$B$2:$B$1713,0),7),IFERROR(INDEX(DB!$B$2:$U$1713,MATCH(UPPER(TRIM(H114)),DB!$J$2:$J$1713,0),7),"")))</f>
        <v/>
      </c>
      <c r="O114" s="4"/>
      <c r="P114" s="4"/>
      <c r="Q114" s="4"/>
      <c r="R114" s="4"/>
      <c r="S114" s="4"/>
      <c r="T114" s="4"/>
      <c r="U114" s="4"/>
      <c r="V114" s="4" t="str">
        <f t="shared" si="21"/>
        <v/>
      </c>
      <c r="W114" s="4"/>
      <c r="X114" s="4" t="str">
        <f t="shared" si="22"/>
        <v/>
      </c>
      <c r="Y114" s="4" t="str">
        <f t="shared" si="24"/>
        <v/>
      </c>
      <c r="Z114" s="4" t="str">
        <f t="shared" si="23"/>
        <v/>
      </c>
      <c r="AA114" s="4"/>
      <c r="AB114" s="4"/>
      <c r="AC114" s="4"/>
      <c r="AD114" s="4" t="str">
        <f>IF(H114="","",IFERROR(INDEX(DB!$B$2:$U$1713,MATCH(UPPER(TRIM(H114)),DB!$B$2:$B$1713,0),8),IFERROR(INDEX(DB!$B$2:$U$1713,MATCH(UPPER(TRIM(H114)),DB!$J$2:$J$1713,0),8),"")))</f>
        <v/>
      </c>
      <c r="AE114" s="4"/>
      <c r="AF114" s="4"/>
      <c r="AG114" s="4"/>
      <c r="AI114" t="str">
        <f>IF(AI4&lt;&gt;"",HYPERLINK("https://echa.europa.eu/search-for-chemicals?search_criteria_ecnumber=" &amp; AI4,"ECHA"),"")</f>
        <v/>
      </c>
    </row>
    <row r="115" spans="1:35" ht="15" customHeight="1" x14ac:dyDescent="0.25">
      <c r="A115" s="6" t="str">
        <f t="shared" si="20"/>
        <v/>
      </c>
      <c r="B115" s="6"/>
      <c r="C115" s="6"/>
      <c r="D115" s="7" t="str">
        <f t="shared" si="19"/>
        <v/>
      </c>
      <c r="E115" s="6"/>
      <c r="F115" s="6"/>
      <c r="G115" s="6"/>
      <c r="H115" s="6"/>
      <c r="I115" s="6" t="str">
        <f>IFERROR(INDEX(DB!$C$2:$C$2267,MATCH(UPPER(TRIM($H113)),DB!$B$2:$B$2267,0)),IFERROR(INDEX(DB!$C$2:$C$2267,MATCH(UPPER(TRIM($H113)),DB!$J$2:$J$2267,0)),""))</f>
        <v/>
      </c>
      <c r="J115" s="6" t="str">
        <f>IF(H113="","",IFERROR(INDEX(DB!$B$2:$U$2267,MATCH(UPPER(TRIM($H113)),DB!$B$2:$B$2267,0),3),IFERROR(INDEX(DB!$B$2:$U$2267,MATCH(UPPER(TRIM($H113)),DB!$J$2:$J$2267,0),3),"")))</f>
        <v/>
      </c>
      <c r="K115" s="6" t="str">
        <f>IF(H113="","",IFERROR(INDEX(DB!$B$2:$U$2267,MATCH(UPPER(TRIM($H113)),DB!$B$2:$B$2267,0),4),IFERROR(INDEX(DB!$B$2:$U$2267,MATCH(UPPER(TRIM($H113)),DB!$J$2:$J$2267,0),4),"")))</f>
        <v/>
      </c>
      <c r="L115" s="6" t="str">
        <f>IF(H113="","",IFERROR(INDEX(DB!$B$2:$U$2267,MATCH(UPPER(TRIM($H113)),DB!$B$2:$B$2267,0),5),IFERROR(INDEX(DB!$B$2:$U$2267,MATCH(UPPER(TRIM($H113)),DB!$J$2:$J$2267,0),5),"")))</f>
        <v/>
      </c>
      <c r="M115" s="6" t="str">
        <f>IF(H113="","",IFERROR(INDEX(DB!$B$2:$U$2267,MATCH(UPPER(TRIM($H113)),DB!$B$2:$B$2267,0),6),IFERROR(INDEX(DB!$B$2:$U$2267,MATCH(UPPER(TRIM($H113)),DB!$J$2:$J$2267,0),6),"")))</f>
        <v/>
      </c>
      <c r="N115" s="6" t="str">
        <f>IF(H115="","",IFERROR(INDEX(DB!$B$2:$U$1713,MATCH(UPPER(TRIM(H115)),DB!$B$2:$B$1713,0),7),IFERROR(INDEX(DB!$B$2:$U$1713,MATCH(UPPER(TRIM(H115)),DB!$J$2:$J$1713,0),7),"")))</f>
        <v/>
      </c>
      <c r="O115" s="6"/>
      <c r="P115" s="6"/>
      <c r="Q115" s="6"/>
      <c r="R115" s="6"/>
      <c r="S115" s="6"/>
      <c r="T115" s="6"/>
      <c r="U115" s="6"/>
      <c r="V115" s="6" t="str">
        <f t="shared" si="21"/>
        <v/>
      </c>
      <c r="W115" s="6"/>
      <c r="X115" s="6" t="str">
        <f t="shared" si="22"/>
        <v/>
      </c>
      <c r="Y115" s="6" t="str">
        <f t="shared" si="24"/>
        <v/>
      </c>
      <c r="Z115" s="6" t="str">
        <f t="shared" si="23"/>
        <v/>
      </c>
      <c r="AA115" s="6"/>
      <c r="AB115" s="6"/>
      <c r="AC115" s="6"/>
      <c r="AD115" s="6" t="str">
        <f>IF(H115="","",IFERROR(INDEX(DB!$B$2:$U$1713,MATCH(UPPER(TRIM(H115)),DB!$B$2:$B$1713,0),8),IFERROR(INDEX(DB!$B$2:$U$1713,MATCH(UPPER(TRIM(H115)),DB!$J$2:$J$1713,0),8),"")))</f>
        <v/>
      </c>
      <c r="AE115" s="6"/>
      <c r="AF115" s="6"/>
      <c r="AG115" s="6"/>
      <c r="AI115" t="str">
        <f>IF(AI4&lt;&gt;"",HYPERLINK("https://echa.europa.eu/search-for-chemicals?search_criteria_ecnumber=" &amp; AI4,"ECHA"),"")</f>
        <v/>
      </c>
    </row>
    <row r="116" spans="1:35" ht="15" customHeight="1" x14ac:dyDescent="0.25">
      <c r="A116" s="4" t="str">
        <f t="shared" si="20"/>
        <v/>
      </c>
      <c r="B116" s="4"/>
      <c r="C116" s="4"/>
      <c r="D116" s="5" t="str">
        <f t="shared" si="19"/>
        <v/>
      </c>
      <c r="E116" s="4"/>
      <c r="F116" s="4"/>
      <c r="G116" s="4"/>
      <c r="H116" s="4"/>
      <c r="I116" s="4" t="str">
        <f>IFERROR(INDEX(DB!$C$2:$C$2267,MATCH(UPPER(TRIM($H114)),DB!$B$2:$B$2267,0)),IFERROR(INDEX(DB!$C$2:$C$2267,MATCH(UPPER(TRIM($H114)),DB!$J$2:$J$2267,0)),""))</f>
        <v/>
      </c>
      <c r="J116" s="4" t="str">
        <f>IF(H114="","",IFERROR(INDEX(DB!$B$2:$U$2267,MATCH(UPPER(TRIM($H114)),DB!$B$2:$B$2267,0),3),IFERROR(INDEX(DB!$B$2:$U$2267,MATCH(UPPER(TRIM($H114)),DB!$J$2:$J$2267,0),3),"")))</f>
        <v/>
      </c>
      <c r="K116" s="4" t="str">
        <f>IF(H114="","",IFERROR(INDEX(DB!$B$2:$U$2267,MATCH(UPPER(TRIM($H114)),DB!$B$2:$B$2267,0),4),IFERROR(INDEX(DB!$B$2:$U$2267,MATCH(UPPER(TRIM($H114)),DB!$J$2:$J$2267,0),4),"")))</f>
        <v/>
      </c>
      <c r="L116" s="4" t="str">
        <f>IF(H114="","",IFERROR(INDEX(DB!$B$2:$U$2267,MATCH(UPPER(TRIM($H114)),DB!$B$2:$B$2267,0),5),IFERROR(INDEX(DB!$B$2:$U$2267,MATCH(UPPER(TRIM($H114)),DB!$J$2:$J$2267,0),5),"")))</f>
        <v/>
      </c>
      <c r="M116" s="4" t="str">
        <f>IF(H114="","",IFERROR(INDEX(DB!$B$2:$U$2267,MATCH(UPPER(TRIM($H114)),DB!$B$2:$B$2267,0),6),IFERROR(INDEX(DB!$B$2:$U$2267,MATCH(UPPER(TRIM($H114)),DB!$J$2:$J$2267,0),6),"")))</f>
        <v/>
      </c>
      <c r="N116" s="4" t="str">
        <f>IF(H116="","",IFERROR(INDEX(DB!$B$2:$U$1713,MATCH(UPPER(TRIM(H116)),DB!$B$2:$B$1713,0),7),IFERROR(INDEX(DB!$B$2:$U$1713,MATCH(UPPER(TRIM(H116)),DB!$J$2:$J$1713,0),7),"")))</f>
        <v/>
      </c>
      <c r="O116" s="4"/>
      <c r="P116" s="4"/>
      <c r="Q116" s="4"/>
      <c r="R116" s="4"/>
      <c r="S116" s="4"/>
      <c r="T116" s="4"/>
      <c r="U116" s="4"/>
      <c r="V116" s="4" t="str">
        <f t="shared" si="21"/>
        <v/>
      </c>
      <c r="W116" s="4"/>
      <c r="X116" s="4" t="str">
        <f t="shared" si="22"/>
        <v/>
      </c>
      <c r="Y116" s="4" t="str">
        <f t="shared" si="24"/>
        <v/>
      </c>
      <c r="Z116" s="4" t="str">
        <f t="shared" si="23"/>
        <v/>
      </c>
      <c r="AA116" s="4"/>
      <c r="AB116" s="4"/>
      <c r="AC116" s="4"/>
      <c r="AD116" s="4" t="str">
        <f>IF(H116="","",IFERROR(INDEX(DB!$B$2:$U$1713,MATCH(UPPER(TRIM(H116)),DB!$B$2:$B$1713,0),8),IFERROR(INDEX(DB!$B$2:$U$1713,MATCH(UPPER(TRIM(H116)),DB!$J$2:$J$1713,0),8),"")))</f>
        <v/>
      </c>
      <c r="AE116" s="4"/>
      <c r="AF116" s="4"/>
      <c r="AG116" s="4"/>
      <c r="AI116" t="str">
        <f>IF(AI4&lt;&gt;"",HYPERLINK("https://echa.europa.eu/search-for-chemicals?search_criteria_ecnumber=" &amp; AI4,"ECHA"),"")</f>
        <v/>
      </c>
    </row>
    <row r="117" spans="1:35" ht="15" customHeight="1" x14ac:dyDescent="0.25">
      <c r="A117" s="6" t="str">
        <f t="shared" si="20"/>
        <v/>
      </c>
      <c r="B117" s="6"/>
      <c r="C117" s="6"/>
      <c r="D117" s="7" t="str">
        <f t="shared" si="19"/>
        <v/>
      </c>
      <c r="E117" s="6"/>
      <c r="F117" s="6"/>
      <c r="G117" s="6"/>
      <c r="H117" s="6"/>
      <c r="I117" s="6" t="str">
        <f>IFERROR(INDEX(DB!$C$2:$C$2267,MATCH(UPPER(TRIM($H115)),DB!$B$2:$B$2267,0)),IFERROR(INDEX(DB!$C$2:$C$2267,MATCH(UPPER(TRIM($H115)),DB!$J$2:$J$2267,0)),""))</f>
        <v/>
      </c>
      <c r="J117" s="6" t="str">
        <f>IF(H115="","",IFERROR(INDEX(DB!$B$2:$U$2267,MATCH(UPPER(TRIM($H115)),DB!$B$2:$B$2267,0),3),IFERROR(INDEX(DB!$B$2:$U$2267,MATCH(UPPER(TRIM($H115)),DB!$J$2:$J$2267,0),3),"")))</f>
        <v/>
      </c>
      <c r="K117" s="6" t="str">
        <f>IF(H115="","",IFERROR(INDEX(DB!$B$2:$U$2267,MATCH(UPPER(TRIM($H115)),DB!$B$2:$B$2267,0),4),IFERROR(INDEX(DB!$B$2:$U$2267,MATCH(UPPER(TRIM($H115)),DB!$J$2:$J$2267,0),4),"")))</f>
        <v/>
      </c>
      <c r="L117" s="6" t="str">
        <f>IF(H115="","",IFERROR(INDEX(DB!$B$2:$U$2267,MATCH(UPPER(TRIM($H115)),DB!$B$2:$B$2267,0),5),IFERROR(INDEX(DB!$B$2:$U$2267,MATCH(UPPER(TRIM($H115)),DB!$J$2:$J$2267,0),5),"")))</f>
        <v/>
      </c>
      <c r="M117" s="6" t="str">
        <f>IF(H115="","",IFERROR(INDEX(DB!$B$2:$U$2267,MATCH(UPPER(TRIM($H115)),DB!$B$2:$B$2267,0),6),IFERROR(INDEX(DB!$B$2:$U$2267,MATCH(UPPER(TRIM($H115)),DB!$J$2:$J$2267,0),6),"")))</f>
        <v/>
      </c>
      <c r="N117" s="6" t="str">
        <f>IF(H117="","",IFERROR(INDEX(DB!$B$2:$U$1713,MATCH(UPPER(TRIM(H117)),DB!$B$2:$B$1713,0),7),IFERROR(INDEX(DB!$B$2:$U$1713,MATCH(UPPER(TRIM(H117)),DB!$J$2:$J$1713,0),7),"")))</f>
        <v/>
      </c>
      <c r="O117" s="6"/>
      <c r="P117" s="6"/>
      <c r="Q117" s="6"/>
      <c r="R117" s="6"/>
      <c r="S117" s="6"/>
      <c r="T117" s="6"/>
      <c r="U117" s="6"/>
      <c r="V117" s="6" t="str">
        <f t="shared" si="21"/>
        <v/>
      </c>
      <c r="W117" s="6"/>
      <c r="X117" s="6" t="str">
        <f t="shared" si="22"/>
        <v/>
      </c>
      <c r="Y117" s="6" t="str">
        <f t="shared" si="24"/>
        <v/>
      </c>
      <c r="Z117" s="6" t="str">
        <f t="shared" si="23"/>
        <v/>
      </c>
      <c r="AA117" s="6"/>
      <c r="AB117" s="6"/>
      <c r="AC117" s="6"/>
      <c r="AD117" s="6" t="str">
        <f>IF(H117="","",IFERROR(INDEX(DB!$B$2:$U$1713,MATCH(UPPER(TRIM(H117)),DB!$B$2:$B$1713,0),8),IFERROR(INDEX(DB!$B$2:$U$1713,MATCH(UPPER(TRIM(H117)),DB!$J$2:$J$1713,0),8),"")))</f>
        <v/>
      </c>
      <c r="AE117" s="6"/>
      <c r="AF117" s="6"/>
      <c r="AG117" s="6"/>
      <c r="AI117" t="str">
        <f>IF(AI4&lt;&gt;"",HYPERLINK("https://echa.europa.eu/search-for-chemicals?search_criteria_ecnumber=" &amp; AI4,"ECHA"),"")</f>
        <v/>
      </c>
    </row>
    <row r="118" spans="1:35" ht="15" customHeight="1" x14ac:dyDescent="0.25">
      <c r="A118" s="4" t="str">
        <f t="shared" si="20"/>
        <v/>
      </c>
      <c r="B118" s="4"/>
      <c r="C118" s="4"/>
      <c r="D118" s="5" t="str">
        <f t="shared" si="19"/>
        <v/>
      </c>
      <c r="E118" s="4"/>
      <c r="F118" s="4"/>
      <c r="G118" s="4"/>
      <c r="H118" s="4"/>
      <c r="I118" s="4" t="str">
        <f>IFERROR(INDEX(DB!$C$2:$C$2267,MATCH(UPPER(TRIM($H116)),DB!$B$2:$B$2267,0)),IFERROR(INDEX(DB!$C$2:$C$2267,MATCH(UPPER(TRIM($H116)),DB!$J$2:$J$2267,0)),""))</f>
        <v/>
      </c>
      <c r="J118" s="4" t="str">
        <f>IF(H116="","",IFERROR(INDEX(DB!$B$2:$U$2267,MATCH(UPPER(TRIM($H116)),DB!$B$2:$B$2267,0),3),IFERROR(INDEX(DB!$B$2:$U$2267,MATCH(UPPER(TRIM($H116)),DB!$J$2:$J$2267,0),3),"")))</f>
        <v/>
      </c>
      <c r="K118" s="4" t="str">
        <f>IF(H116="","",IFERROR(INDEX(DB!$B$2:$U$2267,MATCH(UPPER(TRIM($H116)),DB!$B$2:$B$2267,0),4),IFERROR(INDEX(DB!$B$2:$U$2267,MATCH(UPPER(TRIM($H116)),DB!$J$2:$J$2267,0),4),"")))</f>
        <v/>
      </c>
      <c r="L118" s="4" t="str">
        <f>IF(H116="","",IFERROR(INDEX(DB!$B$2:$U$2267,MATCH(UPPER(TRIM($H116)),DB!$B$2:$B$2267,0),5),IFERROR(INDEX(DB!$B$2:$U$2267,MATCH(UPPER(TRIM($H116)),DB!$J$2:$J$2267,0),5),"")))</f>
        <v/>
      </c>
      <c r="M118" s="4" t="str">
        <f>IF(H116="","",IFERROR(INDEX(DB!$B$2:$U$2267,MATCH(UPPER(TRIM($H116)),DB!$B$2:$B$2267,0),6),IFERROR(INDEX(DB!$B$2:$U$2267,MATCH(UPPER(TRIM($H116)),DB!$J$2:$J$2267,0),6),"")))</f>
        <v/>
      </c>
      <c r="N118" s="4" t="str">
        <f>IF(H118="","",IFERROR(INDEX(DB!$B$2:$U$1713,MATCH(UPPER(TRIM(H118)),DB!$B$2:$B$1713,0),7),IFERROR(INDEX(DB!$B$2:$U$1713,MATCH(UPPER(TRIM(H118)),DB!$J$2:$J$1713,0),7),"")))</f>
        <v/>
      </c>
      <c r="O118" s="4"/>
      <c r="P118" s="4"/>
      <c r="Q118" s="4"/>
      <c r="R118" s="4"/>
      <c r="S118" s="4"/>
      <c r="T118" s="4"/>
      <c r="U118" s="4"/>
      <c r="V118" s="4" t="str">
        <f t="shared" si="21"/>
        <v/>
      </c>
      <c r="W118" s="4"/>
      <c r="X118" s="4" t="str">
        <f t="shared" si="22"/>
        <v/>
      </c>
      <c r="Y118" s="4" t="str">
        <f t="shared" si="24"/>
        <v/>
      </c>
      <c r="Z118" s="4" t="str">
        <f t="shared" si="23"/>
        <v/>
      </c>
      <c r="AA118" s="4"/>
      <c r="AB118" s="4"/>
      <c r="AC118" s="4"/>
      <c r="AD118" s="4" t="str">
        <f>IF(H118="","",IFERROR(INDEX(DB!$B$2:$U$1713,MATCH(UPPER(TRIM(H118)),DB!$B$2:$B$1713,0),8),IFERROR(INDEX(DB!$B$2:$U$1713,MATCH(UPPER(TRIM(H118)),DB!$J$2:$J$1713,0),8),"")))</f>
        <v/>
      </c>
      <c r="AE118" s="4"/>
      <c r="AF118" s="4"/>
      <c r="AG118" s="4"/>
      <c r="AI118" t="str">
        <f>IF(AI4&lt;&gt;"",HYPERLINK("https://echa.europa.eu/search-for-chemicals?search_criteria_ecnumber=" &amp; AI4,"ECHA"),"")</f>
        <v/>
      </c>
    </row>
    <row r="119" spans="1:35" ht="15" customHeight="1" x14ac:dyDescent="0.25">
      <c r="A119" s="6" t="str">
        <f t="shared" si="20"/>
        <v/>
      </c>
      <c r="B119" s="6"/>
      <c r="C119" s="6"/>
      <c r="D119" s="7" t="str">
        <f t="shared" si="19"/>
        <v/>
      </c>
      <c r="E119" s="6"/>
      <c r="F119" s="6"/>
      <c r="G119" s="6"/>
      <c r="H119" s="6"/>
      <c r="I119" s="6" t="str">
        <f>IFERROR(INDEX(DB!$C$2:$C$2267,MATCH(UPPER(TRIM($H117)),DB!$B$2:$B$2267,0)),IFERROR(INDEX(DB!$C$2:$C$2267,MATCH(UPPER(TRIM($H117)),DB!$J$2:$J$2267,0)),""))</f>
        <v/>
      </c>
      <c r="J119" s="6" t="str">
        <f>IF(H117="","",IFERROR(INDEX(DB!$B$2:$U$2267,MATCH(UPPER(TRIM($H117)),DB!$B$2:$B$2267,0),3),IFERROR(INDEX(DB!$B$2:$U$2267,MATCH(UPPER(TRIM($H117)),DB!$J$2:$J$2267,0),3),"")))</f>
        <v/>
      </c>
      <c r="K119" s="6" t="str">
        <f>IF(H117="","",IFERROR(INDEX(DB!$B$2:$U$2267,MATCH(UPPER(TRIM($H117)),DB!$B$2:$B$2267,0),4),IFERROR(INDEX(DB!$B$2:$U$2267,MATCH(UPPER(TRIM($H117)),DB!$J$2:$J$2267,0),4),"")))</f>
        <v/>
      </c>
      <c r="L119" s="6" t="str">
        <f>IF(H117="","",IFERROR(INDEX(DB!$B$2:$U$2267,MATCH(UPPER(TRIM($H117)),DB!$B$2:$B$2267,0),5),IFERROR(INDEX(DB!$B$2:$U$2267,MATCH(UPPER(TRIM($H117)),DB!$J$2:$J$2267,0),5),"")))</f>
        <v/>
      </c>
      <c r="M119" s="6" t="str">
        <f>IF(H117="","",IFERROR(INDEX(DB!$B$2:$U$2267,MATCH(UPPER(TRIM($H117)),DB!$B$2:$B$2267,0),6),IFERROR(INDEX(DB!$B$2:$U$2267,MATCH(UPPER(TRIM($H117)),DB!$J$2:$J$2267,0),6),"")))</f>
        <v/>
      </c>
      <c r="N119" s="6" t="str">
        <f>IF(H119="","",IFERROR(INDEX(DB!$B$2:$U$1713,MATCH(UPPER(TRIM(H119)),DB!$B$2:$B$1713,0),7),IFERROR(INDEX(DB!$B$2:$U$1713,MATCH(UPPER(TRIM(H119)),DB!$J$2:$J$1713,0),7),"")))</f>
        <v/>
      </c>
      <c r="O119" s="6"/>
      <c r="P119" s="6"/>
      <c r="Q119" s="6"/>
      <c r="R119" s="6"/>
      <c r="S119" s="6"/>
      <c r="T119" s="6"/>
      <c r="U119" s="6"/>
      <c r="V119" s="6" t="str">
        <f t="shared" si="21"/>
        <v/>
      </c>
      <c r="W119" s="6"/>
      <c r="X119" s="6" t="str">
        <f t="shared" si="22"/>
        <v/>
      </c>
      <c r="Y119" s="6" t="str">
        <f t="shared" si="24"/>
        <v/>
      </c>
      <c r="Z119" s="6" t="str">
        <f t="shared" si="23"/>
        <v/>
      </c>
      <c r="AA119" s="6"/>
      <c r="AB119" s="6"/>
      <c r="AC119" s="6"/>
      <c r="AD119" s="6" t="str">
        <f>IF(H119="","",IFERROR(INDEX(DB!$B$2:$U$1713,MATCH(UPPER(TRIM(H119)),DB!$B$2:$B$1713,0),8),IFERROR(INDEX(DB!$B$2:$U$1713,MATCH(UPPER(TRIM(H119)),DB!$J$2:$J$1713,0),8),"")))</f>
        <v/>
      </c>
      <c r="AE119" s="6"/>
      <c r="AF119" s="6"/>
      <c r="AG119" s="6"/>
      <c r="AI119" t="str">
        <f>IF(AI4&lt;&gt;"",HYPERLINK("https://echa.europa.eu/search-for-chemicals?search_criteria_ecnumber=" &amp; AI4,"ECHA"),"")</f>
        <v/>
      </c>
    </row>
    <row r="120" spans="1:35" ht="15" customHeight="1" x14ac:dyDescent="0.25">
      <c r="A120" s="4" t="str">
        <f t="shared" si="20"/>
        <v/>
      </c>
      <c r="B120" s="4"/>
      <c r="C120" s="4"/>
      <c r="D120" s="5" t="str">
        <f t="shared" ref="D120:D151" si="25">IF(B118="","",B118+365)</f>
        <v/>
      </c>
      <c r="E120" s="4"/>
      <c r="F120" s="4"/>
      <c r="G120" s="4"/>
      <c r="H120" s="4"/>
      <c r="I120" s="4" t="str">
        <f>IFERROR(INDEX(DB!$C$2:$C$2267,MATCH(UPPER(TRIM($H118)),DB!$B$2:$B$2267,0)),IFERROR(INDEX(DB!$C$2:$C$2267,MATCH(UPPER(TRIM($H118)),DB!$J$2:$J$2267,0)),""))</f>
        <v/>
      </c>
      <c r="J120" s="4" t="str">
        <f>IF(H118="","",IFERROR(INDEX(DB!$B$2:$U$2267,MATCH(UPPER(TRIM($H118)),DB!$B$2:$B$2267,0),3),IFERROR(INDEX(DB!$B$2:$U$2267,MATCH(UPPER(TRIM($H118)),DB!$J$2:$J$2267,0),3),"")))</f>
        <v/>
      </c>
      <c r="K120" s="4" t="str">
        <f>IF(H118="","",IFERROR(INDEX(DB!$B$2:$U$2267,MATCH(UPPER(TRIM($H118)),DB!$B$2:$B$2267,0),4),IFERROR(INDEX(DB!$B$2:$U$2267,MATCH(UPPER(TRIM($H118)),DB!$J$2:$J$2267,0),4),"")))</f>
        <v/>
      </c>
      <c r="L120" s="4" t="str">
        <f>IF(H118="","",IFERROR(INDEX(DB!$B$2:$U$2267,MATCH(UPPER(TRIM($H118)),DB!$B$2:$B$2267,0),5),IFERROR(INDEX(DB!$B$2:$U$2267,MATCH(UPPER(TRIM($H118)),DB!$J$2:$J$2267,0),5),"")))</f>
        <v/>
      </c>
      <c r="M120" s="4" t="str">
        <f>IF(H118="","",IFERROR(INDEX(DB!$B$2:$U$2267,MATCH(UPPER(TRIM($H118)),DB!$B$2:$B$2267,0),6),IFERROR(INDEX(DB!$B$2:$U$2267,MATCH(UPPER(TRIM($H118)),DB!$J$2:$J$2267,0),6),"")))</f>
        <v/>
      </c>
      <c r="N120" s="4" t="str">
        <f>IF(H120="","",IFERROR(INDEX(DB!$B$2:$U$1713,MATCH(UPPER(TRIM(H120)),DB!$B$2:$B$1713,0),7),IFERROR(INDEX(DB!$B$2:$U$1713,MATCH(UPPER(TRIM(H120)),DB!$J$2:$J$1713,0),7),"")))</f>
        <v/>
      </c>
      <c r="O120" s="4"/>
      <c r="P120" s="4"/>
      <c r="Q120" s="4"/>
      <c r="R120" s="4"/>
      <c r="S120" s="4"/>
      <c r="T120" s="4"/>
      <c r="U120" s="4"/>
      <c r="V120" s="4" t="str">
        <f t="shared" si="21"/>
        <v/>
      </c>
      <c r="W120" s="4"/>
      <c r="X120" s="4" t="str">
        <f t="shared" si="22"/>
        <v/>
      </c>
      <c r="Y120" s="4" t="str">
        <f t="shared" si="24"/>
        <v/>
      </c>
      <c r="Z120" s="4" t="str">
        <f t="shared" si="23"/>
        <v/>
      </c>
      <c r="AA120" s="4"/>
      <c r="AB120" s="4"/>
      <c r="AC120" s="4"/>
      <c r="AD120" s="4" t="str">
        <f>IF(H120="","",IFERROR(INDEX(DB!$B$2:$U$1713,MATCH(UPPER(TRIM(H120)),DB!$B$2:$B$1713,0),8),IFERROR(INDEX(DB!$B$2:$U$1713,MATCH(UPPER(TRIM(H120)),DB!$J$2:$J$1713,0),8),"")))</f>
        <v/>
      </c>
      <c r="AE120" s="4"/>
      <c r="AF120" s="4"/>
      <c r="AG120" s="4"/>
      <c r="AI120" t="str">
        <f>IF(AI4&lt;&gt;"",HYPERLINK("https://echa.europa.eu/search-for-chemicals?search_criteria_ecnumber=" &amp; AI4,"ECHA"),"")</f>
        <v/>
      </c>
    </row>
    <row r="121" spans="1:35" ht="15" customHeight="1" x14ac:dyDescent="0.25">
      <c r="A121" s="6" t="str">
        <f t="shared" si="20"/>
        <v/>
      </c>
      <c r="B121" s="6"/>
      <c r="C121" s="6"/>
      <c r="D121" s="7" t="str">
        <f t="shared" si="25"/>
        <v/>
      </c>
      <c r="E121" s="6"/>
      <c r="F121" s="6"/>
      <c r="G121" s="6"/>
      <c r="H121" s="6"/>
      <c r="I121" s="6" t="str">
        <f>IFERROR(INDEX(DB!$C$2:$C$2267,MATCH(UPPER(TRIM($H119)),DB!$B$2:$B$2267,0)),IFERROR(INDEX(DB!$C$2:$C$2267,MATCH(UPPER(TRIM($H119)),DB!$J$2:$J$2267,0)),""))</f>
        <v/>
      </c>
      <c r="J121" s="6" t="str">
        <f>IF(H119="","",IFERROR(INDEX(DB!$B$2:$U$2267,MATCH(UPPER(TRIM($H119)),DB!$B$2:$B$2267,0),3),IFERROR(INDEX(DB!$B$2:$U$2267,MATCH(UPPER(TRIM($H119)),DB!$J$2:$J$2267,0),3),"")))</f>
        <v/>
      </c>
      <c r="K121" s="6" t="str">
        <f>IF(H119="","",IFERROR(INDEX(DB!$B$2:$U$2267,MATCH(UPPER(TRIM($H119)),DB!$B$2:$B$2267,0),4),IFERROR(INDEX(DB!$B$2:$U$2267,MATCH(UPPER(TRIM($H119)),DB!$J$2:$J$2267,0),4),"")))</f>
        <v/>
      </c>
      <c r="L121" s="6" t="str">
        <f>IF(H119="","",IFERROR(INDEX(DB!$B$2:$U$2267,MATCH(UPPER(TRIM($H119)),DB!$B$2:$B$2267,0),5),IFERROR(INDEX(DB!$B$2:$U$2267,MATCH(UPPER(TRIM($H119)),DB!$J$2:$J$2267,0),5),"")))</f>
        <v/>
      </c>
      <c r="M121" s="6" t="str">
        <f>IF(H119="","",IFERROR(INDEX(DB!$B$2:$U$2267,MATCH(UPPER(TRIM($H119)),DB!$B$2:$B$2267,0),6),IFERROR(INDEX(DB!$B$2:$U$2267,MATCH(UPPER(TRIM($H119)),DB!$J$2:$J$2267,0),6),"")))</f>
        <v/>
      </c>
      <c r="N121" s="6" t="str">
        <f>IF(H121="","",IFERROR(INDEX(DB!$B$2:$U$1713,MATCH(UPPER(TRIM(H121)),DB!$B$2:$B$1713,0),7),IFERROR(INDEX(DB!$B$2:$U$1713,MATCH(UPPER(TRIM(H121)),DB!$J$2:$J$1713,0),7),"")))</f>
        <v/>
      </c>
      <c r="O121" s="6"/>
      <c r="P121" s="6"/>
      <c r="Q121" s="6"/>
      <c r="R121" s="6"/>
      <c r="S121" s="6"/>
      <c r="T121" s="6"/>
      <c r="U121" s="6"/>
      <c r="V121" s="6" t="str">
        <f t="shared" si="21"/>
        <v/>
      </c>
      <c r="W121" s="6"/>
      <c r="X121" s="6" t="str">
        <f t="shared" si="22"/>
        <v/>
      </c>
      <c r="Y121" s="6" t="str">
        <f t="shared" si="24"/>
        <v/>
      </c>
      <c r="Z121" s="6" t="str">
        <f t="shared" si="23"/>
        <v/>
      </c>
      <c r="AA121" s="6"/>
      <c r="AB121" s="6"/>
      <c r="AC121" s="6"/>
      <c r="AD121" s="6" t="str">
        <f>IF(H121="","",IFERROR(INDEX(DB!$B$2:$U$1713,MATCH(UPPER(TRIM(H121)),DB!$B$2:$B$1713,0),8),IFERROR(INDEX(DB!$B$2:$U$1713,MATCH(UPPER(TRIM(H121)),DB!$J$2:$J$1713,0),8),"")))</f>
        <v/>
      </c>
      <c r="AE121" s="6"/>
      <c r="AF121" s="6"/>
      <c r="AG121" s="6"/>
      <c r="AI121" t="str">
        <f>IF(AI4&lt;&gt;"",HYPERLINK("https://echa.europa.eu/search-for-chemicals?search_criteria_ecnumber=" &amp; AI4,"ECHA"),"")</f>
        <v/>
      </c>
    </row>
    <row r="122" spans="1:35" ht="15" customHeight="1" x14ac:dyDescent="0.25">
      <c r="A122" s="4" t="str">
        <f t="shared" si="20"/>
        <v/>
      </c>
      <c r="B122" s="4"/>
      <c r="C122" s="4"/>
      <c r="D122" s="5" t="str">
        <f t="shared" si="25"/>
        <v/>
      </c>
      <c r="E122" s="4"/>
      <c r="F122" s="4"/>
      <c r="G122" s="4"/>
      <c r="H122" s="4"/>
      <c r="I122" s="4" t="str">
        <f>IFERROR(INDEX(DB!$C$2:$C$2267,MATCH(UPPER(TRIM($H120)),DB!$B$2:$B$2267,0)),IFERROR(INDEX(DB!$C$2:$C$2267,MATCH(UPPER(TRIM($H120)),DB!$J$2:$J$2267,0)),""))</f>
        <v/>
      </c>
      <c r="J122" s="4" t="str">
        <f>IF(H120="","",IFERROR(INDEX(DB!$B$2:$U$2267,MATCH(UPPER(TRIM($H120)),DB!$B$2:$B$2267,0),3),IFERROR(INDEX(DB!$B$2:$U$2267,MATCH(UPPER(TRIM($H120)),DB!$J$2:$J$2267,0),3),"")))</f>
        <v/>
      </c>
      <c r="K122" s="4" t="str">
        <f>IF(H120="","",IFERROR(INDEX(DB!$B$2:$U$2267,MATCH(UPPER(TRIM($H120)),DB!$B$2:$B$2267,0),4),IFERROR(INDEX(DB!$B$2:$U$2267,MATCH(UPPER(TRIM($H120)),DB!$J$2:$J$2267,0),4),"")))</f>
        <v/>
      </c>
      <c r="L122" s="4" t="str">
        <f>IF(H120="","",IFERROR(INDEX(DB!$B$2:$U$2267,MATCH(UPPER(TRIM($H120)),DB!$B$2:$B$2267,0),5),IFERROR(INDEX(DB!$B$2:$U$2267,MATCH(UPPER(TRIM($H120)),DB!$J$2:$J$2267,0),5),"")))</f>
        <v/>
      </c>
      <c r="M122" s="4" t="str">
        <f>IF(H120="","",IFERROR(INDEX(DB!$B$2:$U$2267,MATCH(UPPER(TRIM($H120)),DB!$B$2:$B$2267,0),6),IFERROR(INDEX(DB!$B$2:$U$2267,MATCH(UPPER(TRIM($H120)),DB!$J$2:$J$2267,0),6),"")))</f>
        <v/>
      </c>
      <c r="N122" s="4" t="str">
        <f>IF(H122="","",IFERROR(INDEX(DB!$B$2:$U$1713,MATCH(UPPER(TRIM(H122)),DB!$B$2:$B$1713,0),7),IFERROR(INDEX(DB!$B$2:$U$1713,MATCH(UPPER(TRIM(H122)),DB!$J$2:$J$1713,0),7),"")))</f>
        <v/>
      </c>
      <c r="O122" s="4"/>
      <c r="P122" s="4"/>
      <c r="Q122" s="4"/>
      <c r="R122" s="4"/>
      <c r="S122" s="4"/>
      <c r="T122" s="4"/>
      <c r="U122" s="4"/>
      <c r="V122" s="4" t="str">
        <f t="shared" si="21"/>
        <v/>
      </c>
      <c r="W122" s="4"/>
      <c r="X122" s="4" t="str">
        <f t="shared" si="22"/>
        <v/>
      </c>
      <c r="Y122" s="4" t="str">
        <f t="shared" si="24"/>
        <v/>
      </c>
      <c r="Z122" s="4" t="str">
        <f t="shared" si="23"/>
        <v/>
      </c>
      <c r="AA122" s="4"/>
      <c r="AB122" s="4"/>
      <c r="AC122" s="4"/>
      <c r="AD122" s="4" t="str">
        <f>IF(H122="","",IFERROR(INDEX(DB!$B$2:$U$1713,MATCH(UPPER(TRIM(H122)),DB!$B$2:$B$1713,0),8),IFERROR(INDEX(DB!$B$2:$U$1713,MATCH(UPPER(TRIM(H122)),DB!$J$2:$J$1713,0),8),"")))</f>
        <v/>
      </c>
      <c r="AE122" s="4"/>
      <c r="AF122" s="4"/>
      <c r="AG122" s="4"/>
      <c r="AI122" t="str">
        <f>IF(AI4&lt;&gt;"",HYPERLINK("https://echa.europa.eu/search-for-chemicals?search_criteria_ecnumber=" &amp; AI4,"ECHA"),"")</f>
        <v/>
      </c>
    </row>
    <row r="123" spans="1:35" ht="15" customHeight="1" x14ac:dyDescent="0.25">
      <c r="A123" s="6" t="str">
        <f t="shared" si="20"/>
        <v/>
      </c>
      <c r="B123" s="6"/>
      <c r="C123" s="6"/>
      <c r="D123" s="7" t="str">
        <f t="shared" si="25"/>
        <v/>
      </c>
      <c r="E123" s="6"/>
      <c r="F123" s="6"/>
      <c r="G123" s="6"/>
      <c r="H123" s="6"/>
      <c r="I123" s="6" t="str">
        <f>IFERROR(INDEX(DB!$C$2:$C$2267,MATCH(UPPER(TRIM($H121)),DB!$B$2:$B$2267,0)),IFERROR(INDEX(DB!$C$2:$C$2267,MATCH(UPPER(TRIM($H121)),DB!$J$2:$J$2267,0)),""))</f>
        <v/>
      </c>
      <c r="J123" s="6" t="str">
        <f>IF(H121="","",IFERROR(INDEX(DB!$B$2:$U$2267,MATCH(UPPER(TRIM($H121)),DB!$B$2:$B$2267,0),3),IFERROR(INDEX(DB!$B$2:$U$2267,MATCH(UPPER(TRIM($H121)),DB!$J$2:$J$2267,0),3),"")))</f>
        <v/>
      </c>
      <c r="K123" s="6" t="str">
        <f>IF(H121="","",IFERROR(INDEX(DB!$B$2:$U$2267,MATCH(UPPER(TRIM($H121)),DB!$B$2:$B$2267,0),4),IFERROR(INDEX(DB!$B$2:$U$2267,MATCH(UPPER(TRIM($H121)),DB!$J$2:$J$2267,0),4),"")))</f>
        <v/>
      </c>
      <c r="L123" s="6" t="str">
        <f>IF(H121="","",IFERROR(INDEX(DB!$B$2:$U$2267,MATCH(UPPER(TRIM($H121)),DB!$B$2:$B$2267,0),5),IFERROR(INDEX(DB!$B$2:$U$2267,MATCH(UPPER(TRIM($H121)),DB!$J$2:$J$2267,0),5),"")))</f>
        <v/>
      </c>
      <c r="M123" s="6" t="str">
        <f>IF(H121="","",IFERROR(INDEX(DB!$B$2:$U$2267,MATCH(UPPER(TRIM($H121)),DB!$B$2:$B$2267,0),6),IFERROR(INDEX(DB!$B$2:$U$2267,MATCH(UPPER(TRIM($H121)),DB!$J$2:$J$2267,0),6),"")))</f>
        <v/>
      </c>
      <c r="N123" s="6" t="str">
        <f>IF(H123="","",IFERROR(INDEX(DB!$B$2:$U$1713,MATCH(UPPER(TRIM(H123)),DB!$B$2:$B$1713,0),7),IFERROR(INDEX(DB!$B$2:$U$1713,MATCH(UPPER(TRIM(H123)),DB!$J$2:$J$1713,0),7),"")))</f>
        <v/>
      </c>
      <c r="O123" s="6"/>
      <c r="P123" s="6"/>
      <c r="Q123" s="6"/>
      <c r="R123" s="6"/>
      <c r="S123" s="6"/>
      <c r="T123" s="6"/>
      <c r="U123" s="6"/>
      <c r="V123" s="6" t="str">
        <f t="shared" si="21"/>
        <v/>
      </c>
      <c r="W123" s="6"/>
      <c r="X123" s="6" t="str">
        <f t="shared" si="22"/>
        <v/>
      </c>
      <c r="Y123" s="6" t="str">
        <f t="shared" si="24"/>
        <v/>
      </c>
      <c r="Z123" s="6" t="str">
        <f t="shared" si="23"/>
        <v/>
      </c>
      <c r="AA123" s="6"/>
      <c r="AB123" s="6"/>
      <c r="AC123" s="6"/>
      <c r="AD123" s="6" t="str">
        <f>IF(H123="","",IFERROR(INDEX(DB!$B$2:$U$1713,MATCH(UPPER(TRIM(H123)),DB!$B$2:$B$1713,0),8),IFERROR(INDEX(DB!$B$2:$U$1713,MATCH(UPPER(TRIM(H123)),DB!$J$2:$J$1713,0),8),"")))</f>
        <v/>
      </c>
      <c r="AE123" s="6"/>
      <c r="AF123" s="6"/>
      <c r="AG123" s="6"/>
      <c r="AI123" t="str">
        <f>IF(AI4&lt;&gt;"",HYPERLINK("https://echa.europa.eu/search-for-chemicals?search_criteria_ecnumber=" &amp; AI4,"ECHA"),"")</f>
        <v/>
      </c>
    </row>
    <row r="124" spans="1:35" ht="15" customHeight="1" x14ac:dyDescent="0.25">
      <c r="A124" s="4" t="str">
        <f t="shared" si="20"/>
        <v/>
      </c>
      <c r="B124" s="4"/>
      <c r="C124" s="4"/>
      <c r="D124" s="5" t="str">
        <f t="shared" si="25"/>
        <v/>
      </c>
      <c r="E124" s="4"/>
      <c r="F124" s="4"/>
      <c r="G124" s="4"/>
      <c r="H124" s="4"/>
      <c r="I124" s="4" t="str">
        <f>IFERROR(INDEX(DB!$C$2:$C$2267,MATCH(UPPER(TRIM($H122)),DB!$B$2:$B$2267,0)),IFERROR(INDEX(DB!$C$2:$C$2267,MATCH(UPPER(TRIM($H122)),DB!$J$2:$J$2267,0)),""))</f>
        <v/>
      </c>
      <c r="J124" s="4" t="str">
        <f>IF(H122="","",IFERROR(INDEX(DB!$B$2:$U$2267,MATCH(UPPER(TRIM($H122)),DB!$B$2:$B$2267,0),3),IFERROR(INDEX(DB!$B$2:$U$2267,MATCH(UPPER(TRIM($H122)),DB!$J$2:$J$2267,0),3),"")))</f>
        <v/>
      </c>
      <c r="K124" s="4" t="str">
        <f>IF(H122="","",IFERROR(INDEX(DB!$B$2:$U$2267,MATCH(UPPER(TRIM($H122)),DB!$B$2:$B$2267,0),4),IFERROR(INDEX(DB!$B$2:$U$2267,MATCH(UPPER(TRIM($H122)),DB!$J$2:$J$2267,0),4),"")))</f>
        <v/>
      </c>
      <c r="L124" s="4" t="str">
        <f>IF(H122="","",IFERROR(INDEX(DB!$B$2:$U$2267,MATCH(UPPER(TRIM($H122)),DB!$B$2:$B$2267,0),5),IFERROR(INDEX(DB!$B$2:$U$2267,MATCH(UPPER(TRIM($H122)),DB!$J$2:$J$2267,0),5),"")))</f>
        <v/>
      </c>
      <c r="M124" s="4" t="str">
        <f>IF(H122="","",IFERROR(INDEX(DB!$B$2:$U$2267,MATCH(UPPER(TRIM($H122)),DB!$B$2:$B$2267,0),6),IFERROR(INDEX(DB!$B$2:$U$2267,MATCH(UPPER(TRIM($H122)),DB!$J$2:$J$2267,0),6),"")))</f>
        <v/>
      </c>
      <c r="N124" s="4" t="str">
        <f>IF(H124="","",IFERROR(INDEX(DB!$B$2:$U$1713,MATCH(UPPER(TRIM(H124)),DB!$B$2:$B$1713,0),7),IFERROR(INDEX(DB!$B$2:$U$1713,MATCH(UPPER(TRIM(H124)),DB!$J$2:$J$1713,0),7),"")))</f>
        <v/>
      </c>
      <c r="O124" s="4"/>
      <c r="P124" s="4"/>
      <c r="Q124" s="4"/>
      <c r="R124" s="4"/>
      <c r="S124" s="4"/>
      <c r="T124" s="4"/>
      <c r="U124" s="4"/>
      <c r="V124" s="4" t="str">
        <f t="shared" si="21"/>
        <v/>
      </c>
      <c r="W124" s="4"/>
      <c r="X124" s="4" t="str">
        <f t="shared" si="22"/>
        <v/>
      </c>
      <c r="Y124" s="4" t="str">
        <f t="shared" si="24"/>
        <v/>
      </c>
      <c r="Z124" s="4" t="str">
        <f t="shared" si="23"/>
        <v/>
      </c>
      <c r="AA124" s="4"/>
      <c r="AB124" s="4"/>
      <c r="AC124" s="4"/>
      <c r="AD124" s="4" t="str">
        <f>IF(H124="","",IFERROR(INDEX(DB!$B$2:$U$1713,MATCH(UPPER(TRIM(H124)),DB!$B$2:$B$1713,0),8),IFERROR(INDEX(DB!$B$2:$U$1713,MATCH(UPPER(TRIM(H124)),DB!$J$2:$J$1713,0),8),"")))</f>
        <v/>
      </c>
      <c r="AE124" s="4"/>
      <c r="AF124" s="4"/>
      <c r="AG124" s="4"/>
      <c r="AI124" t="str">
        <f>IF(AI4&lt;&gt;"",HYPERLINK("https://echa.europa.eu/search-for-chemicals?search_criteria_ecnumber=" &amp; AI4,"ECHA"),"")</f>
        <v/>
      </c>
    </row>
    <row r="125" spans="1:35" ht="15" customHeight="1" x14ac:dyDescent="0.25">
      <c r="A125" s="6" t="str">
        <f t="shared" si="20"/>
        <v/>
      </c>
      <c r="B125" s="6"/>
      <c r="C125" s="6"/>
      <c r="D125" s="7" t="str">
        <f t="shared" si="25"/>
        <v/>
      </c>
      <c r="E125" s="6"/>
      <c r="F125" s="6"/>
      <c r="G125" s="6"/>
      <c r="H125" s="6"/>
      <c r="I125" s="6" t="str">
        <f>IFERROR(INDEX(DB!$C$2:$C$2267,MATCH(UPPER(TRIM($H123)),DB!$B$2:$B$2267,0)),IFERROR(INDEX(DB!$C$2:$C$2267,MATCH(UPPER(TRIM($H123)),DB!$J$2:$J$2267,0)),""))</f>
        <v/>
      </c>
      <c r="J125" s="6" t="str">
        <f>IF(H123="","",IFERROR(INDEX(DB!$B$2:$U$2267,MATCH(UPPER(TRIM($H123)),DB!$B$2:$B$2267,0),3),IFERROR(INDEX(DB!$B$2:$U$2267,MATCH(UPPER(TRIM($H123)),DB!$J$2:$J$2267,0),3),"")))</f>
        <v/>
      </c>
      <c r="K125" s="6" t="str">
        <f>IF(H123="","",IFERROR(INDEX(DB!$B$2:$U$2267,MATCH(UPPER(TRIM($H123)),DB!$B$2:$B$2267,0),4),IFERROR(INDEX(DB!$B$2:$U$2267,MATCH(UPPER(TRIM($H123)),DB!$J$2:$J$2267,0),4),"")))</f>
        <v/>
      </c>
      <c r="L125" s="6" t="str">
        <f>IF(H123="","",IFERROR(INDEX(DB!$B$2:$U$2267,MATCH(UPPER(TRIM($H123)),DB!$B$2:$B$2267,0),5),IFERROR(INDEX(DB!$B$2:$U$2267,MATCH(UPPER(TRIM($H123)),DB!$J$2:$J$2267,0),5),"")))</f>
        <v/>
      </c>
      <c r="M125" s="6" t="str">
        <f>IF(H123="","",IFERROR(INDEX(DB!$B$2:$U$2267,MATCH(UPPER(TRIM($H123)),DB!$B$2:$B$2267,0),6),IFERROR(INDEX(DB!$B$2:$U$2267,MATCH(UPPER(TRIM($H123)),DB!$J$2:$J$2267,0),6),"")))</f>
        <v/>
      </c>
      <c r="N125" s="6" t="str">
        <f>IF(H125="","",IFERROR(INDEX(DB!$B$2:$U$1713,MATCH(UPPER(TRIM(H125)),DB!$B$2:$B$1713,0),7),IFERROR(INDEX(DB!$B$2:$U$1713,MATCH(UPPER(TRIM(H125)),DB!$J$2:$J$1713,0),7),"")))</f>
        <v/>
      </c>
      <c r="O125" s="6"/>
      <c r="P125" s="6"/>
      <c r="Q125" s="6"/>
      <c r="R125" s="6"/>
      <c r="S125" s="6"/>
      <c r="T125" s="6"/>
      <c r="U125" s="6"/>
      <c r="V125" s="6" t="str">
        <f t="shared" si="21"/>
        <v/>
      </c>
      <c r="W125" s="6"/>
      <c r="X125" s="6" t="str">
        <f t="shared" si="22"/>
        <v/>
      </c>
      <c r="Y125" s="6" t="str">
        <f t="shared" si="24"/>
        <v/>
      </c>
      <c r="Z125" s="6" t="str">
        <f t="shared" si="23"/>
        <v/>
      </c>
      <c r="AA125" s="6"/>
      <c r="AB125" s="6"/>
      <c r="AC125" s="6"/>
      <c r="AD125" s="6" t="str">
        <f>IF(H125="","",IFERROR(INDEX(DB!$B$2:$U$1713,MATCH(UPPER(TRIM(H125)),DB!$B$2:$B$1713,0),8),IFERROR(INDEX(DB!$B$2:$U$1713,MATCH(UPPER(TRIM(H125)),DB!$J$2:$J$1713,0),8),"")))</f>
        <v/>
      </c>
      <c r="AE125" s="6"/>
      <c r="AF125" s="6"/>
      <c r="AG125" s="6"/>
      <c r="AI125" t="str">
        <f>IF(AI4&lt;&gt;"",HYPERLINK("https://echa.europa.eu/search-for-chemicals?search_criteria_ecnumber=" &amp; AI4,"ECHA"),"")</f>
        <v/>
      </c>
    </row>
    <row r="126" spans="1:35" ht="15" customHeight="1" x14ac:dyDescent="0.25">
      <c r="A126" s="4" t="str">
        <f t="shared" si="20"/>
        <v/>
      </c>
      <c r="B126" s="4"/>
      <c r="C126" s="4"/>
      <c r="D126" s="5" t="str">
        <f t="shared" si="25"/>
        <v/>
      </c>
      <c r="E126" s="4"/>
      <c r="F126" s="4"/>
      <c r="G126" s="4"/>
      <c r="H126" s="4"/>
      <c r="I126" s="4" t="str">
        <f>IFERROR(INDEX(DB!$C$2:$C$2267,MATCH(UPPER(TRIM($H124)),DB!$B$2:$B$2267,0)),IFERROR(INDEX(DB!$C$2:$C$2267,MATCH(UPPER(TRIM($H124)),DB!$J$2:$J$2267,0)),""))</f>
        <v/>
      </c>
      <c r="J126" s="4" t="str">
        <f>IF(H124="","",IFERROR(INDEX(DB!$B$2:$U$2267,MATCH(UPPER(TRIM($H124)),DB!$B$2:$B$2267,0),3),IFERROR(INDEX(DB!$B$2:$U$2267,MATCH(UPPER(TRIM($H124)),DB!$J$2:$J$2267,0),3),"")))</f>
        <v/>
      </c>
      <c r="K126" s="4" t="str">
        <f>IF(H124="","",IFERROR(INDEX(DB!$B$2:$U$2267,MATCH(UPPER(TRIM($H124)),DB!$B$2:$B$2267,0),4),IFERROR(INDEX(DB!$B$2:$U$2267,MATCH(UPPER(TRIM($H124)),DB!$J$2:$J$2267,0),4),"")))</f>
        <v/>
      </c>
      <c r="L126" s="4" t="str">
        <f>IF(H124="","",IFERROR(INDEX(DB!$B$2:$U$2267,MATCH(UPPER(TRIM($H124)),DB!$B$2:$B$2267,0),5),IFERROR(INDEX(DB!$B$2:$U$2267,MATCH(UPPER(TRIM($H124)),DB!$J$2:$J$2267,0),5),"")))</f>
        <v/>
      </c>
      <c r="M126" s="4" t="str">
        <f>IF(H124="","",IFERROR(INDEX(DB!$B$2:$U$2267,MATCH(UPPER(TRIM($H124)),DB!$B$2:$B$2267,0),6),IFERROR(INDEX(DB!$B$2:$U$2267,MATCH(UPPER(TRIM($H124)),DB!$J$2:$J$2267,0),6),"")))</f>
        <v/>
      </c>
      <c r="N126" s="4" t="str">
        <f>IF(H126="","",IFERROR(INDEX(DB!$B$2:$U$1713,MATCH(UPPER(TRIM(H126)),DB!$B$2:$B$1713,0),7),IFERROR(INDEX(DB!$B$2:$U$1713,MATCH(UPPER(TRIM(H126)),DB!$J$2:$J$1713,0),7),"")))</f>
        <v/>
      </c>
      <c r="O126" s="4"/>
      <c r="P126" s="4"/>
      <c r="Q126" s="4"/>
      <c r="R126" s="4"/>
      <c r="S126" s="4"/>
      <c r="T126" s="4"/>
      <c r="U126" s="4"/>
      <c r="V126" s="4" t="str">
        <f t="shared" si="21"/>
        <v/>
      </c>
      <c r="W126" s="4"/>
      <c r="X126" s="4" t="str">
        <f t="shared" si="22"/>
        <v/>
      </c>
      <c r="Y126" s="4" t="str">
        <f t="shared" si="24"/>
        <v/>
      </c>
      <c r="Z126" s="4" t="str">
        <f t="shared" si="23"/>
        <v/>
      </c>
      <c r="AA126" s="4"/>
      <c r="AB126" s="4"/>
      <c r="AC126" s="4"/>
      <c r="AD126" s="4" t="str">
        <f>IF(H126="","",IFERROR(INDEX(DB!$B$2:$U$1713,MATCH(UPPER(TRIM(H126)),DB!$B$2:$B$1713,0),8),IFERROR(INDEX(DB!$B$2:$U$1713,MATCH(UPPER(TRIM(H126)),DB!$J$2:$J$1713,0),8),"")))</f>
        <v/>
      </c>
      <c r="AE126" s="4"/>
      <c r="AF126" s="4"/>
      <c r="AG126" s="4"/>
      <c r="AI126" t="str">
        <f>IF(AI4&lt;&gt;"",HYPERLINK("https://echa.europa.eu/search-for-chemicals?search_criteria_ecnumber=" &amp; AI4,"ECHA"),"")</f>
        <v/>
      </c>
    </row>
    <row r="127" spans="1:35" ht="15" customHeight="1" x14ac:dyDescent="0.25">
      <c r="A127" s="6" t="str">
        <f t="shared" si="20"/>
        <v/>
      </c>
      <c r="B127" s="6"/>
      <c r="C127" s="6"/>
      <c r="D127" s="7" t="str">
        <f t="shared" si="25"/>
        <v/>
      </c>
      <c r="E127" s="6"/>
      <c r="F127" s="6"/>
      <c r="G127" s="6"/>
      <c r="H127" s="6"/>
      <c r="I127" s="6" t="str">
        <f>IFERROR(INDEX(DB!$C$2:$C$2267,MATCH(UPPER(TRIM($H125)),DB!$B$2:$B$2267,0)),IFERROR(INDEX(DB!$C$2:$C$2267,MATCH(UPPER(TRIM($H125)),DB!$J$2:$J$2267,0)),""))</f>
        <v/>
      </c>
      <c r="J127" s="6" t="str">
        <f>IF(H125="","",IFERROR(INDEX(DB!$B$2:$U$2267,MATCH(UPPER(TRIM($H125)),DB!$B$2:$B$2267,0),3),IFERROR(INDEX(DB!$B$2:$U$2267,MATCH(UPPER(TRIM($H125)),DB!$J$2:$J$2267,0),3),"")))</f>
        <v/>
      </c>
      <c r="K127" s="6" t="str">
        <f>IF(H125="","",IFERROR(INDEX(DB!$B$2:$U$2267,MATCH(UPPER(TRIM($H125)),DB!$B$2:$B$2267,0),4),IFERROR(INDEX(DB!$B$2:$U$2267,MATCH(UPPER(TRIM($H125)),DB!$J$2:$J$2267,0),4),"")))</f>
        <v/>
      </c>
      <c r="L127" s="6" t="str">
        <f>IF(H125="","",IFERROR(INDEX(DB!$B$2:$U$2267,MATCH(UPPER(TRIM($H125)),DB!$B$2:$B$2267,0),5),IFERROR(INDEX(DB!$B$2:$U$2267,MATCH(UPPER(TRIM($H125)),DB!$J$2:$J$2267,0),5),"")))</f>
        <v/>
      </c>
      <c r="M127" s="6" t="str">
        <f>IF(H125="","",IFERROR(INDEX(DB!$B$2:$U$2267,MATCH(UPPER(TRIM($H125)),DB!$B$2:$B$2267,0),6),IFERROR(INDEX(DB!$B$2:$U$2267,MATCH(UPPER(TRIM($H125)),DB!$J$2:$J$2267,0),6),"")))</f>
        <v/>
      </c>
      <c r="N127" s="6" t="str">
        <f>IF(H127="","",IFERROR(INDEX(DB!$B$2:$U$1713,MATCH(UPPER(TRIM(H127)),DB!$B$2:$B$1713,0),7),IFERROR(INDEX(DB!$B$2:$U$1713,MATCH(UPPER(TRIM(H127)),DB!$J$2:$J$1713,0),7),"")))</f>
        <v/>
      </c>
      <c r="O127" s="6"/>
      <c r="P127" s="6"/>
      <c r="Q127" s="6"/>
      <c r="R127" s="6"/>
      <c r="S127" s="6"/>
      <c r="T127" s="6"/>
      <c r="U127" s="6"/>
      <c r="V127" s="6" t="str">
        <f t="shared" si="21"/>
        <v/>
      </c>
      <c r="W127" s="6"/>
      <c r="X127" s="6" t="str">
        <f t="shared" si="22"/>
        <v/>
      </c>
      <c r="Y127" s="6" t="str">
        <f t="shared" si="24"/>
        <v/>
      </c>
      <c r="Z127" s="6" t="str">
        <f t="shared" si="23"/>
        <v/>
      </c>
      <c r="AA127" s="6"/>
      <c r="AB127" s="6"/>
      <c r="AC127" s="6"/>
      <c r="AD127" s="6" t="str">
        <f>IF(H127="","",IFERROR(INDEX(DB!$B$2:$U$1713,MATCH(UPPER(TRIM(H127)),DB!$B$2:$B$1713,0),8),IFERROR(INDEX(DB!$B$2:$U$1713,MATCH(UPPER(TRIM(H127)),DB!$J$2:$J$1713,0),8),"")))</f>
        <v/>
      </c>
      <c r="AE127" s="6"/>
      <c r="AF127" s="6"/>
      <c r="AG127" s="6"/>
      <c r="AI127" t="str">
        <f>IF(AI4&lt;&gt;"",HYPERLINK("https://echa.europa.eu/search-for-chemicals?search_criteria_ecnumber=" &amp; AI4,"ECHA"),"")</f>
        <v/>
      </c>
    </row>
    <row r="128" spans="1:35" ht="15" customHeight="1" x14ac:dyDescent="0.25">
      <c r="A128" s="4" t="str">
        <f t="shared" si="20"/>
        <v/>
      </c>
      <c r="B128" s="4"/>
      <c r="C128" s="4"/>
      <c r="D128" s="5" t="str">
        <f t="shared" si="25"/>
        <v/>
      </c>
      <c r="E128" s="4"/>
      <c r="F128" s="4"/>
      <c r="G128" s="4"/>
      <c r="H128" s="4"/>
      <c r="I128" s="4" t="str">
        <f>IFERROR(INDEX(DB!$C$2:$C$2267,MATCH(UPPER(TRIM($H126)),DB!$B$2:$B$2267,0)),IFERROR(INDEX(DB!$C$2:$C$2267,MATCH(UPPER(TRIM($H126)),DB!$J$2:$J$2267,0)),""))</f>
        <v/>
      </c>
      <c r="J128" s="4" t="str">
        <f>IF(H126="","",IFERROR(INDEX(DB!$B$2:$U$2267,MATCH(UPPER(TRIM($H126)),DB!$B$2:$B$2267,0),3),IFERROR(INDEX(DB!$B$2:$U$2267,MATCH(UPPER(TRIM($H126)),DB!$J$2:$J$2267,0),3),"")))</f>
        <v/>
      </c>
      <c r="K128" s="4" t="str">
        <f>IF(H126="","",IFERROR(INDEX(DB!$B$2:$U$2267,MATCH(UPPER(TRIM($H126)),DB!$B$2:$B$2267,0),4),IFERROR(INDEX(DB!$B$2:$U$2267,MATCH(UPPER(TRIM($H126)),DB!$J$2:$J$2267,0),4),"")))</f>
        <v/>
      </c>
      <c r="L128" s="4" t="str">
        <f>IF(H126="","",IFERROR(INDEX(DB!$B$2:$U$2267,MATCH(UPPER(TRIM($H126)),DB!$B$2:$B$2267,0),5),IFERROR(INDEX(DB!$B$2:$U$2267,MATCH(UPPER(TRIM($H126)),DB!$J$2:$J$2267,0),5),"")))</f>
        <v/>
      </c>
      <c r="M128" s="4" t="str">
        <f>IF(H126="","",IFERROR(INDEX(DB!$B$2:$U$2267,MATCH(UPPER(TRIM($H126)),DB!$B$2:$B$2267,0),6),IFERROR(INDEX(DB!$B$2:$U$2267,MATCH(UPPER(TRIM($H126)),DB!$J$2:$J$2267,0),6),"")))</f>
        <v/>
      </c>
      <c r="N128" s="4" t="str">
        <f>IF(H128="","",IFERROR(INDEX(DB!$B$2:$U$1713,MATCH(UPPER(TRIM(H128)),DB!$B$2:$B$1713,0),7),IFERROR(INDEX(DB!$B$2:$U$1713,MATCH(UPPER(TRIM(H128)),DB!$J$2:$J$1713,0),7),"")))</f>
        <v/>
      </c>
      <c r="O128" s="4"/>
      <c r="P128" s="4"/>
      <c r="Q128" s="4"/>
      <c r="R128" s="4"/>
      <c r="S128" s="4"/>
      <c r="T128" s="4"/>
      <c r="U128" s="4"/>
      <c r="V128" s="4" t="str">
        <f t="shared" si="21"/>
        <v/>
      </c>
      <c r="W128" s="4"/>
      <c r="X128" s="4" t="str">
        <f t="shared" si="22"/>
        <v/>
      </c>
      <c r="Y128" s="4" t="str">
        <f t="shared" si="24"/>
        <v/>
      </c>
      <c r="Z128" s="4" t="str">
        <f t="shared" si="23"/>
        <v/>
      </c>
      <c r="AA128" s="4"/>
      <c r="AB128" s="4"/>
      <c r="AC128" s="4"/>
      <c r="AD128" s="4" t="str">
        <f>IF(H128="","",IFERROR(INDEX(DB!$B$2:$U$1713,MATCH(UPPER(TRIM(H128)),DB!$B$2:$B$1713,0),8),IFERROR(INDEX(DB!$B$2:$U$1713,MATCH(UPPER(TRIM(H128)),DB!$J$2:$J$1713,0),8),"")))</f>
        <v/>
      </c>
      <c r="AE128" s="4"/>
      <c r="AF128" s="4"/>
      <c r="AG128" s="4"/>
      <c r="AI128" t="str">
        <f>IF(AI4&lt;&gt;"",HYPERLINK("https://echa.europa.eu/search-for-chemicals?search_criteria_ecnumber=" &amp; AI4,"ECHA"),"")</f>
        <v/>
      </c>
    </row>
    <row r="129" spans="1:35" ht="15" customHeight="1" x14ac:dyDescent="0.25">
      <c r="A129" s="6" t="str">
        <f t="shared" si="20"/>
        <v/>
      </c>
      <c r="B129" s="6"/>
      <c r="C129" s="6"/>
      <c r="D129" s="7" t="str">
        <f t="shared" si="25"/>
        <v/>
      </c>
      <c r="E129" s="6"/>
      <c r="F129" s="6"/>
      <c r="G129" s="6"/>
      <c r="H129" s="6"/>
      <c r="I129" s="6" t="str">
        <f>IFERROR(INDEX(DB!$C$2:$C$2267,MATCH(UPPER(TRIM($H127)),DB!$B$2:$B$2267,0)),IFERROR(INDEX(DB!$C$2:$C$2267,MATCH(UPPER(TRIM($H127)),DB!$J$2:$J$2267,0)),""))</f>
        <v/>
      </c>
      <c r="J129" s="6" t="str">
        <f>IF(H127="","",IFERROR(INDEX(DB!$B$2:$U$2267,MATCH(UPPER(TRIM($H127)),DB!$B$2:$B$2267,0),3),IFERROR(INDEX(DB!$B$2:$U$2267,MATCH(UPPER(TRIM($H127)),DB!$J$2:$J$2267,0),3),"")))</f>
        <v/>
      </c>
      <c r="K129" s="6" t="str">
        <f>IF(H127="","",IFERROR(INDEX(DB!$B$2:$U$2267,MATCH(UPPER(TRIM($H127)),DB!$B$2:$B$2267,0),4),IFERROR(INDEX(DB!$B$2:$U$2267,MATCH(UPPER(TRIM($H127)),DB!$J$2:$J$2267,0),4),"")))</f>
        <v/>
      </c>
      <c r="L129" s="6" t="str">
        <f>IF(H127="","",IFERROR(INDEX(DB!$B$2:$U$2267,MATCH(UPPER(TRIM($H127)),DB!$B$2:$B$2267,0),5),IFERROR(INDEX(DB!$B$2:$U$2267,MATCH(UPPER(TRIM($H127)),DB!$J$2:$J$2267,0),5),"")))</f>
        <v/>
      </c>
      <c r="M129" s="6" t="str">
        <f>IF(H127="","",IFERROR(INDEX(DB!$B$2:$U$2267,MATCH(UPPER(TRIM($H127)),DB!$B$2:$B$2267,0),6),IFERROR(INDEX(DB!$B$2:$U$2267,MATCH(UPPER(TRIM($H127)),DB!$J$2:$J$2267,0),6),"")))</f>
        <v/>
      </c>
      <c r="N129" s="6" t="str">
        <f>IF(H129="","",IFERROR(INDEX(DB!$B$2:$U$1713,MATCH(UPPER(TRIM(H129)),DB!$B$2:$B$1713,0),7),IFERROR(INDEX(DB!$B$2:$U$1713,MATCH(UPPER(TRIM(H129)),DB!$J$2:$J$1713,0),7),"")))</f>
        <v/>
      </c>
      <c r="O129" s="6"/>
      <c r="P129" s="6"/>
      <c r="Q129" s="6"/>
      <c r="R129" s="6"/>
      <c r="S129" s="6"/>
      <c r="T129" s="6"/>
      <c r="U129" s="6"/>
      <c r="V129" s="6" t="str">
        <f t="shared" si="21"/>
        <v/>
      </c>
      <c r="W129" s="6"/>
      <c r="X129" s="6" t="str">
        <f t="shared" si="22"/>
        <v/>
      </c>
      <c r="Y129" s="6" t="str">
        <f t="shared" si="24"/>
        <v/>
      </c>
      <c r="Z129" s="6" t="str">
        <f t="shared" si="23"/>
        <v/>
      </c>
      <c r="AA129" s="6"/>
      <c r="AB129" s="6"/>
      <c r="AC129" s="6"/>
      <c r="AD129" s="6" t="str">
        <f>IF(H129="","",IFERROR(INDEX(DB!$B$2:$U$1713,MATCH(UPPER(TRIM(H129)),DB!$B$2:$B$1713,0),8),IFERROR(INDEX(DB!$B$2:$U$1713,MATCH(UPPER(TRIM(H129)),DB!$J$2:$J$1713,0),8),"")))</f>
        <v/>
      </c>
      <c r="AE129" s="6"/>
      <c r="AF129" s="6"/>
      <c r="AG129" s="6"/>
      <c r="AI129" t="str">
        <f>IF(AI4&lt;&gt;"",HYPERLINK("https://echa.europa.eu/search-for-chemicals?search_criteria_ecnumber=" &amp; AI4,"ECHA"),"")</f>
        <v/>
      </c>
    </row>
    <row r="130" spans="1:35" ht="15" customHeight="1" x14ac:dyDescent="0.25">
      <c r="A130" s="4" t="str">
        <f t="shared" si="20"/>
        <v/>
      </c>
      <c r="B130" s="4"/>
      <c r="C130" s="4"/>
      <c r="D130" s="5" t="str">
        <f t="shared" si="25"/>
        <v/>
      </c>
      <c r="E130" s="4"/>
      <c r="F130" s="4"/>
      <c r="G130" s="4"/>
      <c r="H130" s="4"/>
      <c r="I130" s="4" t="str">
        <f>IFERROR(INDEX(DB!$C$2:$C$2267,MATCH(UPPER(TRIM($H128)),DB!$B$2:$B$2267,0)),IFERROR(INDEX(DB!$C$2:$C$2267,MATCH(UPPER(TRIM($H128)),DB!$J$2:$J$2267,0)),""))</f>
        <v/>
      </c>
      <c r="J130" s="4" t="str">
        <f>IF(H128="","",IFERROR(INDEX(DB!$B$2:$U$2267,MATCH(UPPER(TRIM($H128)),DB!$B$2:$B$2267,0),3),IFERROR(INDEX(DB!$B$2:$U$2267,MATCH(UPPER(TRIM($H128)),DB!$J$2:$J$2267,0),3),"")))</f>
        <v/>
      </c>
      <c r="K130" s="4" t="str">
        <f>IF(H128="","",IFERROR(INDEX(DB!$B$2:$U$2267,MATCH(UPPER(TRIM($H128)),DB!$B$2:$B$2267,0),4),IFERROR(INDEX(DB!$B$2:$U$2267,MATCH(UPPER(TRIM($H128)),DB!$J$2:$J$2267,0),4),"")))</f>
        <v/>
      </c>
      <c r="L130" s="4" t="str">
        <f>IF(H128="","",IFERROR(INDEX(DB!$B$2:$U$2267,MATCH(UPPER(TRIM($H128)),DB!$B$2:$B$2267,0),5),IFERROR(INDEX(DB!$B$2:$U$2267,MATCH(UPPER(TRIM($H128)),DB!$J$2:$J$2267,0),5),"")))</f>
        <v/>
      </c>
      <c r="M130" s="4" t="str">
        <f>IF(H128="","",IFERROR(INDEX(DB!$B$2:$U$2267,MATCH(UPPER(TRIM($H128)),DB!$B$2:$B$2267,0),6),IFERROR(INDEX(DB!$B$2:$U$2267,MATCH(UPPER(TRIM($H128)),DB!$J$2:$J$2267,0),6),"")))</f>
        <v/>
      </c>
      <c r="N130" s="4" t="str">
        <f>IF(H130="","",IFERROR(INDEX(DB!$B$2:$U$1713,MATCH(UPPER(TRIM(H130)),DB!$B$2:$B$1713,0),7),IFERROR(INDEX(DB!$B$2:$U$1713,MATCH(UPPER(TRIM(H130)),DB!$J$2:$J$1713,0),7),"")))</f>
        <v/>
      </c>
      <c r="O130" s="4"/>
      <c r="P130" s="4"/>
      <c r="Q130" s="4"/>
      <c r="R130" s="4"/>
      <c r="S130" s="4"/>
      <c r="T130" s="4"/>
      <c r="U130" s="4"/>
      <c r="V130" s="4" t="str">
        <f t="shared" si="21"/>
        <v/>
      </c>
      <c r="W130" s="4"/>
      <c r="X130" s="4" t="str">
        <f t="shared" si="22"/>
        <v/>
      </c>
      <c r="Y130" s="4" t="str">
        <f t="shared" si="24"/>
        <v/>
      </c>
      <c r="Z130" s="4" t="str">
        <f t="shared" si="23"/>
        <v/>
      </c>
      <c r="AA130" s="4"/>
      <c r="AB130" s="4"/>
      <c r="AC130" s="4"/>
      <c r="AD130" s="4" t="str">
        <f>IF(H130="","",IFERROR(INDEX(DB!$B$2:$U$1713,MATCH(UPPER(TRIM(H130)),DB!$B$2:$B$1713,0),8),IFERROR(INDEX(DB!$B$2:$U$1713,MATCH(UPPER(TRIM(H130)),DB!$J$2:$J$1713,0),8),"")))</f>
        <v/>
      </c>
      <c r="AE130" s="4"/>
      <c r="AF130" s="4"/>
      <c r="AG130" s="4"/>
      <c r="AI130" t="str">
        <f>IF(AI4&lt;&gt;"",HYPERLINK("https://echa.europa.eu/search-for-chemicals?search_criteria_ecnumber=" &amp; AI4,"ECHA"),"")</f>
        <v/>
      </c>
    </row>
    <row r="131" spans="1:35" ht="15" customHeight="1" x14ac:dyDescent="0.25">
      <c r="A131" s="6" t="str">
        <f t="shared" si="20"/>
        <v/>
      </c>
      <c r="B131" s="6"/>
      <c r="C131" s="6"/>
      <c r="D131" s="7" t="str">
        <f t="shared" si="25"/>
        <v/>
      </c>
      <c r="E131" s="6"/>
      <c r="F131" s="6"/>
      <c r="G131" s="6"/>
      <c r="H131" s="6"/>
      <c r="I131" s="6" t="str">
        <f>IFERROR(INDEX(DB!$C$2:$C$2267,MATCH(UPPER(TRIM($H129)),DB!$B$2:$B$2267,0)),IFERROR(INDEX(DB!$C$2:$C$2267,MATCH(UPPER(TRIM($H129)),DB!$J$2:$J$2267,0)),""))</f>
        <v/>
      </c>
      <c r="J131" s="6" t="str">
        <f>IF(H129="","",IFERROR(INDEX(DB!$B$2:$U$2267,MATCH(UPPER(TRIM($H129)),DB!$B$2:$B$2267,0),3),IFERROR(INDEX(DB!$B$2:$U$2267,MATCH(UPPER(TRIM($H129)),DB!$J$2:$J$2267,0),3),"")))</f>
        <v/>
      </c>
      <c r="K131" s="6" t="str">
        <f>IF(H129="","",IFERROR(INDEX(DB!$B$2:$U$2267,MATCH(UPPER(TRIM($H129)),DB!$B$2:$B$2267,0),4),IFERROR(INDEX(DB!$B$2:$U$2267,MATCH(UPPER(TRIM($H129)),DB!$J$2:$J$2267,0),4),"")))</f>
        <v/>
      </c>
      <c r="L131" s="6" t="str">
        <f>IF(H129="","",IFERROR(INDEX(DB!$B$2:$U$2267,MATCH(UPPER(TRIM($H129)),DB!$B$2:$B$2267,0),5),IFERROR(INDEX(DB!$B$2:$U$2267,MATCH(UPPER(TRIM($H129)),DB!$J$2:$J$2267,0),5),"")))</f>
        <v/>
      </c>
      <c r="M131" s="6" t="str">
        <f>IF(H129="","",IFERROR(INDEX(DB!$B$2:$U$2267,MATCH(UPPER(TRIM($H129)),DB!$B$2:$B$2267,0),6),IFERROR(INDEX(DB!$B$2:$U$2267,MATCH(UPPER(TRIM($H129)),DB!$J$2:$J$2267,0),6),"")))</f>
        <v/>
      </c>
      <c r="N131" s="6" t="str">
        <f>IF(H131="","",IFERROR(INDEX(DB!$B$2:$U$1713,MATCH(UPPER(TRIM(H131)),DB!$B$2:$B$1713,0),7),IFERROR(INDEX(DB!$B$2:$U$1713,MATCH(UPPER(TRIM(H131)),DB!$J$2:$J$1713,0),7),"")))</f>
        <v/>
      </c>
      <c r="O131" s="6"/>
      <c r="P131" s="6"/>
      <c r="Q131" s="6"/>
      <c r="R131" s="6"/>
      <c r="S131" s="6"/>
      <c r="T131" s="6"/>
      <c r="U131" s="6"/>
      <c r="V131" s="6" t="str">
        <f t="shared" si="21"/>
        <v/>
      </c>
      <c r="W131" s="6"/>
      <c r="X131" s="6" t="str">
        <f t="shared" si="22"/>
        <v/>
      </c>
      <c r="Y131" s="6" t="str">
        <f t="shared" si="24"/>
        <v/>
      </c>
      <c r="Z131" s="6" t="str">
        <f t="shared" si="23"/>
        <v/>
      </c>
      <c r="AA131" s="6"/>
      <c r="AB131" s="6"/>
      <c r="AC131" s="6"/>
      <c r="AD131" s="6" t="str">
        <f>IF(H131="","",IFERROR(INDEX(DB!$B$2:$U$1713,MATCH(UPPER(TRIM(H131)),DB!$B$2:$B$1713,0),8),IFERROR(INDEX(DB!$B$2:$U$1713,MATCH(UPPER(TRIM(H131)),DB!$J$2:$J$1713,0),8),"")))</f>
        <v/>
      </c>
      <c r="AE131" s="6"/>
      <c r="AF131" s="6"/>
      <c r="AG131" s="6"/>
      <c r="AI131" t="str">
        <f>IF(AI4&lt;&gt;"",HYPERLINK("https://echa.europa.eu/search-for-chemicals?search_criteria_ecnumber=" &amp; AI4,"ECHA"),"")</f>
        <v/>
      </c>
    </row>
    <row r="132" spans="1:35" ht="15" customHeight="1" x14ac:dyDescent="0.25">
      <c r="A132" s="4" t="str">
        <f t="shared" si="20"/>
        <v/>
      </c>
      <c r="B132" s="4"/>
      <c r="C132" s="4"/>
      <c r="D132" s="5" t="str">
        <f t="shared" si="25"/>
        <v/>
      </c>
      <c r="E132" s="4"/>
      <c r="F132" s="4"/>
      <c r="G132" s="4"/>
      <c r="H132" s="4"/>
      <c r="I132" s="4" t="str">
        <f>IFERROR(INDEX(DB!$C$2:$C$2267,MATCH(UPPER(TRIM($H130)),DB!$B$2:$B$2267,0)),IFERROR(INDEX(DB!$C$2:$C$2267,MATCH(UPPER(TRIM($H130)),DB!$J$2:$J$2267,0)),""))</f>
        <v/>
      </c>
      <c r="J132" s="4" t="str">
        <f>IF(H130="","",IFERROR(INDEX(DB!$B$2:$U$2267,MATCH(UPPER(TRIM($H130)),DB!$B$2:$B$2267,0),3),IFERROR(INDEX(DB!$B$2:$U$2267,MATCH(UPPER(TRIM($H130)),DB!$J$2:$J$2267,0),3),"")))</f>
        <v/>
      </c>
      <c r="K132" s="4" t="str">
        <f>IF(H130="","",IFERROR(INDEX(DB!$B$2:$U$2267,MATCH(UPPER(TRIM($H130)),DB!$B$2:$B$2267,0),4),IFERROR(INDEX(DB!$B$2:$U$2267,MATCH(UPPER(TRIM($H130)),DB!$J$2:$J$2267,0),4),"")))</f>
        <v/>
      </c>
      <c r="L132" s="4" t="str">
        <f>IF(H130="","",IFERROR(INDEX(DB!$B$2:$U$2267,MATCH(UPPER(TRIM($H130)),DB!$B$2:$B$2267,0),5),IFERROR(INDEX(DB!$B$2:$U$2267,MATCH(UPPER(TRIM($H130)),DB!$J$2:$J$2267,0),5),"")))</f>
        <v/>
      </c>
      <c r="M132" s="4" t="str">
        <f>IF(H130="","",IFERROR(INDEX(DB!$B$2:$U$2267,MATCH(UPPER(TRIM($H130)),DB!$B$2:$B$2267,0),6),IFERROR(INDEX(DB!$B$2:$U$2267,MATCH(UPPER(TRIM($H130)),DB!$J$2:$J$2267,0),6),"")))</f>
        <v/>
      </c>
      <c r="N132" s="4" t="str">
        <f>IF(H132="","",IFERROR(INDEX(DB!$B$2:$U$1713,MATCH(UPPER(TRIM(H132)),DB!$B$2:$B$1713,0),7),IFERROR(INDEX(DB!$B$2:$U$1713,MATCH(UPPER(TRIM(H132)),DB!$J$2:$J$1713,0),7),"")))</f>
        <v/>
      </c>
      <c r="O132" s="4"/>
      <c r="P132" s="4"/>
      <c r="Q132" s="4"/>
      <c r="R132" s="4"/>
      <c r="S132" s="4"/>
      <c r="T132" s="4"/>
      <c r="U132" s="4"/>
      <c r="V132" s="4" t="str">
        <f t="shared" si="21"/>
        <v/>
      </c>
      <c r="W132" s="4"/>
      <c r="X132" s="4" t="str">
        <f t="shared" si="22"/>
        <v/>
      </c>
      <c r="Y132" s="4" t="str">
        <f t="shared" si="24"/>
        <v/>
      </c>
      <c r="Z132" s="4" t="str">
        <f t="shared" si="23"/>
        <v/>
      </c>
      <c r="AA132" s="4"/>
      <c r="AB132" s="4"/>
      <c r="AC132" s="4"/>
      <c r="AD132" s="4" t="str">
        <f>IF(H132="","",IFERROR(INDEX(DB!$B$2:$U$1713,MATCH(UPPER(TRIM(H132)),DB!$B$2:$B$1713,0),8),IFERROR(INDEX(DB!$B$2:$U$1713,MATCH(UPPER(TRIM(H132)),DB!$J$2:$J$1713,0),8),"")))</f>
        <v/>
      </c>
      <c r="AE132" s="4"/>
      <c r="AF132" s="4"/>
      <c r="AG132" s="4"/>
      <c r="AI132" t="str">
        <f>IF(AI4&lt;&gt;"",HYPERLINK("https://echa.europa.eu/search-for-chemicals?search_criteria_ecnumber=" &amp; AI4,"ECHA"),"")</f>
        <v/>
      </c>
    </row>
    <row r="133" spans="1:35" ht="15" customHeight="1" x14ac:dyDescent="0.25">
      <c r="A133" s="6" t="str">
        <f t="shared" si="20"/>
        <v/>
      </c>
      <c r="B133" s="6"/>
      <c r="C133" s="6"/>
      <c r="D133" s="7" t="str">
        <f t="shared" si="25"/>
        <v/>
      </c>
      <c r="E133" s="6"/>
      <c r="F133" s="6"/>
      <c r="G133" s="6"/>
      <c r="H133" s="6"/>
      <c r="I133" s="6" t="str">
        <f>IFERROR(INDEX(DB!$C$2:$C$2267,MATCH(UPPER(TRIM($H131)),DB!$B$2:$B$2267,0)),IFERROR(INDEX(DB!$C$2:$C$2267,MATCH(UPPER(TRIM($H131)),DB!$J$2:$J$2267,0)),""))</f>
        <v/>
      </c>
      <c r="J133" s="6" t="str">
        <f>IF(H131="","",IFERROR(INDEX(DB!$B$2:$U$2267,MATCH(UPPER(TRIM($H131)),DB!$B$2:$B$2267,0),3),IFERROR(INDEX(DB!$B$2:$U$2267,MATCH(UPPER(TRIM($H131)),DB!$J$2:$J$2267,0),3),"")))</f>
        <v/>
      </c>
      <c r="K133" s="6" t="str">
        <f>IF(H131="","",IFERROR(INDEX(DB!$B$2:$U$2267,MATCH(UPPER(TRIM($H131)),DB!$B$2:$B$2267,0),4),IFERROR(INDEX(DB!$B$2:$U$2267,MATCH(UPPER(TRIM($H131)),DB!$J$2:$J$2267,0),4),"")))</f>
        <v/>
      </c>
      <c r="L133" s="6" t="str">
        <f>IF(H131="","",IFERROR(INDEX(DB!$B$2:$U$2267,MATCH(UPPER(TRIM($H131)),DB!$B$2:$B$2267,0),5),IFERROR(INDEX(DB!$B$2:$U$2267,MATCH(UPPER(TRIM($H131)),DB!$J$2:$J$2267,0),5),"")))</f>
        <v/>
      </c>
      <c r="M133" s="6" t="str">
        <f>IF(H131="","",IFERROR(INDEX(DB!$B$2:$U$2267,MATCH(UPPER(TRIM($H131)),DB!$B$2:$B$2267,0),6),IFERROR(INDEX(DB!$B$2:$U$2267,MATCH(UPPER(TRIM($H131)),DB!$J$2:$J$2267,0),6),"")))</f>
        <v/>
      </c>
      <c r="N133" s="6" t="str">
        <f>IF(H133="","",IFERROR(INDEX(DB!$B$2:$U$1713,MATCH(UPPER(TRIM(H133)),DB!$B$2:$B$1713,0),7),IFERROR(INDEX(DB!$B$2:$U$1713,MATCH(UPPER(TRIM(H133)),DB!$J$2:$J$1713,0),7),"")))</f>
        <v/>
      </c>
      <c r="O133" s="6"/>
      <c r="P133" s="6"/>
      <c r="Q133" s="6"/>
      <c r="R133" s="6"/>
      <c r="S133" s="6"/>
      <c r="T133" s="6"/>
      <c r="U133" s="6"/>
      <c r="V133" s="6" t="str">
        <f t="shared" si="21"/>
        <v/>
      </c>
      <c r="W133" s="6"/>
      <c r="X133" s="6" t="str">
        <f t="shared" si="22"/>
        <v/>
      </c>
      <c r="Y133" s="6" t="str">
        <f t="shared" si="24"/>
        <v/>
      </c>
      <c r="Z133" s="6" t="str">
        <f t="shared" si="23"/>
        <v/>
      </c>
      <c r="AA133" s="6"/>
      <c r="AB133" s="6"/>
      <c r="AC133" s="6"/>
      <c r="AD133" s="6" t="str">
        <f>IF(H133="","",IFERROR(INDEX(DB!$B$2:$U$1713,MATCH(UPPER(TRIM(H133)),DB!$B$2:$B$1713,0),8),IFERROR(INDEX(DB!$B$2:$U$1713,MATCH(UPPER(TRIM(H133)),DB!$J$2:$J$1713,0),8),"")))</f>
        <v/>
      </c>
      <c r="AE133" s="6"/>
      <c r="AF133" s="6"/>
      <c r="AG133" s="6"/>
      <c r="AI133" t="str">
        <f>IF(AI4&lt;&gt;"",HYPERLINK("https://echa.europa.eu/search-for-chemicals?search_criteria_ecnumber=" &amp; AI4,"ECHA"),"")</f>
        <v/>
      </c>
    </row>
    <row r="134" spans="1:35" ht="15" customHeight="1" x14ac:dyDescent="0.25">
      <c r="A134" s="4" t="str">
        <f t="shared" si="20"/>
        <v/>
      </c>
      <c r="B134" s="4"/>
      <c r="C134" s="4"/>
      <c r="D134" s="5" t="str">
        <f t="shared" si="25"/>
        <v/>
      </c>
      <c r="E134" s="4"/>
      <c r="F134" s="4"/>
      <c r="G134" s="4"/>
      <c r="H134" s="4"/>
      <c r="I134" s="4" t="str">
        <f>IFERROR(INDEX(DB!$C$2:$C$2267,MATCH(UPPER(TRIM($H132)),DB!$B$2:$B$2267,0)),IFERROR(INDEX(DB!$C$2:$C$2267,MATCH(UPPER(TRIM($H132)),DB!$J$2:$J$2267,0)),""))</f>
        <v/>
      </c>
      <c r="J134" s="4" t="str">
        <f>IF(H132="","",IFERROR(INDEX(DB!$B$2:$U$2267,MATCH(UPPER(TRIM($H132)),DB!$B$2:$B$2267,0),3),IFERROR(INDEX(DB!$B$2:$U$2267,MATCH(UPPER(TRIM($H132)),DB!$J$2:$J$2267,0),3),"")))</f>
        <v/>
      </c>
      <c r="K134" s="4" t="str">
        <f>IF(H132="","",IFERROR(INDEX(DB!$B$2:$U$2267,MATCH(UPPER(TRIM($H132)),DB!$B$2:$B$2267,0),4),IFERROR(INDEX(DB!$B$2:$U$2267,MATCH(UPPER(TRIM($H132)),DB!$J$2:$J$2267,0),4),"")))</f>
        <v/>
      </c>
      <c r="L134" s="4" t="str">
        <f>IF(H132="","",IFERROR(INDEX(DB!$B$2:$U$2267,MATCH(UPPER(TRIM($H132)),DB!$B$2:$B$2267,0),5),IFERROR(INDEX(DB!$B$2:$U$2267,MATCH(UPPER(TRIM($H132)),DB!$J$2:$J$2267,0),5),"")))</f>
        <v/>
      </c>
      <c r="M134" s="4" t="str">
        <f>IF(H132="","",IFERROR(INDEX(DB!$B$2:$U$2267,MATCH(UPPER(TRIM($H132)),DB!$B$2:$B$2267,0),6),IFERROR(INDEX(DB!$B$2:$U$2267,MATCH(UPPER(TRIM($H132)),DB!$J$2:$J$2267,0),6),"")))</f>
        <v/>
      </c>
      <c r="N134" s="4" t="str">
        <f>IF(H134="","",IFERROR(INDEX(DB!$B$2:$U$1713,MATCH(UPPER(TRIM(H134)),DB!$B$2:$B$1713,0),7),IFERROR(INDEX(DB!$B$2:$U$1713,MATCH(UPPER(TRIM(H134)),DB!$J$2:$J$1713,0),7),"")))</f>
        <v/>
      </c>
      <c r="O134" s="4"/>
      <c r="P134" s="4"/>
      <c r="Q134" s="4"/>
      <c r="R134" s="4"/>
      <c r="S134" s="4"/>
      <c r="T134" s="4"/>
      <c r="U134" s="4"/>
      <c r="V134" s="4" t="str">
        <f t="shared" si="21"/>
        <v/>
      </c>
      <c r="W134" s="4"/>
      <c r="X134" s="4" t="str">
        <f t="shared" si="22"/>
        <v/>
      </c>
      <c r="Y134" s="4" t="str">
        <f t="shared" si="24"/>
        <v/>
      </c>
      <c r="Z134" s="4" t="str">
        <f t="shared" si="23"/>
        <v/>
      </c>
      <c r="AA134" s="4"/>
      <c r="AB134" s="4"/>
      <c r="AC134" s="4"/>
      <c r="AD134" s="4" t="str">
        <f>IF(H134="","",IFERROR(INDEX(DB!$B$2:$U$1713,MATCH(UPPER(TRIM(H134)),DB!$B$2:$B$1713,0),8),IFERROR(INDEX(DB!$B$2:$U$1713,MATCH(UPPER(TRIM(H134)),DB!$J$2:$J$1713,0),8),"")))</f>
        <v/>
      </c>
      <c r="AE134" s="4"/>
      <c r="AF134" s="4"/>
      <c r="AG134" s="4"/>
      <c r="AI134" t="str">
        <f>IF(AI4&lt;&gt;"",HYPERLINK("https://echa.europa.eu/search-for-chemicals?search_criteria_ecnumber=" &amp; AI4,"ECHA"),"")</f>
        <v/>
      </c>
    </row>
    <row r="135" spans="1:35" ht="15" customHeight="1" x14ac:dyDescent="0.25">
      <c r="A135" s="6" t="str">
        <f t="shared" si="20"/>
        <v/>
      </c>
      <c r="B135" s="6"/>
      <c r="C135" s="6"/>
      <c r="D135" s="7" t="str">
        <f t="shared" si="25"/>
        <v/>
      </c>
      <c r="E135" s="6"/>
      <c r="F135" s="6"/>
      <c r="G135" s="6"/>
      <c r="H135" s="6"/>
      <c r="I135" s="6" t="str">
        <f>IFERROR(INDEX(DB!$C$2:$C$2267,MATCH(UPPER(TRIM($H133)),DB!$B$2:$B$2267,0)),IFERROR(INDEX(DB!$C$2:$C$2267,MATCH(UPPER(TRIM($H133)),DB!$J$2:$J$2267,0)),""))</f>
        <v/>
      </c>
      <c r="J135" s="6" t="str">
        <f>IF(H133="","",IFERROR(INDEX(DB!$B$2:$U$2267,MATCH(UPPER(TRIM($H133)),DB!$B$2:$B$2267,0),3),IFERROR(INDEX(DB!$B$2:$U$2267,MATCH(UPPER(TRIM($H133)),DB!$J$2:$J$2267,0),3),"")))</f>
        <v/>
      </c>
      <c r="K135" s="6" t="str">
        <f>IF(H133="","",IFERROR(INDEX(DB!$B$2:$U$2267,MATCH(UPPER(TRIM($H133)),DB!$B$2:$B$2267,0),4),IFERROR(INDEX(DB!$B$2:$U$2267,MATCH(UPPER(TRIM($H133)),DB!$J$2:$J$2267,0),4),"")))</f>
        <v/>
      </c>
      <c r="L135" s="6" t="str">
        <f>IF(H133="","",IFERROR(INDEX(DB!$B$2:$U$2267,MATCH(UPPER(TRIM($H133)),DB!$B$2:$B$2267,0),5),IFERROR(INDEX(DB!$B$2:$U$2267,MATCH(UPPER(TRIM($H133)),DB!$J$2:$J$2267,0),5),"")))</f>
        <v/>
      </c>
      <c r="M135" s="6" t="str">
        <f>IF(H133="","",IFERROR(INDEX(DB!$B$2:$U$2267,MATCH(UPPER(TRIM($H133)),DB!$B$2:$B$2267,0),6),IFERROR(INDEX(DB!$B$2:$U$2267,MATCH(UPPER(TRIM($H133)),DB!$J$2:$J$2267,0),6),"")))</f>
        <v/>
      </c>
      <c r="N135" s="6" t="str">
        <f>IF(H135="","",IFERROR(INDEX(DB!$B$2:$U$1713,MATCH(UPPER(TRIM(H135)),DB!$B$2:$B$1713,0),7),IFERROR(INDEX(DB!$B$2:$U$1713,MATCH(UPPER(TRIM(H135)),DB!$J$2:$J$1713,0),7),"")))</f>
        <v/>
      </c>
      <c r="O135" s="6"/>
      <c r="P135" s="6"/>
      <c r="Q135" s="6"/>
      <c r="R135" s="6"/>
      <c r="S135" s="6"/>
      <c r="T135" s="6"/>
      <c r="U135" s="6"/>
      <c r="V135" s="6" t="str">
        <f t="shared" si="21"/>
        <v/>
      </c>
      <c r="W135" s="6"/>
      <c r="X135" s="6" t="str">
        <f t="shared" si="22"/>
        <v/>
      </c>
      <c r="Y135" s="6" t="str">
        <f t="shared" si="24"/>
        <v/>
      </c>
      <c r="Z135" s="6" t="str">
        <f t="shared" si="23"/>
        <v/>
      </c>
      <c r="AA135" s="6"/>
      <c r="AB135" s="6"/>
      <c r="AC135" s="6"/>
      <c r="AD135" s="6" t="str">
        <f>IF(H135="","",IFERROR(INDEX(DB!$B$2:$U$1713,MATCH(UPPER(TRIM(H135)),DB!$B$2:$B$1713,0),8),IFERROR(INDEX(DB!$B$2:$U$1713,MATCH(UPPER(TRIM(H135)),DB!$J$2:$J$1713,0),8),"")))</f>
        <v/>
      </c>
      <c r="AE135" s="6"/>
      <c r="AF135" s="6"/>
      <c r="AG135" s="6"/>
      <c r="AI135" t="str">
        <f>IF(AI4&lt;&gt;"",HYPERLINK("https://echa.europa.eu/search-for-chemicals?search_criteria_ecnumber=" &amp; AI4,"ECHA"),"")</f>
        <v/>
      </c>
    </row>
    <row r="136" spans="1:35" ht="15" customHeight="1" x14ac:dyDescent="0.25">
      <c r="A136" s="4" t="str">
        <f t="shared" si="20"/>
        <v/>
      </c>
      <c r="B136" s="4"/>
      <c r="C136" s="4"/>
      <c r="D136" s="5" t="str">
        <f t="shared" si="25"/>
        <v/>
      </c>
      <c r="E136" s="4"/>
      <c r="F136" s="4"/>
      <c r="G136" s="4"/>
      <c r="H136" s="4"/>
      <c r="I136" s="4" t="str">
        <f>IFERROR(INDEX(DB!$C$2:$C$2267,MATCH(UPPER(TRIM($H134)),DB!$B$2:$B$2267,0)),IFERROR(INDEX(DB!$C$2:$C$2267,MATCH(UPPER(TRIM($H134)),DB!$J$2:$J$2267,0)),""))</f>
        <v/>
      </c>
      <c r="J136" s="4" t="str">
        <f>IF(H134="","",IFERROR(INDEX(DB!$B$2:$U$2267,MATCH(UPPER(TRIM($H134)),DB!$B$2:$B$2267,0),3),IFERROR(INDEX(DB!$B$2:$U$2267,MATCH(UPPER(TRIM($H134)),DB!$J$2:$J$2267,0),3),"")))</f>
        <v/>
      </c>
      <c r="K136" s="4" t="str">
        <f>IF(H134="","",IFERROR(INDEX(DB!$B$2:$U$2267,MATCH(UPPER(TRIM($H134)),DB!$B$2:$B$2267,0),4),IFERROR(INDEX(DB!$B$2:$U$2267,MATCH(UPPER(TRIM($H134)),DB!$J$2:$J$2267,0),4),"")))</f>
        <v/>
      </c>
      <c r="L136" s="4" t="str">
        <f>IF(H134="","",IFERROR(INDEX(DB!$B$2:$U$2267,MATCH(UPPER(TRIM($H134)),DB!$B$2:$B$2267,0),5),IFERROR(INDEX(DB!$B$2:$U$2267,MATCH(UPPER(TRIM($H134)),DB!$J$2:$J$2267,0),5),"")))</f>
        <v/>
      </c>
      <c r="M136" s="4" t="str">
        <f>IF(H134="","",IFERROR(INDEX(DB!$B$2:$U$2267,MATCH(UPPER(TRIM($H134)),DB!$B$2:$B$2267,0),6),IFERROR(INDEX(DB!$B$2:$U$2267,MATCH(UPPER(TRIM($H134)),DB!$J$2:$J$2267,0),6),"")))</f>
        <v/>
      </c>
      <c r="N136" s="4" t="str">
        <f>IF(H136="","",IFERROR(INDEX(DB!$B$2:$U$1713,MATCH(UPPER(TRIM(H136)),DB!$B$2:$B$1713,0),7),IFERROR(INDEX(DB!$B$2:$U$1713,MATCH(UPPER(TRIM(H136)),DB!$J$2:$J$1713,0),7),"")))</f>
        <v/>
      </c>
      <c r="O136" s="4"/>
      <c r="P136" s="4"/>
      <c r="Q136" s="4"/>
      <c r="R136" s="4"/>
      <c r="S136" s="4"/>
      <c r="T136" s="4"/>
      <c r="U136" s="4"/>
      <c r="V136" s="4" t="str">
        <f t="shared" si="21"/>
        <v/>
      </c>
      <c r="W136" s="4"/>
      <c r="X136" s="4" t="str">
        <f t="shared" si="22"/>
        <v/>
      </c>
      <c r="Y136" s="4" t="str">
        <f t="shared" si="24"/>
        <v/>
      </c>
      <c r="Z136" s="4" t="str">
        <f t="shared" si="23"/>
        <v/>
      </c>
      <c r="AA136" s="4"/>
      <c r="AB136" s="4"/>
      <c r="AC136" s="4"/>
      <c r="AD136" s="4" t="str">
        <f>IF(H136="","",IFERROR(INDEX(DB!$B$2:$U$1713,MATCH(UPPER(TRIM(H136)),DB!$B$2:$B$1713,0),8),IFERROR(INDEX(DB!$B$2:$U$1713,MATCH(UPPER(TRIM(H136)),DB!$J$2:$J$1713,0),8),"")))</f>
        <v/>
      </c>
      <c r="AE136" s="4"/>
      <c r="AF136" s="4"/>
      <c r="AG136" s="4"/>
      <c r="AI136" t="str">
        <f>IF(AI4&lt;&gt;"",HYPERLINK("https://echa.europa.eu/search-for-chemicals?search_criteria_ecnumber=" &amp; AI4,"ECHA"),"")</f>
        <v/>
      </c>
    </row>
    <row r="137" spans="1:35" ht="15" customHeight="1" x14ac:dyDescent="0.25">
      <c r="A137" s="6" t="str">
        <f t="shared" si="20"/>
        <v/>
      </c>
      <c r="B137" s="6"/>
      <c r="C137" s="6"/>
      <c r="D137" s="7" t="str">
        <f t="shared" si="25"/>
        <v/>
      </c>
      <c r="E137" s="6"/>
      <c r="F137" s="6"/>
      <c r="G137" s="6"/>
      <c r="H137" s="6"/>
      <c r="I137" s="6" t="str">
        <f>IFERROR(INDEX(DB!$C$2:$C$2267,MATCH(UPPER(TRIM($H135)),DB!$B$2:$B$2267,0)),IFERROR(INDEX(DB!$C$2:$C$2267,MATCH(UPPER(TRIM($H135)),DB!$J$2:$J$2267,0)),""))</f>
        <v/>
      </c>
      <c r="J137" s="6" t="str">
        <f>IF(H135="","",IFERROR(INDEX(DB!$B$2:$U$2267,MATCH(UPPER(TRIM($H135)),DB!$B$2:$B$2267,0),3),IFERROR(INDEX(DB!$B$2:$U$2267,MATCH(UPPER(TRIM($H135)),DB!$J$2:$J$2267,0),3),"")))</f>
        <v/>
      </c>
      <c r="K137" s="6" t="str">
        <f>IF(H135="","",IFERROR(INDEX(DB!$B$2:$U$2267,MATCH(UPPER(TRIM($H135)),DB!$B$2:$B$2267,0),4),IFERROR(INDEX(DB!$B$2:$U$2267,MATCH(UPPER(TRIM($H135)),DB!$J$2:$J$2267,0),4),"")))</f>
        <v/>
      </c>
      <c r="L137" s="6" t="str">
        <f>IF(H135="","",IFERROR(INDEX(DB!$B$2:$U$2267,MATCH(UPPER(TRIM($H135)),DB!$B$2:$B$2267,0),5),IFERROR(INDEX(DB!$B$2:$U$2267,MATCH(UPPER(TRIM($H135)),DB!$J$2:$J$2267,0),5),"")))</f>
        <v/>
      </c>
      <c r="M137" s="6" t="str">
        <f>IF(H135="","",IFERROR(INDEX(DB!$B$2:$U$2267,MATCH(UPPER(TRIM($H135)),DB!$B$2:$B$2267,0),6),IFERROR(INDEX(DB!$B$2:$U$2267,MATCH(UPPER(TRIM($H135)),DB!$J$2:$J$2267,0),6),"")))</f>
        <v/>
      </c>
      <c r="N137" s="6" t="str">
        <f>IF(H137="","",IFERROR(INDEX(DB!$B$2:$U$1713,MATCH(UPPER(TRIM(H137)),DB!$B$2:$B$1713,0),7),IFERROR(INDEX(DB!$B$2:$U$1713,MATCH(UPPER(TRIM(H137)),DB!$J$2:$J$1713,0),7),"")))</f>
        <v/>
      </c>
      <c r="O137" s="6"/>
      <c r="P137" s="6"/>
      <c r="Q137" s="6"/>
      <c r="R137" s="6"/>
      <c r="S137" s="6"/>
      <c r="T137" s="6"/>
      <c r="U137" s="6"/>
      <c r="V137" s="6" t="str">
        <f t="shared" si="21"/>
        <v/>
      </c>
      <c r="W137" s="6"/>
      <c r="X137" s="6" t="str">
        <f t="shared" si="22"/>
        <v/>
      </c>
      <c r="Y137" s="6" t="str">
        <f t="shared" si="24"/>
        <v/>
      </c>
      <c r="Z137" s="6" t="str">
        <f t="shared" si="23"/>
        <v/>
      </c>
      <c r="AA137" s="6"/>
      <c r="AB137" s="6"/>
      <c r="AC137" s="6"/>
      <c r="AD137" s="6" t="str">
        <f>IF(H137="","",IFERROR(INDEX(DB!$B$2:$U$1713,MATCH(UPPER(TRIM(H137)),DB!$B$2:$B$1713,0),8),IFERROR(INDEX(DB!$B$2:$U$1713,MATCH(UPPER(TRIM(H137)),DB!$J$2:$J$1713,0),8),"")))</f>
        <v/>
      </c>
      <c r="AE137" s="6"/>
      <c r="AF137" s="6"/>
      <c r="AG137" s="6"/>
      <c r="AI137" t="str">
        <f>IF(AI4&lt;&gt;"",HYPERLINK("https://echa.europa.eu/search-for-chemicals?search_criteria_ecnumber=" &amp; AI4,"ECHA"),"")</f>
        <v/>
      </c>
    </row>
    <row r="138" spans="1:35" ht="15" customHeight="1" x14ac:dyDescent="0.25">
      <c r="A138" s="4" t="str">
        <f t="shared" si="20"/>
        <v/>
      </c>
      <c r="B138" s="4"/>
      <c r="C138" s="4"/>
      <c r="D138" s="5" t="str">
        <f t="shared" si="25"/>
        <v/>
      </c>
      <c r="E138" s="4"/>
      <c r="F138" s="4"/>
      <c r="G138" s="4"/>
      <c r="H138" s="4"/>
      <c r="I138" s="4" t="str">
        <f>IFERROR(INDEX(DB!$C$2:$C$2267,MATCH(UPPER(TRIM($H136)),DB!$B$2:$B$2267,0)),IFERROR(INDEX(DB!$C$2:$C$2267,MATCH(UPPER(TRIM($H136)),DB!$J$2:$J$2267,0)),""))</f>
        <v/>
      </c>
      <c r="J138" s="4" t="str">
        <f>IF(H136="","",IFERROR(INDEX(DB!$B$2:$U$2267,MATCH(UPPER(TRIM($H136)),DB!$B$2:$B$2267,0),3),IFERROR(INDEX(DB!$B$2:$U$2267,MATCH(UPPER(TRIM($H136)),DB!$J$2:$J$2267,0),3),"")))</f>
        <v/>
      </c>
      <c r="K138" s="4" t="str">
        <f>IF(H136="","",IFERROR(INDEX(DB!$B$2:$U$2267,MATCH(UPPER(TRIM($H136)),DB!$B$2:$B$2267,0),4),IFERROR(INDEX(DB!$B$2:$U$2267,MATCH(UPPER(TRIM($H136)),DB!$J$2:$J$2267,0),4),"")))</f>
        <v/>
      </c>
      <c r="L138" s="4" t="str">
        <f>IF(H136="","",IFERROR(INDEX(DB!$B$2:$U$2267,MATCH(UPPER(TRIM($H136)),DB!$B$2:$B$2267,0),5),IFERROR(INDEX(DB!$B$2:$U$2267,MATCH(UPPER(TRIM($H136)),DB!$J$2:$J$2267,0),5),"")))</f>
        <v/>
      </c>
      <c r="M138" s="4" t="str">
        <f>IF(H136="","",IFERROR(INDEX(DB!$B$2:$U$2267,MATCH(UPPER(TRIM($H136)),DB!$B$2:$B$2267,0),6),IFERROR(INDEX(DB!$B$2:$U$2267,MATCH(UPPER(TRIM($H136)),DB!$J$2:$J$2267,0),6),"")))</f>
        <v/>
      </c>
      <c r="N138" s="4" t="str">
        <f>IF(H138="","",IFERROR(INDEX(DB!$B$2:$U$1713,MATCH(UPPER(TRIM(H138)),DB!$B$2:$B$1713,0),7),IFERROR(INDEX(DB!$B$2:$U$1713,MATCH(UPPER(TRIM(H138)),DB!$J$2:$J$1713,0),7),"")))</f>
        <v/>
      </c>
      <c r="O138" s="4"/>
      <c r="P138" s="4"/>
      <c r="Q138" s="4"/>
      <c r="R138" s="4"/>
      <c r="S138" s="4"/>
      <c r="T138" s="4"/>
      <c r="U138" s="4"/>
      <c r="V138" s="4" t="str">
        <f t="shared" si="21"/>
        <v/>
      </c>
      <c r="W138" s="4"/>
      <c r="X138" s="4" t="str">
        <f t="shared" si="22"/>
        <v/>
      </c>
      <c r="Y138" s="4" t="str">
        <f t="shared" si="24"/>
        <v/>
      </c>
      <c r="Z138" s="4" t="str">
        <f t="shared" si="23"/>
        <v/>
      </c>
      <c r="AA138" s="4"/>
      <c r="AB138" s="4"/>
      <c r="AC138" s="4"/>
      <c r="AD138" s="4" t="str">
        <f>IF(H138="","",IFERROR(INDEX(DB!$B$2:$U$1713,MATCH(UPPER(TRIM(H138)),DB!$B$2:$B$1713,0),8),IFERROR(INDEX(DB!$B$2:$U$1713,MATCH(UPPER(TRIM(H138)),DB!$J$2:$J$1713,0),8),"")))</f>
        <v/>
      </c>
      <c r="AE138" s="4"/>
      <c r="AF138" s="4"/>
      <c r="AG138" s="4"/>
      <c r="AI138" t="str">
        <f>IF(AI4&lt;&gt;"",HYPERLINK("https://echa.europa.eu/search-for-chemicals?search_criteria_ecnumber=" &amp; AI4,"ECHA"),"")</f>
        <v/>
      </c>
    </row>
    <row r="139" spans="1:35" ht="15" customHeight="1" x14ac:dyDescent="0.25">
      <c r="A139" s="6" t="str">
        <f t="shared" si="20"/>
        <v/>
      </c>
      <c r="B139" s="6"/>
      <c r="C139" s="6"/>
      <c r="D139" s="7" t="str">
        <f t="shared" si="25"/>
        <v/>
      </c>
      <c r="E139" s="6"/>
      <c r="F139" s="6"/>
      <c r="G139" s="6"/>
      <c r="H139" s="6"/>
      <c r="I139" s="6" t="str">
        <f>IFERROR(INDEX(DB!$C$2:$C$2267,MATCH(UPPER(TRIM($H137)),DB!$B$2:$B$2267,0)),IFERROR(INDEX(DB!$C$2:$C$2267,MATCH(UPPER(TRIM($H137)),DB!$J$2:$J$2267,0)),""))</f>
        <v/>
      </c>
      <c r="J139" s="6" t="str">
        <f>IF(H137="","",IFERROR(INDEX(DB!$B$2:$U$2267,MATCH(UPPER(TRIM($H137)),DB!$B$2:$B$2267,0),3),IFERROR(INDEX(DB!$B$2:$U$2267,MATCH(UPPER(TRIM($H137)),DB!$J$2:$J$2267,0),3),"")))</f>
        <v/>
      </c>
      <c r="K139" s="6" t="str">
        <f>IF(H137="","",IFERROR(INDEX(DB!$B$2:$U$2267,MATCH(UPPER(TRIM($H137)),DB!$B$2:$B$2267,0),4),IFERROR(INDEX(DB!$B$2:$U$2267,MATCH(UPPER(TRIM($H137)),DB!$J$2:$J$2267,0),4),"")))</f>
        <v/>
      </c>
      <c r="L139" s="6" t="str">
        <f>IF(H137="","",IFERROR(INDEX(DB!$B$2:$U$2267,MATCH(UPPER(TRIM($H137)),DB!$B$2:$B$2267,0),5),IFERROR(INDEX(DB!$B$2:$U$2267,MATCH(UPPER(TRIM($H137)),DB!$J$2:$J$2267,0),5),"")))</f>
        <v/>
      </c>
      <c r="M139" s="6" t="str">
        <f>IF(H137="","",IFERROR(INDEX(DB!$B$2:$U$2267,MATCH(UPPER(TRIM($H137)),DB!$B$2:$B$2267,0),6),IFERROR(INDEX(DB!$B$2:$U$2267,MATCH(UPPER(TRIM($H137)),DB!$J$2:$J$2267,0),6),"")))</f>
        <v/>
      </c>
      <c r="N139" s="6" t="str">
        <f>IF(H139="","",IFERROR(INDEX(DB!$B$2:$U$1713,MATCH(UPPER(TRIM(H139)),DB!$B$2:$B$1713,0),7),IFERROR(INDEX(DB!$B$2:$U$1713,MATCH(UPPER(TRIM(H139)),DB!$J$2:$J$1713,0),7),"")))</f>
        <v/>
      </c>
      <c r="O139" s="6"/>
      <c r="P139" s="6"/>
      <c r="Q139" s="6"/>
      <c r="R139" s="6"/>
      <c r="S139" s="6"/>
      <c r="T139" s="6"/>
      <c r="U139" s="6"/>
      <c r="V139" s="6" t="str">
        <f t="shared" si="21"/>
        <v/>
      </c>
      <c r="W139" s="6"/>
      <c r="X139" s="6" t="str">
        <f t="shared" si="22"/>
        <v/>
      </c>
      <c r="Y139" s="6" t="str">
        <f t="shared" si="24"/>
        <v/>
      </c>
      <c r="Z139" s="6" t="str">
        <f t="shared" si="23"/>
        <v/>
      </c>
      <c r="AA139" s="6"/>
      <c r="AB139" s="6"/>
      <c r="AC139" s="6"/>
      <c r="AD139" s="6" t="str">
        <f>IF(H139="","",IFERROR(INDEX(DB!$B$2:$U$1713,MATCH(UPPER(TRIM(H139)),DB!$B$2:$B$1713,0),8),IFERROR(INDEX(DB!$B$2:$U$1713,MATCH(UPPER(TRIM(H139)),DB!$J$2:$J$1713,0),8),"")))</f>
        <v/>
      </c>
      <c r="AE139" s="6"/>
      <c r="AF139" s="6"/>
      <c r="AG139" s="6"/>
      <c r="AI139" t="str">
        <f>IF(AI4&lt;&gt;"",HYPERLINK("https://echa.europa.eu/search-for-chemicals?search_criteria_ecnumber=" &amp; AI4,"ECHA"),"")</f>
        <v/>
      </c>
    </row>
    <row r="140" spans="1:35" ht="15" customHeight="1" x14ac:dyDescent="0.25">
      <c r="A140" s="4" t="str">
        <f t="shared" si="20"/>
        <v/>
      </c>
      <c r="B140" s="4"/>
      <c r="C140" s="4"/>
      <c r="D140" s="5" t="str">
        <f t="shared" si="25"/>
        <v/>
      </c>
      <c r="E140" s="4"/>
      <c r="F140" s="4"/>
      <c r="G140" s="4"/>
      <c r="H140" s="4"/>
      <c r="I140" s="4" t="str">
        <f>IFERROR(INDEX(DB!$C$2:$C$2267,MATCH(UPPER(TRIM($H138)),DB!$B$2:$B$2267,0)),IFERROR(INDEX(DB!$C$2:$C$2267,MATCH(UPPER(TRIM($H138)),DB!$J$2:$J$2267,0)),""))</f>
        <v/>
      </c>
      <c r="J140" s="4" t="str">
        <f>IF(H138="","",IFERROR(INDEX(DB!$B$2:$U$2267,MATCH(UPPER(TRIM($H138)),DB!$B$2:$B$2267,0),3),IFERROR(INDEX(DB!$B$2:$U$2267,MATCH(UPPER(TRIM($H138)),DB!$J$2:$J$2267,0),3),"")))</f>
        <v/>
      </c>
      <c r="K140" s="4" t="str">
        <f>IF(H138="","",IFERROR(INDEX(DB!$B$2:$U$2267,MATCH(UPPER(TRIM($H138)),DB!$B$2:$B$2267,0),4),IFERROR(INDEX(DB!$B$2:$U$2267,MATCH(UPPER(TRIM($H138)),DB!$J$2:$J$2267,0),4),"")))</f>
        <v/>
      </c>
      <c r="L140" s="4" t="str">
        <f>IF(H138="","",IFERROR(INDEX(DB!$B$2:$U$2267,MATCH(UPPER(TRIM($H138)),DB!$B$2:$B$2267,0),5),IFERROR(INDEX(DB!$B$2:$U$2267,MATCH(UPPER(TRIM($H138)),DB!$J$2:$J$2267,0),5),"")))</f>
        <v/>
      </c>
      <c r="M140" s="4" t="str">
        <f>IF(H138="","",IFERROR(INDEX(DB!$B$2:$U$2267,MATCH(UPPER(TRIM($H138)),DB!$B$2:$B$2267,0),6),IFERROR(INDEX(DB!$B$2:$U$2267,MATCH(UPPER(TRIM($H138)),DB!$J$2:$J$2267,0),6),"")))</f>
        <v/>
      </c>
      <c r="N140" s="4" t="str">
        <f>IF(H140="","",IFERROR(INDEX(DB!$B$2:$U$1713,MATCH(UPPER(TRIM(H140)),DB!$B$2:$B$1713,0),7),IFERROR(INDEX(DB!$B$2:$U$1713,MATCH(UPPER(TRIM(H140)),DB!$J$2:$J$1713,0),7),"")))</f>
        <v/>
      </c>
      <c r="O140" s="4"/>
      <c r="P140" s="4"/>
      <c r="Q140" s="4"/>
      <c r="R140" s="4"/>
      <c r="S140" s="4"/>
      <c r="T140" s="4"/>
      <c r="U140" s="4"/>
      <c r="V140" s="4" t="str">
        <f t="shared" si="21"/>
        <v/>
      </c>
      <c r="W140" s="4"/>
      <c r="X140" s="4" t="str">
        <f t="shared" si="22"/>
        <v/>
      </c>
      <c r="Y140" s="4" t="str">
        <f t="shared" si="24"/>
        <v/>
      </c>
      <c r="Z140" s="4" t="str">
        <f t="shared" si="23"/>
        <v/>
      </c>
      <c r="AA140" s="4"/>
      <c r="AB140" s="4"/>
      <c r="AC140" s="4"/>
      <c r="AD140" s="4" t="str">
        <f>IF(H140="","",IFERROR(INDEX(DB!$B$2:$U$1713,MATCH(UPPER(TRIM(H140)),DB!$B$2:$B$1713,0),8),IFERROR(INDEX(DB!$B$2:$U$1713,MATCH(UPPER(TRIM(H140)),DB!$J$2:$J$1713,0),8),"")))</f>
        <v/>
      </c>
      <c r="AE140" s="4"/>
      <c r="AF140" s="4"/>
      <c r="AG140" s="4"/>
      <c r="AI140" t="str">
        <f>IF(AI4&lt;&gt;"",HYPERLINK("https://echa.europa.eu/search-for-chemicals?search_criteria_ecnumber=" &amp; AI4,"ECHA"),"")</f>
        <v/>
      </c>
    </row>
    <row r="141" spans="1:35" ht="15" customHeight="1" x14ac:dyDescent="0.25">
      <c r="A141" s="6" t="str">
        <f t="shared" si="20"/>
        <v/>
      </c>
      <c r="B141" s="6"/>
      <c r="C141" s="6"/>
      <c r="D141" s="7" t="str">
        <f t="shared" si="25"/>
        <v/>
      </c>
      <c r="E141" s="6"/>
      <c r="F141" s="6"/>
      <c r="G141" s="6"/>
      <c r="H141" s="6"/>
      <c r="I141" s="6" t="str">
        <f>IFERROR(INDEX(DB!$C$2:$C$2267,MATCH(UPPER(TRIM($H139)),DB!$B$2:$B$2267,0)),IFERROR(INDEX(DB!$C$2:$C$2267,MATCH(UPPER(TRIM($H139)),DB!$J$2:$J$2267,0)),""))</f>
        <v/>
      </c>
      <c r="J141" s="6" t="str">
        <f>IF(H139="","",IFERROR(INDEX(DB!$B$2:$U$2267,MATCH(UPPER(TRIM($H139)),DB!$B$2:$B$2267,0),3),IFERROR(INDEX(DB!$B$2:$U$2267,MATCH(UPPER(TRIM($H139)),DB!$J$2:$J$2267,0),3),"")))</f>
        <v/>
      </c>
      <c r="K141" s="6" t="str">
        <f>IF(H139="","",IFERROR(INDEX(DB!$B$2:$U$2267,MATCH(UPPER(TRIM($H139)),DB!$B$2:$B$2267,0),4),IFERROR(INDEX(DB!$B$2:$U$2267,MATCH(UPPER(TRIM($H139)),DB!$J$2:$J$2267,0),4),"")))</f>
        <v/>
      </c>
      <c r="L141" s="6" t="str">
        <f>IF(H139="","",IFERROR(INDEX(DB!$B$2:$U$2267,MATCH(UPPER(TRIM($H139)),DB!$B$2:$B$2267,0),5),IFERROR(INDEX(DB!$B$2:$U$2267,MATCH(UPPER(TRIM($H139)),DB!$J$2:$J$2267,0),5),"")))</f>
        <v/>
      </c>
      <c r="M141" s="6" t="str">
        <f>IF(H139="","",IFERROR(INDEX(DB!$B$2:$U$2267,MATCH(UPPER(TRIM($H139)),DB!$B$2:$B$2267,0),6),IFERROR(INDEX(DB!$B$2:$U$2267,MATCH(UPPER(TRIM($H139)),DB!$J$2:$J$2267,0),6),"")))</f>
        <v/>
      </c>
      <c r="N141" s="6" t="str">
        <f>IF(H141="","",IFERROR(INDEX(DB!$B$2:$U$1713,MATCH(UPPER(TRIM(H141)),DB!$B$2:$B$1713,0),7),IFERROR(INDEX(DB!$B$2:$U$1713,MATCH(UPPER(TRIM(H141)),DB!$J$2:$J$1713,0),7),"")))</f>
        <v/>
      </c>
      <c r="O141" s="6"/>
      <c r="P141" s="6"/>
      <c r="Q141" s="6"/>
      <c r="R141" s="6"/>
      <c r="S141" s="6"/>
      <c r="T141" s="6"/>
      <c r="U141" s="6"/>
      <c r="V141" s="6" t="str">
        <f t="shared" si="21"/>
        <v/>
      </c>
      <c r="W141" s="6"/>
      <c r="X141" s="6" t="str">
        <f t="shared" si="22"/>
        <v/>
      </c>
      <c r="Y141" s="6" t="str">
        <f t="shared" si="24"/>
        <v/>
      </c>
      <c r="Z141" s="6" t="str">
        <f t="shared" si="23"/>
        <v/>
      </c>
      <c r="AA141" s="6"/>
      <c r="AB141" s="6"/>
      <c r="AC141" s="6"/>
      <c r="AD141" s="6" t="str">
        <f>IF(H141="","",IFERROR(INDEX(DB!$B$2:$U$1713,MATCH(UPPER(TRIM(H141)),DB!$B$2:$B$1713,0),8),IFERROR(INDEX(DB!$B$2:$U$1713,MATCH(UPPER(TRIM(H141)),DB!$J$2:$J$1713,0),8),"")))</f>
        <v/>
      </c>
      <c r="AE141" s="6"/>
      <c r="AF141" s="6"/>
      <c r="AG141" s="6"/>
      <c r="AI141" t="str">
        <f>IF(AI4&lt;&gt;"",HYPERLINK("https://echa.europa.eu/search-for-chemicals?search_criteria_ecnumber=" &amp; AI4,"ECHA"),"")</f>
        <v/>
      </c>
    </row>
    <row r="142" spans="1:35" ht="15" customHeight="1" x14ac:dyDescent="0.25">
      <c r="A142" s="4" t="str">
        <f t="shared" si="20"/>
        <v/>
      </c>
      <c r="B142" s="4"/>
      <c r="C142" s="4"/>
      <c r="D142" s="5" t="str">
        <f t="shared" si="25"/>
        <v/>
      </c>
      <c r="E142" s="4"/>
      <c r="F142" s="4"/>
      <c r="G142" s="4"/>
      <c r="H142" s="4"/>
      <c r="I142" s="4" t="str">
        <f>IFERROR(INDEX(DB!$C$2:$C$2267,MATCH(UPPER(TRIM($H140)),DB!$B$2:$B$2267,0)),IFERROR(INDEX(DB!$C$2:$C$2267,MATCH(UPPER(TRIM($H140)),DB!$J$2:$J$2267,0)),""))</f>
        <v/>
      </c>
      <c r="J142" s="4" t="str">
        <f>IF(H140="","",IFERROR(INDEX(DB!$B$2:$U$2267,MATCH(UPPER(TRIM($H140)),DB!$B$2:$B$2267,0),3),IFERROR(INDEX(DB!$B$2:$U$2267,MATCH(UPPER(TRIM($H140)),DB!$J$2:$J$2267,0),3),"")))</f>
        <v/>
      </c>
      <c r="K142" s="4" t="str">
        <f>IF(H140="","",IFERROR(INDEX(DB!$B$2:$U$2267,MATCH(UPPER(TRIM($H140)),DB!$B$2:$B$2267,0),4),IFERROR(INDEX(DB!$B$2:$U$2267,MATCH(UPPER(TRIM($H140)),DB!$J$2:$J$2267,0),4),"")))</f>
        <v/>
      </c>
      <c r="L142" s="4" t="str">
        <f>IF(H140="","",IFERROR(INDEX(DB!$B$2:$U$2267,MATCH(UPPER(TRIM($H140)),DB!$B$2:$B$2267,0),5),IFERROR(INDEX(DB!$B$2:$U$2267,MATCH(UPPER(TRIM($H140)),DB!$J$2:$J$2267,0),5),"")))</f>
        <v/>
      </c>
      <c r="M142" s="4" t="str">
        <f>IF(H140="","",IFERROR(INDEX(DB!$B$2:$U$2267,MATCH(UPPER(TRIM($H140)),DB!$B$2:$B$2267,0),6),IFERROR(INDEX(DB!$B$2:$U$2267,MATCH(UPPER(TRIM($H140)),DB!$J$2:$J$2267,0),6),"")))</f>
        <v/>
      </c>
      <c r="N142" s="4" t="str">
        <f>IF(H142="","",IFERROR(INDEX(DB!$B$2:$U$1713,MATCH(UPPER(TRIM(H142)),DB!$B$2:$B$1713,0),7),IFERROR(INDEX(DB!$B$2:$U$1713,MATCH(UPPER(TRIM(H142)),DB!$J$2:$J$1713,0),7),"")))</f>
        <v/>
      </c>
      <c r="O142" s="4"/>
      <c r="P142" s="4"/>
      <c r="Q142" s="4"/>
      <c r="R142" s="4"/>
      <c r="S142" s="4"/>
      <c r="T142" s="4"/>
      <c r="U142" s="4"/>
      <c r="V142" s="4" t="str">
        <f t="shared" si="21"/>
        <v/>
      </c>
      <c r="W142" s="4"/>
      <c r="X142" s="4" t="str">
        <f t="shared" si="22"/>
        <v/>
      </c>
      <c r="Y142" s="4" t="str">
        <f t="shared" si="24"/>
        <v/>
      </c>
      <c r="Z142" s="4" t="str">
        <f t="shared" si="23"/>
        <v/>
      </c>
      <c r="AA142" s="4"/>
      <c r="AB142" s="4"/>
      <c r="AC142" s="4"/>
      <c r="AD142" s="4" t="str">
        <f>IF(H142="","",IFERROR(INDEX(DB!$B$2:$U$1713,MATCH(UPPER(TRIM(H142)),DB!$B$2:$B$1713,0),8),IFERROR(INDEX(DB!$B$2:$U$1713,MATCH(UPPER(TRIM(H142)),DB!$J$2:$J$1713,0),8),"")))</f>
        <v/>
      </c>
      <c r="AE142" s="4"/>
      <c r="AF142" s="4"/>
      <c r="AG142" s="4"/>
      <c r="AI142" t="str">
        <f>IF(AI4&lt;&gt;"",HYPERLINK("https://echa.europa.eu/search-for-chemicals?search_criteria_ecnumber=" &amp; AI4,"ECHA"),"")</f>
        <v/>
      </c>
    </row>
    <row r="143" spans="1:35" ht="15" customHeight="1" x14ac:dyDescent="0.25">
      <c r="A143" s="6" t="str">
        <f t="shared" si="20"/>
        <v/>
      </c>
      <c r="B143" s="6"/>
      <c r="C143" s="6"/>
      <c r="D143" s="7" t="str">
        <f t="shared" si="25"/>
        <v/>
      </c>
      <c r="E143" s="6"/>
      <c r="F143" s="6"/>
      <c r="G143" s="6"/>
      <c r="H143" s="6"/>
      <c r="I143" s="6" t="str">
        <f>IFERROR(INDEX(DB!$C$2:$C$2267,MATCH(UPPER(TRIM($H141)),DB!$B$2:$B$2267,0)),IFERROR(INDEX(DB!$C$2:$C$2267,MATCH(UPPER(TRIM($H141)),DB!$J$2:$J$2267,0)),""))</f>
        <v/>
      </c>
      <c r="J143" s="6" t="str">
        <f>IF(H141="","",IFERROR(INDEX(DB!$B$2:$U$2267,MATCH(UPPER(TRIM($H141)),DB!$B$2:$B$2267,0),3),IFERROR(INDEX(DB!$B$2:$U$2267,MATCH(UPPER(TRIM($H141)),DB!$J$2:$J$2267,0),3),"")))</f>
        <v/>
      </c>
      <c r="K143" s="6" t="str">
        <f>IF(H141="","",IFERROR(INDEX(DB!$B$2:$U$2267,MATCH(UPPER(TRIM($H141)),DB!$B$2:$B$2267,0),4),IFERROR(INDEX(DB!$B$2:$U$2267,MATCH(UPPER(TRIM($H141)),DB!$J$2:$J$2267,0),4),"")))</f>
        <v/>
      </c>
      <c r="L143" s="6" t="str">
        <f>IF(H141="","",IFERROR(INDEX(DB!$B$2:$U$2267,MATCH(UPPER(TRIM($H141)),DB!$B$2:$B$2267,0),5),IFERROR(INDEX(DB!$B$2:$U$2267,MATCH(UPPER(TRIM($H141)),DB!$J$2:$J$2267,0),5),"")))</f>
        <v/>
      </c>
      <c r="M143" s="6" t="str">
        <f>IF(H141="","",IFERROR(INDEX(DB!$B$2:$U$2267,MATCH(UPPER(TRIM($H141)),DB!$B$2:$B$2267,0),6),IFERROR(INDEX(DB!$B$2:$U$2267,MATCH(UPPER(TRIM($H141)),DB!$J$2:$J$2267,0),6),"")))</f>
        <v/>
      </c>
      <c r="N143" s="6" t="str">
        <f>IF(H143="","",IFERROR(INDEX(DB!$B$2:$U$1713,MATCH(UPPER(TRIM(H143)),DB!$B$2:$B$1713,0),7),IFERROR(INDEX(DB!$B$2:$U$1713,MATCH(UPPER(TRIM(H143)),DB!$J$2:$J$1713,0),7),"")))</f>
        <v/>
      </c>
      <c r="O143" s="6"/>
      <c r="P143" s="6"/>
      <c r="Q143" s="6"/>
      <c r="R143" s="6"/>
      <c r="S143" s="6"/>
      <c r="T143" s="6"/>
      <c r="U143" s="6"/>
      <c r="V143" s="6" t="str">
        <f t="shared" si="21"/>
        <v/>
      </c>
      <c r="W143" s="6"/>
      <c r="X143" s="6" t="str">
        <f t="shared" si="22"/>
        <v/>
      </c>
      <c r="Y143" s="6" t="str">
        <f t="shared" si="24"/>
        <v/>
      </c>
      <c r="Z143" s="6" t="str">
        <f t="shared" si="23"/>
        <v/>
      </c>
      <c r="AA143" s="6"/>
      <c r="AB143" s="6"/>
      <c r="AC143" s="6"/>
      <c r="AD143" s="6" t="str">
        <f>IF(H143="","",IFERROR(INDEX(DB!$B$2:$U$1713,MATCH(UPPER(TRIM(H143)),DB!$B$2:$B$1713,0),8),IFERROR(INDEX(DB!$B$2:$U$1713,MATCH(UPPER(TRIM(H143)),DB!$J$2:$J$1713,0),8),"")))</f>
        <v/>
      </c>
      <c r="AE143" s="6"/>
      <c r="AF143" s="6"/>
      <c r="AG143" s="6"/>
      <c r="AI143" t="str">
        <f>IF(AI4&lt;&gt;"",HYPERLINK("https://echa.europa.eu/search-for-chemicals?search_criteria_ecnumber=" &amp; AI4,"ECHA"),"")</f>
        <v/>
      </c>
    </row>
    <row r="144" spans="1:35" ht="15" customHeight="1" x14ac:dyDescent="0.25">
      <c r="A144" s="4" t="str">
        <f t="shared" ref="A144:A175" si="26">IF(H144="","",ROW()-16)</f>
        <v/>
      </c>
      <c r="B144" s="4"/>
      <c r="C144" s="4"/>
      <c r="D144" s="5" t="str">
        <f t="shared" si="25"/>
        <v/>
      </c>
      <c r="E144" s="4"/>
      <c r="F144" s="4"/>
      <c r="G144" s="4"/>
      <c r="H144" s="4"/>
      <c r="I144" s="4" t="str">
        <f>IFERROR(INDEX(DB!$C$2:$C$2267,MATCH(UPPER(TRIM($H142)),DB!$B$2:$B$2267,0)),IFERROR(INDEX(DB!$C$2:$C$2267,MATCH(UPPER(TRIM($H142)),DB!$J$2:$J$2267,0)),""))</f>
        <v/>
      </c>
      <c r="J144" s="4" t="str">
        <f>IF(H142="","",IFERROR(INDEX(DB!$B$2:$U$2267,MATCH(UPPER(TRIM($H142)),DB!$B$2:$B$2267,0),3),IFERROR(INDEX(DB!$B$2:$U$2267,MATCH(UPPER(TRIM($H142)),DB!$J$2:$J$2267,0),3),"")))</f>
        <v/>
      </c>
      <c r="K144" s="4" t="str">
        <f>IF(H142="","",IFERROR(INDEX(DB!$B$2:$U$2267,MATCH(UPPER(TRIM($H142)),DB!$B$2:$B$2267,0),4),IFERROR(INDEX(DB!$B$2:$U$2267,MATCH(UPPER(TRIM($H142)),DB!$J$2:$J$2267,0),4),"")))</f>
        <v/>
      </c>
      <c r="L144" s="4" t="str">
        <f>IF(H142="","",IFERROR(INDEX(DB!$B$2:$U$2267,MATCH(UPPER(TRIM($H142)),DB!$B$2:$B$2267,0),5),IFERROR(INDEX(DB!$B$2:$U$2267,MATCH(UPPER(TRIM($H142)),DB!$J$2:$J$2267,0),5),"")))</f>
        <v/>
      </c>
      <c r="M144" s="4" t="str">
        <f>IF(H142="","",IFERROR(INDEX(DB!$B$2:$U$2267,MATCH(UPPER(TRIM($H142)),DB!$B$2:$B$2267,0),6),IFERROR(INDEX(DB!$B$2:$U$2267,MATCH(UPPER(TRIM($H142)),DB!$J$2:$J$2267,0),6),"")))</f>
        <v/>
      </c>
      <c r="N144" s="4" t="str">
        <f>IF(H144="","",IFERROR(INDEX(DB!$B$2:$U$1713,MATCH(UPPER(TRIM(H144)),DB!$B$2:$B$1713,0),7),IFERROR(INDEX(DB!$B$2:$U$1713,MATCH(UPPER(TRIM(H144)),DB!$J$2:$J$1713,0),7),"")))</f>
        <v/>
      </c>
      <c r="O144" s="4"/>
      <c r="P144" s="4"/>
      <c r="Q144" s="4"/>
      <c r="R144" s="4"/>
      <c r="S144" s="4"/>
      <c r="T144" s="4"/>
      <c r="U144" s="4"/>
      <c r="V144" s="4" t="str">
        <f t="shared" ref="V144:V175" si="27">IF(M144="","",IF(OR(M144="E",M144="D"),IF(OR(N144="Yüksek",N144="Çok Yüksek",N144="Çok Yüksek (Gaz)",N144="Toz"),4,IF(N144="Orta",3,2)),IF(M144="C",IF(OR(N144="Yüksek",N144="Çok Yüksek",N144="Çok Yüksek (Gaz)",N144="Toz"),3,IF(N144="Orta",2,1)),IF(M144="B",IF(OR(N144="Yüksek",N144="Çok Yüksek",N144="Çok Yüksek (Gaz)",N144="Toz"),2,1),1))))</f>
        <v/>
      </c>
      <c r="W144" s="4"/>
      <c r="X144" s="4" t="str">
        <f t="shared" ref="X144:X175" si="28">IF($V144="","",IF($V144=1,"İyi uygulama + genel havalandırma. Kapalı kap/etiketleme.",IF($V144=2,"Yerel kontrol (LEV) / kapalı ekipman. KKD uygunluğu kontrol.",IF($V144=3,"Mühendislik kontrolü güçlendir (kapalı sistem/LEV) + prosedür. KKD zorunlu.","Uzman değerlendirmesi + mümkünse tam kapalı sistem. İzinli çalışma ve izleme."))))</f>
        <v/>
      </c>
      <c r="Y144" s="4" t="str">
        <f t="shared" si="24"/>
        <v/>
      </c>
      <c r="Z144" s="4" t="str">
        <f t="shared" ref="Z144:Z175" si="29">IF(V144="","",IF(V144=1,"Uygun",IF(V144=2,"Koşullu Uygun","Uygun Değil")))</f>
        <v/>
      </c>
      <c r="AA144" s="4"/>
      <c r="AB144" s="4"/>
      <c r="AC144" s="4"/>
      <c r="AD144" s="4" t="str">
        <f>IF(H144="","",IFERROR(INDEX(DB!$B$2:$U$1713,MATCH(UPPER(TRIM(H144)),DB!$B$2:$B$1713,0),8),IFERROR(INDEX(DB!$B$2:$U$1713,MATCH(UPPER(TRIM(H144)),DB!$J$2:$J$1713,0),8),"")))</f>
        <v/>
      </c>
      <c r="AE144" s="4"/>
      <c r="AF144" s="4"/>
      <c r="AG144" s="4"/>
      <c r="AI144" t="str">
        <f>IF(AI4&lt;&gt;"",HYPERLINK("https://echa.europa.eu/search-for-chemicals?search_criteria_ecnumber=" &amp; AI4,"ECHA"),"")</f>
        <v/>
      </c>
    </row>
    <row r="145" spans="1:35" ht="15" customHeight="1" x14ac:dyDescent="0.25">
      <c r="A145" s="6" t="str">
        <f t="shared" si="26"/>
        <v/>
      </c>
      <c r="B145" s="6"/>
      <c r="C145" s="6"/>
      <c r="D145" s="7" t="str">
        <f t="shared" si="25"/>
        <v/>
      </c>
      <c r="E145" s="6"/>
      <c r="F145" s="6"/>
      <c r="G145" s="6"/>
      <c r="H145" s="6"/>
      <c r="I145" s="6" t="str">
        <f>IFERROR(INDEX(DB!$C$2:$C$2267,MATCH(UPPER(TRIM($H143)),DB!$B$2:$B$2267,0)),IFERROR(INDEX(DB!$C$2:$C$2267,MATCH(UPPER(TRIM($H143)),DB!$J$2:$J$2267,0)),""))</f>
        <v/>
      </c>
      <c r="J145" s="6" t="str">
        <f>IF(H143="","",IFERROR(INDEX(DB!$B$2:$U$2267,MATCH(UPPER(TRIM($H143)),DB!$B$2:$B$2267,0),3),IFERROR(INDEX(DB!$B$2:$U$2267,MATCH(UPPER(TRIM($H143)),DB!$J$2:$J$2267,0),3),"")))</f>
        <v/>
      </c>
      <c r="K145" s="6" t="str">
        <f>IF(H143="","",IFERROR(INDEX(DB!$B$2:$U$2267,MATCH(UPPER(TRIM($H143)),DB!$B$2:$B$2267,0),4),IFERROR(INDEX(DB!$B$2:$U$2267,MATCH(UPPER(TRIM($H143)),DB!$J$2:$J$2267,0),4),"")))</f>
        <v/>
      </c>
      <c r="L145" s="6" t="str">
        <f>IF(H143="","",IFERROR(INDEX(DB!$B$2:$U$2267,MATCH(UPPER(TRIM($H143)),DB!$B$2:$B$2267,0),5),IFERROR(INDEX(DB!$B$2:$U$2267,MATCH(UPPER(TRIM($H143)),DB!$J$2:$J$2267,0),5),"")))</f>
        <v/>
      </c>
      <c r="M145" s="6" t="str">
        <f>IF(H143="","",IFERROR(INDEX(DB!$B$2:$U$2267,MATCH(UPPER(TRIM($H143)),DB!$B$2:$B$2267,0),6),IFERROR(INDEX(DB!$B$2:$U$2267,MATCH(UPPER(TRIM($H143)),DB!$J$2:$J$2267,0),6),"")))</f>
        <v/>
      </c>
      <c r="N145" s="6" t="str">
        <f>IF(H145="","",IFERROR(INDEX(DB!$B$2:$U$1713,MATCH(UPPER(TRIM(H145)),DB!$B$2:$B$1713,0),7),IFERROR(INDEX(DB!$B$2:$U$1713,MATCH(UPPER(TRIM(H145)),DB!$J$2:$J$1713,0),7),"")))</f>
        <v/>
      </c>
      <c r="O145" s="6"/>
      <c r="P145" s="6"/>
      <c r="Q145" s="6"/>
      <c r="R145" s="6"/>
      <c r="S145" s="6"/>
      <c r="T145" s="6"/>
      <c r="U145" s="6"/>
      <c r="V145" s="6" t="str">
        <f t="shared" si="27"/>
        <v/>
      </c>
      <c r="W145" s="6"/>
      <c r="X145" s="6" t="str">
        <f t="shared" si="28"/>
        <v/>
      </c>
      <c r="Y145" s="6" t="str">
        <f t="shared" ref="Y145:Y176" si="30">IF(V145="","",CHOOSE(V145,"Düşük","Orta","Yüksek","Kritik"))</f>
        <v/>
      </c>
      <c r="Z145" s="6" t="str">
        <f t="shared" si="29"/>
        <v/>
      </c>
      <c r="AA145" s="6"/>
      <c r="AB145" s="6"/>
      <c r="AC145" s="6"/>
      <c r="AD145" s="6" t="str">
        <f>IF(H145="","",IFERROR(INDEX(DB!$B$2:$U$1713,MATCH(UPPER(TRIM(H145)),DB!$B$2:$B$1713,0),8),IFERROR(INDEX(DB!$B$2:$U$1713,MATCH(UPPER(TRIM(H145)),DB!$J$2:$J$1713,0),8),"")))</f>
        <v/>
      </c>
      <c r="AE145" s="6"/>
      <c r="AF145" s="6"/>
      <c r="AG145" s="6"/>
      <c r="AI145" t="str">
        <f>IF(AI4&lt;&gt;"",HYPERLINK("https://echa.europa.eu/search-for-chemicals?search_criteria_ecnumber=" &amp; AI4,"ECHA"),"")</f>
        <v/>
      </c>
    </row>
    <row r="146" spans="1:35" ht="15" customHeight="1" x14ac:dyDescent="0.25">
      <c r="A146" s="4" t="str">
        <f t="shared" si="26"/>
        <v/>
      </c>
      <c r="B146" s="4"/>
      <c r="C146" s="4"/>
      <c r="D146" s="5" t="str">
        <f t="shared" si="25"/>
        <v/>
      </c>
      <c r="E146" s="4"/>
      <c r="F146" s="4"/>
      <c r="G146" s="4"/>
      <c r="H146" s="4"/>
      <c r="I146" s="4" t="str">
        <f>IFERROR(INDEX(DB!$C$2:$C$2267,MATCH(UPPER(TRIM($H144)),DB!$B$2:$B$2267,0)),IFERROR(INDEX(DB!$C$2:$C$2267,MATCH(UPPER(TRIM($H144)),DB!$J$2:$J$2267,0)),""))</f>
        <v/>
      </c>
      <c r="J146" s="4" t="str">
        <f>IF(H144="","",IFERROR(INDEX(DB!$B$2:$U$2267,MATCH(UPPER(TRIM($H144)),DB!$B$2:$B$2267,0),3),IFERROR(INDEX(DB!$B$2:$U$2267,MATCH(UPPER(TRIM($H144)),DB!$J$2:$J$2267,0),3),"")))</f>
        <v/>
      </c>
      <c r="K146" s="4" t="str">
        <f>IF(H144="","",IFERROR(INDEX(DB!$B$2:$U$2267,MATCH(UPPER(TRIM($H144)),DB!$B$2:$B$2267,0),4),IFERROR(INDEX(DB!$B$2:$U$2267,MATCH(UPPER(TRIM($H144)),DB!$J$2:$J$2267,0),4),"")))</f>
        <v/>
      </c>
      <c r="L146" s="4" t="str">
        <f>IF(H144="","",IFERROR(INDEX(DB!$B$2:$U$2267,MATCH(UPPER(TRIM($H144)),DB!$B$2:$B$2267,0),5),IFERROR(INDEX(DB!$B$2:$U$2267,MATCH(UPPER(TRIM($H144)),DB!$J$2:$J$2267,0),5),"")))</f>
        <v/>
      </c>
      <c r="M146" s="4" t="str">
        <f>IF(H144="","",IFERROR(INDEX(DB!$B$2:$U$2267,MATCH(UPPER(TRIM($H144)),DB!$B$2:$B$2267,0),6),IFERROR(INDEX(DB!$B$2:$U$2267,MATCH(UPPER(TRIM($H144)),DB!$J$2:$J$2267,0),6),"")))</f>
        <v/>
      </c>
      <c r="N146" s="4" t="str">
        <f>IF(H146="","",IFERROR(INDEX(DB!$B$2:$U$1713,MATCH(UPPER(TRIM(H146)),DB!$B$2:$B$1713,0),7),IFERROR(INDEX(DB!$B$2:$U$1713,MATCH(UPPER(TRIM(H146)),DB!$J$2:$J$1713,0),7),"")))</f>
        <v/>
      </c>
      <c r="O146" s="4"/>
      <c r="P146" s="4"/>
      <c r="Q146" s="4"/>
      <c r="R146" s="4"/>
      <c r="S146" s="4"/>
      <c r="T146" s="4"/>
      <c r="U146" s="4"/>
      <c r="V146" s="4" t="str">
        <f t="shared" si="27"/>
        <v/>
      </c>
      <c r="W146" s="4"/>
      <c r="X146" s="4" t="str">
        <f t="shared" si="28"/>
        <v/>
      </c>
      <c r="Y146" s="4" t="str">
        <f t="shared" si="30"/>
        <v/>
      </c>
      <c r="Z146" s="4" t="str">
        <f t="shared" si="29"/>
        <v/>
      </c>
      <c r="AA146" s="4"/>
      <c r="AB146" s="4"/>
      <c r="AC146" s="4"/>
      <c r="AD146" s="4" t="str">
        <f>IF(H146="","",IFERROR(INDEX(DB!$B$2:$U$1713,MATCH(UPPER(TRIM(H146)),DB!$B$2:$B$1713,0),8),IFERROR(INDEX(DB!$B$2:$U$1713,MATCH(UPPER(TRIM(H146)),DB!$J$2:$J$1713,0),8),"")))</f>
        <v/>
      </c>
      <c r="AE146" s="4"/>
      <c r="AF146" s="4"/>
      <c r="AG146" s="4"/>
      <c r="AI146" t="str">
        <f>IF(AI4&lt;&gt;"",HYPERLINK("https://echa.europa.eu/search-for-chemicals?search_criteria_ecnumber=" &amp; AI4,"ECHA"),"")</f>
        <v/>
      </c>
    </row>
    <row r="147" spans="1:35" ht="15" customHeight="1" x14ac:dyDescent="0.25">
      <c r="A147" s="6" t="str">
        <f t="shared" si="26"/>
        <v/>
      </c>
      <c r="B147" s="6"/>
      <c r="C147" s="6"/>
      <c r="D147" s="7" t="str">
        <f t="shared" si="25"/>
        <v/>
      </c>
      <c r="E147" s="6"/>
      <c r="F147" s="6"/>
      <c r="G147" s="6"/>
      <c r="H147" s="6"/>
      <c r="I147" s="6" t="str">
        <f>IFERROR(INDEX(DB!$C$2:$C$2267,MATCH(UPPER(TRIM($H145)),DB!$B$2:$B$2267,0)),IFERROR(INDEX(DB!$C$2:$C$2267,MATCH(UPPER(TRIM($H145)),DB!$J$2:$J$2267,0)),""))</f>
        <v/>
      </c>
      <c r="J147" s="6" t="str">
        <f>IF(H145="","",IFERROR(INDEX(DB!$B$2:$U$2267,MATCH(UPPER(TRIM($H145)),DB!$B$2:$B$2267,0),3),IFERROR(INDEX(DB!$B$2:$U$2267,MATCH(UPPER(TRIM($H145)),DB!$J$2:$J$2267,0),3),"")))</f>
        <v/>
      </c>
      <c r="K147" s="6" t="str">
        <f>IF(H145="","",IFERROR(INDEX(DB!$B$2:$U$2267,MATCH(UPPER(TRIM($H145)),DB!$B$2:$B$2267,0),4),IFERROR(INDEX(DB!$B$2:$U$2267,MATCH(UPPER(TRIM($H145)),DB!$J$2:$J$2267,0),4),"")))</f>
        <v/>
      </c>
      <c r="L147" s="6" t="str">
        <f>IF(H145="","",IFERROR(INDEX(DB!$B$2:$U$2267,MATCH(UPPER(TRIM($H145)),DB!$B$2:$B$2267,0),5),IFERROR(INDEX(DB!$B$2:$U$2267,MATCH(UPPER(TRIM($H145)),DB!$J$2:$J$2267,0),5),"")))</f>
        <v/>
      </c>
      <c r="M147" s="6" t="str">
        <f>IF(H145="","",IFERROR(INDEX(DB!$B$2:$U$2267,MATCH(UPPER(TRIM($H145)),DB!$B$2:$B$2267,0),6),IFERROR(INDEX(DB!$B$2:$U$2267,MATCH(UPPER(TRIM($H145)),DB!$J$2:$J$2267,0),6),"")))</f>
        <v/>
      </c>
      <c r="N147" s="6" t="str">
        <f>IF(H147="","",IFERROR(INDEX(DB!$B$2:$U$1713,MATCH(UPPER(TRIM(H147)),DB!$B$2:$B$1713,0),7),IFERROR(INDEX(DB!$B$2:$U$1713,MATCH(UPPER(TRIM(H147)),DB!$J$2:$J$1713,0),7),"")))</f>
        <v/>
      </c>
      <c r="O147" s="6"/>
      <c r="P147" s="6"/>
      <c r="Q147" s="6"/>
      <c r="R147" s="6"/>
      <c r="S147" s="6"/>
      <c r="T147" s="6"/>
      <c r="U147" s="6"/>
      <c r="V147" s="6" t="str">
        <f t="shared" si="27"/>
        <v/>
      </c>
      <c r="W147" s="6"/>
      <c r="X147" s="6" t="str">
        <f t="shared" si="28"/>
        <v/>
      </c>
      <c r="Y147" s="6" t="str">
        <f t="shared" si="30"/>
        <v/>
      </c>
      <c r="Z147" s="6" t="str">
        <f t="shared" si="29"/>
        <v/>
      </c>
      <c r="AA147" s="6"/>
      <c r="AB147" s="6"/>
      <c r="AC147" s="6"/>
      <c r="AD147" s="6" t="str">
        <f>IF(H147="","",IFERROR(INDEX(DB!$B$2:$U$1713,MATCH(UPPER(TRIM(H147)),DB!$B$2:$B$1713,0),8),IFERROR(INDEX(DB!$B$2:$U$1713,MATCH(UPPER(TRIM(H147)),DB!$J$2:$J$1713,0),8),"")))</f>
        <v/>
      </c>
      <c r="AE147" s="6"/>
      <c r="AF147" s="6"/>
      <c r="AG147" s="6"/>
      <c r="AI147" t="str">
        <f>IF(AI4&lt;&gt;"",HYPERLINK("https://echa.europa.eu/search-for-chemicals?search_criteria_ecnumber=" &amp; AI4,"ECHA"),"")</f>
        <v/>
      </c>
    </row>
    <row r="148" spans="1:35" ht="15" customHeight="1" x14ac:dyDescent="0.25">
      <c r="A148" s="4" t="str">
        <f t="shared" si="26"/>
        <v/>
      </c>
      <c r="B148" s="4"/>
      <c r="C148" s="4"/>
      <c r="D148" s="5" t="str">
        <f t="shared" si="25"/>
        <v/>
      </c>
      <c r="E148" s="4"/>
      <c r="F148" s="4"/>
      <c r="G148" s="4"/>
      <c r="H148" s="4"/>
      <c r="I148" s="4" t="str">
        <f>IFERROR(INDEX(DB!$C$2:$C$2267,MATCH(UPPER(TRIM($H146)),DB!$B$2:$B$2267,0)),IFERROR(INDEX(DB!$C$2:$C$2267,MATCH(UPPER(TRIM($H146)),DB!$J$2:$J$2267,0)),""))</f>
        <v/>
      </c>
      <c r="J148" s="4" t="str">
        <f>IF(H146="","",IFERROR(INDEX(DB!$B$2:$U$2267,MATCH(UPPER(TRIM($H146)),DB!$B$2:$B$2267,0),3),IFERROR(INDEX(DB!$B$2:$U$2267,MATCH(UPPER(TRIM($H146)),DB!$J$2:$J$2267,0),3),"")))</f>
        <v/>
      </c>
      <c r="K148" s="4" t="str">
        <f>IF(H146="","",IFERROR(INDEX(DB!$B$2:$U$2267,MATCH(UPPER(TRIM($H146)),DB!$B$2:$B$2267,0),4),IFERROR(INDEX(DB!$B$2:$U$2267,MATCH(UPPER(TRIM($H146)),DB!$J$2:$J$2267,0),4),"")))</f>
        <v/>
      </c>
      <c r="L148" s="4" t="str">
        <f>IF(H146="","",IFERROR(INDEX(DB!$B$2:$U$2267,MATCH(UPPER(TRIM($H146)),DB!$B$2:$B$2267,0),5),IFERROR(INDEX(DB!$B$2:$U$2267,MATCH(UPPER(TRIM($H146)),DB!$J$2:$J$2267,0),5),"")))</f>
        <v/>
      </c>
      <c r="M148" s="4" t="str">
        <f>IF(H146="","",IFERROR(INDEX(DB!$B$2:$U$2267,MATCH(UPPER(TRIM($H146)),DB!$B$2:$B$2267,0),6),IFERROR(INDEX(DB!$B$2:$U$2267,MATCH(UPPER(TRIM($H146)),DB!$J$2:$J$2267,0),6),"")))</f>
        <v/>
      </c>
      <c r="N148" s="4" t="str">
        <f>IF(H148="","",IFERROR(INDEX(DB!$B$2:$U$1713,MATCH(UPPER(TRIM(H148)),DB!$B$2:$B$1713,0),7),IFERROR(INDEX(DB!$B$2:$U$1713,MATCH(UPPER(TRIM(H148)),DB!$J$2:$J$1713,0),7),"")))</f>
        <v/>
      </c>
      <c r="O148" s="4"/>
      <c r="P148" s="4"/>
      <c r="Q148" s="4"/>
      <c r="R148" s="4"/>
      <c r="S148" s="4"/>
      <c r="T148" s="4"/>
      <c r="U148" s="4"/>
      <c r="V148" s="4" t="str">
        <f t="shared" si="27"/>
        <v/>
      </c>
      <c r="W148" s="4"/>
      <c r="X148" s="4" t="str">
        <f t="shared" si="28"/>
        <v/>
      </c>
      <c r="Y148" s="4" t="str">
        <f t="shared" si="30"/>
        <v/>
      </c>
      <c r="Z148" s="4" t="str">
        <f t="shared" si="29"/>
        <v/>
      </c>
      <c r="AA148" s="4"/>
      <c r="AB148" s="4"/>
      <c r="AC148" s="4"/>
      <c r="AD148" s="4" t="str">
        <f>IF(H148="","",IFERROR(INDEX(DB!$B$2:$U$1713,MATCH(UPPER(TRIM(H148)),DB!$B$2:$B$1713,0),8),IFERROR(INDEX(DB!$B$2:$U$1713,MATCH(UPPER(TRIM(H148)),DB!$J$2:$J$1713,0),8),"")))</f>
        <v/>
      </c>
      <c r="AE148" s="4"/>
      <c r="AF148" s="4"/>
      <c r="AG148" s="4"/>
      <c r="AI148" t="str">
        <f>IF(AI4&lt;&gt;"",HYPERLINK("https://echa.europa.eu/search-for-chemicals?search_criteria_ecnumber=" &amp; AI4,"ECHA"),"")</f>
        <v/>
      </c>
    </row>
    <row r="149" spans="1:35" ht="15" customHeight="1" x14ac:dyDescent="0.25">
      <c r="A149" s="6" t="str">
        <f t="shared" si="26"/>
        <v/>
      </c>
      <c r="B149" s="6"/>
      <c r="C149" s="6"/>
      <c r="D149" s="7" t="str">
        <f t="shared" si="25"/>
        <v/>
      </c>
      <c r="E149" s="6"/>
      <c r="F149" s="6"/>
      <c r="G149" s="6"/>
      <c r="H149" s="6"/>
      <c r="I149" s="6" t="str">
        <f>IFERROR(INDEX(DB!$C$2:$C$2267,MATCH(UPPER(TRIM($H147)),DB!$B$2:$B$2267,0)),IFERROR(INDEX(DB!$C$2:$C$2267,MATCH(UPPER(TRIM($H147)),DB!$J$2:$J$2267,0)),""))</f>
        <v/>
      </c>
      <c r="J149" s="6" t="str">
        <f>IF(H147="","",IFERROR(INDEX(DB!$B$2:$U$2267,MATCH(UPPER(TRIM($H147)),DB!$B$2:$B$2267,0),3),IFERROR(INDEX(DB!$B$2:$U$2267,MATCH(UPPER(TRIM($H147)),DB!$J$2:$J$2267,0),3),"")))</f>
        <v/>
      </c>
      <c r="K149" s="6" t="str">
        <f>IF(H147="","",IFERROR(INDEX(DB!$B$2:$U$2267,MATCH(UPPER(TRIM($H147)),DB!$B$2:$B$2267,0),4),IFERROR(INDEX(DB!$B$2:$U$2267,MATCH(UPPER(TRIM($H147)),DB!$J$2:$J$2267,0),4),"")))</f>
        <v/>
      </c>
      <c r="L149" s="6" t="str">
        <f>IF(H147="","",IFERROR(INDEX(DB!$B$2:$U$2267,MATCH(UPPER(TRIM($H147)),DB!$B$2:$B$2267,0),5),IFERROR(INDEX(DB!$B$2:$U$2267,MATCH(UPPER(TRIM($H147)),DB!$J$2:$J$2267,0),5),"")))</f>
        <v/>
      </c>
      <c r="M149" s="6" t="str">
        <f>IF(H147="","",IFERROR(INDEX(DB!$B$2:$U$2267,MATCH(UPPER(TRIM($H147)),DB!$B$2:$B$2267,0),6),IFERROR(INDEX(DB!$B$2:$U$2267,MATCH(UPPER(TRIM($H147)),DB!$J$2:$J$2267,0),6),"")))</f>
        <v/>
      </c>
      <c r="N149" s="6" t="str">
        <f>IF(H149="","",IFERROR(INDEX(DB!$B$2:$U$1713,MATCH(UPPER(TRIM(H149)),DB!$B$2:$B$1713,0),7),IFERROR(INDEX(DB!$B$2:$U$1713,MATCH(UPPER(TRIM(H149)),DB!$J$2:$J$1713,0),7),"")))</f>
        <v/>
      </c>
      <c r="O149" s="6"/>
      <c r="P149" s="6"/>
      <c r="Q149" s="6"/>
      <c r="R149" s="6"/>
      <c r="S149" s="6"/>
      <c r="T149" s="6"/>
      <c r="U149" s="6"/>
      <c r="V149" s="6" t="str">
        <f t="shared" si="27"/>
        <v/>
      </c>
      <c r="W149" s="6"/>
      <c r="X149" s="6" t="str">
        <f t="shared" si="28"/>
        <v/>
      </c>
      <c r="Y149" s="6" t="str">
        <f t="shared" si="30"/>
        <v/>
      </c>
      <c r="Z149" s="6" t="str">
        <f t="shared" si="29"/>
        <v/>
      </c>
      <c r="AA149" s="6"/>
      <c r="AB149" s="6"/>
      <c r="AC149" s="6"/>
      <c r="AD149" s="6" t="str">
        <f>IF(H149="","",IFERROR(INDEX(DB!$B$2:$U$1713,MATCH(UPPER(TRIM(H149)),DB!$B$2:$B$1713,0),8),IFERROR(INDEX(DB!$B$2:$U$1713,MATCH(UPPER(TRIM(H149)),DB!$J$2:$J$1713,0),8),"")))</f>
        <v/>
      </c>
      <c r="AE149" s="6"/>
      <c r="AF149" s="6"/>
      <c r="AG149" s="6"/>
      <c r="AI149" t="str">
        <f>IF(AI4&lt;&gt;"",HYPERLINK("https://echa.europa.eu/search-for-chemicals?search_criteria_ecnumber=" &amp; AI4,"ECHA"),"")</f>
        <v/>
      </c>
    </row>
    <row r="150" spans="1:35" ht="15" customHeight="1" x14ac:dyDescent="0.25">
      <c r="A150" s="4" t="str">
        <f t="shared" si="26"/>
        <v/>
      </c>
      <c r="B150" s="4"/>
      <c r="C150" s="4"/>
      <c r="D150" s="5" t="str">
        <f t="shared" si="25"/>
        <v/>
      </c>
      <c r="E150" s="4"/>
      <c r="F150" s="4"/>
      <c r="G150" s="4"/>
      <c r="H150" s="4"/>
      <c r="I150" s="4" t="str">
        <f>IFERROR(INDEX(DB!$C$2:$C$2267,MATCH(UPPER(TRIM($H148)),DB!$B$2:$B$2267,0)),IFERROR(INDEX(DB!$C$2:$C$2267,MATCH(UPPER(TRIM($H148)),DB!$J$2:$J$2267,0)),""))</f>
        <v/>
      </c>
      <c r="J150" s="4" t="str">
        <f>IF(H148="","",IFERROR(INDEX(DB!$B$2:$U$2267,MATCH(UPPER(TRIM($H148)),DB!$B$2:$B$2267,0),3),IFERROR(INDEX(DB!$B$2:$U$2267,MATCH(UPPER(TRIM($H148)),DB!$J$2:$J$2267,0),3),"")))</f>
        <v/>
      </c>
      <c r="K150" s="4" t="str">
        <f>IF(H148="","",IFERROR(INDEX(DB!$B$2:$U$2267,MATCH(UPPER(TRIM($H148)),DB!$B$2:$B$2267,0),4),IFERROR(INDEX(DB!$B$2:$U$2267,MATCH(UPPER(TRIM($H148)),DB!$J$2:$J$2267,0),4),"")))</f>
        <v/>
      </c>
      <c r="L150" s="4" t="str">
        <f>IF(H148="","",IFERROR(INDEX(DB!$B$2:$U$2267,MATCH(UPPER(TRIM($H148)),DB!$B$2:$B$2267,0),5),IFERROR(INDEX(DB!$B$2:$U$2267,MATCH(UPPER(TRIM($H148)),DB!$J$2:$J$2267,0),5),"")))</f>
        <v/>
      </c>
      <c r="M150" s="4" t="str">
        <f>IF(H148="","",IFERROR(INDEX(DB!$B$2:$U$2267,MATCH(UPPER(TRIM($H148)),DB!$B$2:$B$2267,0),6),IFERROR(INDEX(DB!$B$2:$U$2267,MATCH(UPPER(TRIM($H148)),DB!$J$2:$J$2267,0),6),"")))</f>
        <v/>
      </c>
      <c r="N150" s="4" t="str">
        <f>IF(H150="","",IFERROR(INDEX(DB!$B$2:$U$1713,MATCH(UPPER(TRIM(H150)),DB!$B$2:$B$1713,0),7),IFERROR(INDEX(DB!$B$2:$U$1713,MATCH(UPPER(TRIM(H150)),DB!$J$2:$J$1713,0),7),"")))</f>
        <v/>
      </c>
      <c r="O150" s="4"/>
      <c r="P150" s="4"/>
      <c r="Q150" s="4"/>
      <c r="R150" s="4"/>
      <c r="S150" s="4"/>
      <c r="T150" s="4"/>
      <c r="U150" s="4"/>
      <c r="V150" s="4" t="str">
        <f t="shared" si="27"/>
        <v/>
      </c>
      <c r="W150" s="4"/>
      <c r="X150" s="4" t="str">
        <f t="shared" si="28"/>
        <v/>
      </c>
      <c r="Y150" s="4" t="str">
        <f t="shared" si="30"/>
        <v/>
      </c>
      <c r="Z150" s="4" t="str">
        <f t="shared" si="29"/>
        <v/>
      </c>
      <c r="AA150" s="4"/>
      <c r="AB150" s="4"/>
      <c r="AC150" s="4"/>
      <c r="AD150" s="4" t="str">
        <f>IF(H150="","",IFERROR(INDEX(DB!$B$2:$U$1713,MATCH(UPPER(TRIM(H150)),DB!$B$2:$B$1713,0),8),IFERROR(INDEX(DB!$B$2:$U$1713,MATCH(UPPER(TRIM(H150)),DB!$J$2:$J$1713,0),8),"")))</f>
        <v/>
      </c>
      <c r="AE150" s="4"/>
      <c r="AF150" s="4"/>
      <c r="AG150" s="4"/>
      <c r="AI150" t="str">
        <f>IF(AI4&lt;&gt;"",HYPERLINK("https://echa.europa.eu/search-for-chemicals?search_criteria_ecnumber=" &amp; AI4,"ECHA"),"")</f>
        <v/>
      </c>
    </row>
    <row r="151" spans="1:35" ht="15" customHeight="1" x14ac:dyDescent="0.25">
      <c r="A151" s="6" t="str">
        <f t="shared" si="26"/>
        <v/>
      </c>
      <c r="B151" s="6"/>
      <c r="C151" s="6"/>
      <c r="D151" s="7" t="str">
        <f t="shared" si="25"/>
        <v/>
      </c>
      <c r="E151" s="6"/>
      <c r="F151" s="6"/>
      <c r="G151" s="6"/>
      <c r="H151" s="6"/>
      <c r="I151" s="6" t="str">
        <f>IFERROR(INDEX(DB!$C$2:$C$2267,MATCH(UPPER(TRIM($H149)),DB!$B$2:$B$2267,0)),IFERROR(INDEX(DB!$C$2:$C$2267,MATCH(UPPER(TRIM($H149)),DB!$J$2:$J$2267,0)),""))</f>
        <v/>
      </c>
      <c r="J151" s="6" t="str">
        <f>IF(H149="","",IFERROR(INDEX(DB!$B$2:$U$2267,MATCH(UPPER(TRIM($H149)),DB!$B$2:$B$2267,0),3),IFERROR(INDEX(DB!$B$2:$U$2267,MATCH(UPPER(TRIM($H149)),DB!$J$2:$J$2267,0),3),"")))</f>
        <v/>
      </c>
      <c r="K151" s="6" t="str">
        <f>IF(H149="","",IFERROR(INDEX(DB!$B$2:$U$2267,MATCH(UPPER(TRIM($H149)),DB!$B$2:$B$2267,0),4),IFERROR(INDEX(DB!$B$2:$U$2267,MATCH(UPPER(TRIM($H149)),DB!$J$2:$J$2267,0),4),"")))</f>
        <v/>
      </c>
      <c r="L151" s="6" t="str">
        <f>IF(H149="","",IFERROR(INDEX(DB!$B$2:$U$2267,MATCH(UPPER(TRIM($H149)),DB!$B$2:$B$2267,0),5),IFERROR(INDEX(DB!$B$2:$U$2267,MATCH(UPPER(TRIM($H149)),DB!$J$2:$J$2267,0),5),"")))</f>
        <v/>
      </c>
      <c r="M151" s="6" t="str">
        <f>IF(H149="","",IFERROR(INDEX(DB!$B$2:$U$2267,MATCH(UPPER(TRIM($H149)),DB!$B$2:$B$2267,0),6),IFERROR(INDEX(DB!$B$2:$U$2267,MATCH(UPPER(TRIM($H149)),DB!$J$2:$J$2267,0),6),"")))</f>
        <v/>
      </c>
      <c r="N151" s="6" t="str">
        <f>IF(H151="","",IFERROR(INDEX(DB!$B$2:$U$1713,MATCH(UPPER(TRIM(H151)),DB!$B$2:$B$1713,0),7),IFERROR(INDEX(DB!$B$2:$U$1713,MATCH(UPPER(TRIM(H151)),DB!$J$2:$J$1713,0),7),"")))</f>
        <v/>
      </c>
      <c r="O151" s="6"/>
      <c r="P151" s="6"/>
      <c r="Q151" s="6"/>
      <c r="R151" s="6"/>
      <c r="S151" s="6"/>
      <c r="T151" s="6"/>
      <c r="U151" s="6"/>
      <c r="V151" s="6" t="str">
        <f t="shared" si="27"/>
        <v/>
      </c>
      <c r="W151" s="6"/>
      <c r="X151" s="6" t="str">
        <f t="shared" si="28"/>
        <v/>
      </c>
      <c r="Y151" s="6" t="str">
        <f t="shared" si="30"/>
        <v/>
      </c>
      <c r="Z151" s="6" t="str">
        <f t="shared" si="29"/>
        <v/>
      </c>
      <c r="AA151" s="6"/>
      <c r="AB151" s="6"/>
      <c r="AC151" s="6"/>
      <c r="AD151" s="6" t="str">
        <f>IF(H151="","",IFERROR(INDEX(DB!$B$2:$U$1713,MATCH(UPPER(TRIM(H151)),DB!$B$2:$B$1713,0),8),IFERROR(INDEX(DB!$B$2:$U$1713,MATCH(UPPER(TRIM(H151)),DB!$J$2:$J$1713,0),8),"")))</f>
        <v/>
      </c>
      <c r="AE151" s="6"/>
      <c r="AF151" s="6"/>
      <c r="AG151" s="6"/>
      <c r="AI151" t="str">
        <f>IF(AI4&lt;&gt;"",HYPERLINK("https://echa.europa.eu/search-for-chemicals?search_criteria_ecnumber=" &amp; AI4,"ECHA"),"")</f>
        <v/>
      </c>
    </row>
    <row r="152" spans="1:35" ht="15" customHeight="1" x14ac:dyDescent="0.25">
      <c r="A152" s="4" t="str">
        <f t="shared" si="26"/>
        <v/>
      </c>
      <c r="B152" s="4"/>
      <c r="C152" s="4"/>
      <c r="D152" s="5" t="str">
        <f t="shared" ref="D152:D183" si="31">IF(B150="","",B150+365)</f>
        <v/>
      </c>
      <c r="E152" s="4"/>
      <c r="F152" s="4"/>
      <c r="G152" s="4"/>
      <c r="H152" s="4"/>
      <c r="I152" s="4" t="str">
        <f>IFERROR(INDEX(DB!$C$2:$C$2267,MATCH(UPPER(TRIM($H150)),DB!$B$2:$B$2267,0)),IFERROR(INDEX(DB!$C$2:$C$2267,MATCH(UPPER(TRIM($H150)),DB!$J$2:$J$2267,0)),""))</f>
        <v/>
      </c>
      <c r="J152" s="4" t="str">
        <f>IF(H150="","",IFERROR(INDEX(DB!$B$2:$U$2267,MATCH(UPPER(TRIM($H150)),DB!$B$2:$B$2267,0),3),IFERROR(INDEX(DB!$B$2:$U$2267,MATCH(UPPER(TRIM($H150)),DB!$J$2:$J$2267,0),3),"")))</f>
        <v/>
      </c>
      <c r="K152" s="4" t="str">
        <f>IF(H150="","",IFERROR(INDEX(DB!$B$2:$U$2267,MATCH(UPPER(TRIM($H150)),DB!$B$2:$B$2267,0),4),IFERROR(INDEX(DB!$B$2:$U$2267,MATCH(UPPER(TRIM($H150)),DB!$J$2:$J$2267,0),4),"")))</f>
        <v/>
      </c>
      <c r="L152" s="4" t="str">
        <f>IF(H150="","",IFERROR(INDEX(DB!$B$2:$U$2267,MATCH(UPPER(TRIM($H150)),DB!$B$2:$B$2267,0),5),IFERROR(INDEX(DB!$B$2:$U$2267,MATCH(UPPER(TRIM($H150)),DB!$J$2:$J$2267,0),5),"")))</f>
        <v/>
      </c>
      <c r="M152" s="4" t="str">
        <f>IF(H150="","",IFERROR(INDEX(DB!$B$2:$U$2267,MATCH(UPPER(TRIM($H150)),DB!$B$2:$B$2267,0),6),IFERROR(INDEX(DB!$B$2:$U$2267,MATCH(UPPER(TRIM($H150)),DB!$J$2:$J$2267,0),6),"")))</f>
        <v/>
      </c>
      <c r="N152" s="4" t="str">
        <f>IF(H152="","",IFERROR(INDEX(DB!$B$2:$U$1713,MATCH(UPPER(TRIM(H152)),DB!$B$2:$B$1713,0),7),IFERROR(INDEX(DB!$B$2:$U$1713,MATCH(UPPER(TRIM(H152)),DB!$J$2:$J$1713,0),7),"")))</f>
        <v/>
      </c>
      <c r="O152" s="4"/>
      <c r="P152" s="4"/>
      <c r="Q152" s="4"/>
      <c r="R152" s="4"/>
      <c r="S152" s="4"/>
      <c r="T152" s="4"/>
      <c r="U152" s="4"/>
      <c r="V152" s="4" t="str">
        <f t="shared" si="27"/>
        <v/>
      </c>
      <c r="W152" s="4"/>
      <c r="X152" s="4" t="str">
        <f t="shared" si="28"/>
        <v/>
      </c>
      <c r="Y152" s="4" t="str">
        <f t="shared" si="30"/>
        <v/>
      </c>
      <c r="Z152" s="4" t="str">
        <f t="shared" si="29"/>
        <v/>
      </c>
      <c r="AA152" s="4"/>
      <c r="AB152" s="4"/>
      <c r="AC152" s="4"/>
      <c r="AD152" s="4" t="str">
        <f>IF(H152="","",IFERROR(INDEX(DB!$B$2:$U$1713,MATCH(UPPER(TRIM(H152)),DB!$B$2:$B$1713,0),8),IFERROR(INDEX(DB!$B$2:$U$1713,MATCH(UPPER(TRIM(H152)),DB!$J$2:$J$1713,0),8),"")))</f>
        <v/>
      </c>
      <c r="AE152" s="4"/>
      <c r="AF152" s="4"/>
      <c r="AG152" s="4"/>
      <c r="AI152" t="str">
        <f>IF(AI4&lt;&gt;"",HYPERLINK("https://echa.europa.eu/search-for-chemicals?search_criteria_ecnumber=" &amp; AI4,"ECHA"),"")</f>
        <v/>
      </c>
    </row>
    <row r="153" spans="1:35" ht="15" customHeight="1" x14ac:dyDescent="0.25">
      <c r="A153" s="6" t="str">
        <f t="shared" si="26"/>
        <v/>
      </c>
      <c r="B153" s="6"/>
      <c r="C153" s="6"/>
      <c r="D153" s="7" t="str">
        <f t="shared" si="31"/>
        <v/>
      </c>
      <c r="E153" s="6"/>
      <c r="F153" s="6"/>
      <c r="G153" s="6"/>
      <c r="H153" s="6"/>
      <c r="I153" s="6" t="str">
        <f>IFERROR(INDEX(DB!$C$2:$C$2267,MATCH(UPPER(TRIM($H151)),DB!$B$2:$B$2267,0)),IFERROR(INDEX(DB!$C$2:$C$2267,MATCH(UPPER(TRIM($H151)),DB!$J$2:$J$2267,0)),""))</f>
        <v/>
      </c>
      <c r="J153" s="6" t="str">
        <f>IF(H151="","",IFERROR(INDEX(DB!$B$2:$U$2267,MATCH(UPPER(TRIM($H151)),DB!$B$2:$B$2267,0),3),IFERROR(INDEX(DB!$B$2:$U$2267,MATCH(UPPER(TRIM($H151)),DB!$J$2:$J$2267,0),3),"")))</f>
        <v/>
      </c>
      <c r="K153" s="6" t="str">
        <f>IF(H151="","",IFERROR(INDEX(DB!$B$2:$U$2267,MATCH(UPPER(TRIM($H151)),DB!$B$2:$B$2267,0),4),IFERROR(INDEX(DB!$B$2:$U$2267,MATCH(UPPER(TRIM($H151)),DB!$J$2:$J$2267,0),4),"")))</f>
        <v/>
      </c>
      <c r="L153" s="6" t="str">
        <f>IF(H151="","",IFERROR(INDEX(DB!$B$2:$U$2267,MATCH(UPPER(TRIM($H151)),DB!$B$2:$B$2267,0),5),IFERROR(INDEX(DB!$B$2:$U$2267,MATCH(UPPER(TRIM($H151)),DB!$J$2:$J$2267,0),5),"")))</f>
        <v/>
      </c>
      <c r="M153" s="6" t="str">
        <f>IF(H151="","",IFERROR(INDEX(DB!$B$2:$U$2267,MATCH(UPPER(TRIM($H151)),DB!$B$2:$B$2267,0),6),IFERROR(INDEX(DB!$B$2:$U$2267,MATCH(UPPER(TRIM($H151)),DB!$J$2:$J$2267,0),6),"")))</f>
        <v/>
      </c>
      <c r="N153" s="6" t="str">
        <f>IF(H153="","",IFERROR(INDEX(DB!$B$2:$U$1713,MATCH(UPPER(TRIM(H153)),DB!$B$2:$B$1713,0),7),IFERROR(INDEX(DB!$B$2:$U$1713,MATCH(UPPER(TRIM(H153)),DB!$J$2:$J$1713,0),7),"")))</f>
        <v/>
      </c>
      <c r="O153" s="6"/>
      <c r="P153" s="6"/>
      <c r="Q153" s="6"/>
      <c r="R153" s="6"/>
      <c r="S153" s="6"/>
      <c r="T153" s="6"/>
      <c r="U153" s="6"/>
      <c r="V153" s="6" t="str">
        <f t="shared" si="27"/>
        <v/>
      </c>
      <c r="W153" s="6"/>
      <c r="X153" s="6" t="str">
        <f t="shared" si="28"/>
        <v/>
      </c>
      <c r="Y153" s="6" t="str">
        <f t="shared" si="30"/>
        <v/>
      </c>
      <c r="Z153" s="6" t="str">
        <f t="shared" si="29"/>
        <v/>
      </c>
      <c r="AA153" s="6"/>
      <c r="AB153" s="6"/>
      <c r="AC153" s="6"/>
      <c r="AD153" s="6" t="str">
        <f>IF(H153="","",IFERROR(INDEX(DB!$B$2:$U$1713,MATCH(UPPER(TRIM(H153)),DB!$B$2:$B$1713,0),8),IFERROR(INDEX(DB!$B$2:$U$1713,MATCH(UPPER(TRIM(H153)),DB!$J$2:$J$1713,0),8),"")))</f>
        <v/>
      </c>
      <c r="AE153" s="6"/>
      <c r="AF153" s="6"/>
      <c r="AG153" s="6"/>
      <c r="AI153" t="str">
        <f>IF(AI4&lt;&gt;"",HYPERLINK("https://echa.europa.eu/search-for-chemicals?search_criteria_ecnumber=" &amp; AI4,"ECHA"),"")</f>
        <v/>
      </c>
    </row>
    <row r="154" spans="1:35" ht="15" customHeight="1" x14ac:dyDescent="0.25">
      <c r="A154" s="4" t="str">
        <f t="shared" si="26"/>
        <v/>
      </c>
      <c r="B154" s="4"/>
      <c r="C154" s="4"/>
      <c r="D154" s="5" t="str">
        <f t="shared" si="31"/>
        <v/>
      </c>
      <c r="E154" s="4"/>
      <c r="F154" s="4"/>
      <c r="G154" s="4"/>
      <c r="H154" s="4"/>
      <c r="I154" s="4" t="str">
        <f>IFERROR(INDEX(DB!$C$2:$C$2267,MATCH(UPPER(TRIM($H152)),DB!$B$2:$B$2267,0)),IFERROR(INDEX(DB!$C$2:$C$2267,MATCH(UPPER(TRIM($H152)),DB!$J$2:$J$2267,0)),""))</f>
        <v/>
      </c>
      <c r="J154" s="4" t="str">
        <f>IF(H152="","",IFERROR(INDEX(DB!$B$2:$U$2267,MATCH(UPPER(TRIM($H152)),DB!$B$2:$B$2267,0),3),IFERROR(INDEX(DB!$B$2:$U$2267,MATCH(UPPER(TRIM($H152)),DB!$J$2:$J$2267,0),3),"")))</f>
        <v/>
      </c>
      <c r="K154" s="4" t="str">
        <f>IF(H152="","",IFERROR(INDEX(DB!$B$2:$U$2267,MATCH(UPPER(TRIM($H152)),DB!$B$2:$B$2267,0),4),IFERROR(INDEX(DB!$B$2:$U$2267,MATCH(UPPER(TRIM($H152)),DB!$J$2:$J$2267,0),4),"")))</f>
        <v/>
      </c>
      <c r="L154" s="4" t="str">
        <f>IF(H152="","",IFERROR(INDEX(DB!$B$2:$U$2267,MATCH(UPPER(TRIM($H152)),DB!$B$2:$B$2267,0),5),IFERROR(INDEX(DB!$B$2:$U$2267,MATCH(UPPER(TRIM($H152)),DB!$J$2:$J$2267,0),5),"")))</f>
        <v/>
      </c>
      <c r="M154" s="4" t="str">
        <f>IF(H152="","",IFERROR(INDEX(DB!$B$2:$U$2267,MATCH(UPPER(TRIM($H152)),DB!$B$2:$B$2267,0),6),IFERROR(INDEX(DB!$B$2:$U$2267,MATCH(UPPER(TRIM($H152)),DB!$J$2:$J$2267,0),6),"")))</f>
        <v/>
      </c>
      <c r="N154" s="4" t="str">
        <f>IF(H154="","",IFERROR(INDEX(DB!$B$2:$U$1713,MATCH(UPPER(TRIM(H154)),DB!$B$2:$B$1713,0),7),IFERROR(INDEX(DB!$B$2:$U$1713,MATCH(UPPER(TRIM(H154)),DB!$J$2:$J$1713,0),7),"")))</f>
        <v/>
      </c>
      <c r="O154" s="4"/>
      <c r="P154" s="4"/>
      <c r="Q154" s="4"/>
      <c r="R154" s="4"/>
      <c r="S154" s="4"/>
      <c r="T154" s="4"/>
      <c r="U154" s="4"/>
      <c r="V154" s="4" t="str">
        <f t="shared" si="27"/>
        <v/>
      </c>
      <c r="W154" s="4"/>
      <c r="X154" s="4" t="str">
        <f t="shared" si="28"/>
        <v/>
      </c>
      <c r="Y154" s="4" t="str">
        <f t="shared" si="30"/>
        <v/>
      </c>
      <c r="Z154" s="4" t="str">
        <f t="shared" si="29"/>
        <v/>
      </c>
      <c r="AA154" s="4"/>
      <c r="AB154" s="4"/>
      <c r="AC154" s="4"/>
      <c r="AD154" s="4" t="str">
        <f>IF(H154="","",IFERROR(INDEX(DB!$B$2:$U$1713,MATCH(UPPER(TRIM(H154)),DB!$B$2:$B$1713,0),8),IFERROR(INDEX(DB!$B$2:$U$1713,MATCH(UPPER(TRIM(H154)),DB!$J$2:$J$1713,0),8),"")))</f>
        <v/>
      </c>
      <c r="AE154" s="4"/>
      <c r="AF154" s="4"/>
      <c r="AG154" s="4"/>
      <c r="AI154" t="str">
        <f>IF(AI4&lt;&gt;"",HYPERLINK("https://echa.europa.eu/search-for-chemicals?search_criteria_ecnumber=" &amp; AI4,"ECHA"),"")</f>
        <v/>
      </c>
    </row>
    <row r="155" spans="1:35" ht="15" customHeight="1" x14ac:dyDescent="0.25">
      <c r="A155" s="6" t="str">
        <f t="shared" si="26"/>
        <v/>
      </c>
      <c r="B155" s="6"/>
      <c r="C155" s="6"/>
      <c r="D155" s="7" t="str">
        <f t="shared" si="31"/>
        <v/>
      </c>
      <c r="E155" s="6"/>
      <c r="F155" s="6"/>
      <c r="G155" s="6"/>
      <c r="H155" s="6"/>
      <c r="I155" s="6" t="str">
        <f>IFERROR(INDEX(DB!$C$2:$C$2267,MATCH(UPPER(TRIM($H153)),DB!$B$2:$B$2267,0)),IFERROR(INDEX(DB!$C$2:$C$2267,MATCH(UPPER(TRIM($H153)),DB!$J$2:$J$2267,0)),""))</f>
        <v/>
      </c>
      <c r="J155" s="6" t="str">
        <f>IF(H153="","",IFERROR(INDEX(DB!$B$2:$U$2267,MATCH(UPPER(TRIM($H153)),DB!$B$2:$B$2267,0),3),IFERROR(INDEX(DB!$B$2:$U$2267,MATCH(UPPER(TRIM($H153)),DB!$J$2:$J$2267,0),3),"")))</f>
        <v/>
      </c>
      <c r="K155" s="6" t="str">
        <f>IF(H153="","",IFERROR(INDEX(DB!$B$2:$U$2267,MATCH(UPPER(TRIM($H153)),DB!$B$2:$B$2267,0),4),IFERROR(INDEX(DB!$B$2:$U$2267,MATCH(UPPER(TRIM($H153)),DB!$J$2:$J$2267,0),4),"")))</f>
        <v/>
      </c>
      <c r="L155" s="6" t="str">
        <f>IF(H153="","",IFERROR(INDEX(DB!$B$2:$U$2267,MATCH(UPPER(TRIM($H153)),DB!$B$2:$B$2267,0),5),IFERROR(INDEX(DB!$B$2:$U$2267,MATCH(UPPER(TRIM($H153)),DB!$J$2:$J$2267,0),5),"")))</f>
        <v/>
      </c>
      <c r="M155" s="6" t="str">
        <f>IF(H153="","",IFERROR(INDEX(DB!$B$2:$U$2267,MATCH(UPPER(TRIM($H153)),DB!$B$2:$B$2267,0),6),IFERROR(INDEX(DB!$B$2:$U$2267,MATCH(UPPER(TRIM($H153)),DB!$J$2:$J$2267,0),6),"")))</f>
        <v/>
      </c>
      <c r="N155" s="6" t="str">
        <f>IF(H155="","",IFERROR(INDEX(DB!$B$2:$U$1713,MATCH(UPPER(TRIM(H155)),DB!$B$2:$B$1713,0),7),IFERROR(INDEX(DB!$B$2:$U$1713,MATCH(UPPER(TRIM(H155)),DB!$J$2:$J$1713,0),7),"")))</f>
        <v/>
      </c>
      <c r="O155" s="6"/>
      <c r="P155" s="6"/>
      <c r="Q155" s="6"/>
      <c r="R155" s="6"/>
      <c r="S155" s="6"/>
      <c r="T155" s="6"/>
      <c r="U155" s="6"/>
      <c r="V155" s="6" t="str">
        <f t="shared" si="27"/>
        <v/>
      </c>
      <c r="W155" s="6"/>
      <c r="X155" s="6" t="str">
        <f t="shared" si="28"/>
        <v/>
      </c>
      <c r="Y155" s="6" t="str">
        <f t="shared" si="30"/>
        <v/>
      </c>
      <c r="Z155" s="6" t="str">
        <f t="shared" si="29"/>
        <v/>
      </c>
      <c r="AA155" s="6"/>
      <c r="AB155" s="6"/>
      <c r="AC155" s="6"/>
      <c r="AD155" s="6" t="str">
        <f>IF(H155="","",IFERROR(INDEX(DB!$B$2:$U$1713,MATCH(UPPER(TRIM(H155)),DB!$B$2:$B$1713,0),8),IFERROR(INDEX(DB!$B$2:$U$1713,MATCH(UPPER(TRIM(H155)),DB!$J$2:$J$1713,0),8),"")))</f>
        <v/>
      </c>
      <c r="AE155" s="6"/>
      <c r="AF155" s="6"/>
      <c r="AG155" s="6"/>
      <c r="AI155" t="str">
        <f>IF(AI4&lt;&gt;"",HYPERLINK("https://echa.europa.eu/search-for-chemicals?search_criteria_ecnumber=" &amp; AI4,"ECHA"),"")</f>
        <v/>
      </c>
    </row>
    <row r="156" spans="1:35" ht="15" customHeight="1" x14ac:dyDescent="0.25">
      <c r="A156" s="4" t="str">
        <f t="shared" si="26"/>
        <v/>
      </c>
      <c r="B156" s="4"/>
      <c r="C156" s="4"/>
      <c r="D156" s="5" t="str">
        <f t="shared" si="31"/>
        <v/>
      </c>
      <c r="E156" s="4"/>
      <c r="F156" s="4"/>
      <c r="G156" s="4"/>
      <c r="H156" s="4"/>
      <c r="I156" s="4" t="str">
        <f>IFERROR(INDEX(DB!$C$2:$C$2267,MATCH(UPPER(TRIM($H154)),DB!$B$2:$B$2267,0)),IFERROR(INDEX(DB!$C$2:$C$2267,MATCH(UPPER(TRIM($H154)),DB!$J$2:$J$2267,0)),""))</f>
        <v/>
      </c>
      <c r="J156" s="4" t="str">
        <f>IF(H154="","",IFERROR(INDEX(DB!$B$2:$U$2267,MATCH(UPPER(TRIM($H154)),DB!$B$2:$B$2267,0),3),IFERROR(INDEX(DB!$B$2:$U$2267,MATCH(UPPER(TRIM($H154)),DB!$J$2:$J$2267,0),3),"")))</f>
        <v/>
      </c>
      <c r="K156" s="4" t="str">
        <f>IF(H154="","",IFERROR(INDEX(DB!$B$2:$U$2267,MATCH(UPPER(TRIM($H154)),DB!$B$2:$B$2267,0),4),IFERROR(INDEX(DB!$B$2:$U$2267,MATCH(UPPER(TRIM($H154)),DB!$J$2:$J$2267,0),4),"")))</f>
        <v/>
      </c>
      <c r="L156" s="4" t="str">
        <f>IF(H154="","",IFERROR(INDEX(DB!$B$2:$U$2267,MATCH(UPPER(TRIM($H154)),DB!$B$2:$B$2267,0),5),IFERROR(INDEX(DB!$B$2:$U$2267,MATCH(UPPER(TRIM($H154)),DB!$J$2:$J$2267,0),5),"")))</f>
        <v/>
      </c>
      <c r="M156" s="4" t="str">
        <f>IF(H154="","",IFERROR(INDEX(DB!$B$2:$U$2267,MATCH(UPPER(TRIM($H154)),DB!$B$2:$B$2267,0),6),IFERROR(INDEX(DB!$B$2:$U$2267,MATCH(UPPER(TRIM($H154)),DB!$J$2:$J$2267,0),6),"")))</f>
        <v/>
      </c>
      <c r="N156" s="4" t="str">
        <f>IF(H156="","",IFERROR(INDEX(DB!$B$2:$U$1713,MATCH(UPPER(TRIM(H156)),DB!$B$2:$B$1713,0),7),IFERROR(INDEX(DB!$B$2:$U$1713,MATCH(UPPER(TRIM(H156)),DB!$J$2:$J$1713,0),7),"")))</f>
        <v/>
      </c>
      <c r="O156" s="4"/>
      <c r="P156" s="4"/>
      <c r="Q156" s="4"/>
      <c r="R156" s="4"/>
      <c r="S156" s="4"/>
      <c r="T156" s="4"/>
      <c r="U156" s="4"/>
      <c r="V156" s="4" t="str">
        <f t="shared" si="27"/>
        <v/>
      </c>
      <c r="W156" s="4"/>
      <c r="X156" s="4" t="str">
        <f t="shared" si="28"/>
        <v/>
      </c>
      <c r="Y156" s="4" t="str">
        <f t="shared" si="30"/>
        <v/>
      </c>
      <c r="Z156" s="4" t="str">
        <f t="shared" si="29"/>
        <v/>
      </c>
      <c r="AA156" s="4"/>
      <c r="AB156" s="4"/>
      <c r="AC156" s="4"/>
      <c r="AD156" s="4" t="str">
        <f>IF(H156="","",IFERROR(INDEX(DB!$B$2:$U$1713,MATCH(UPPER(TRIM(H156)),DB!$B$2:$B$1713,0),8),IFERROR(INDEX(DB!$B$2:$U$1713,MATCH(UPPER(TRIM(H156)),DB!$J$2:$J$1713,0),8),"")))</f>
        <v/>
      </c>
      <c r="AE156" s="4"/>
      <c r="AF156" s="4"/>
      <c r="AG156" s="4"/>
      <c r="AI156" t="str">
        <f>IF(AI4&lt;&gt;"",HYPERLINK("https://echa.europa.eu/search-for-chemicals?search_criteria_ecnumber=" &amp; AI4,"ECHA"),"")</f>
        <v/>
      </c>
    </row>
    <row r="157" spans="1:35" ht="15" customHeight="1" x14ac:dyDescent="0.25">
      <c r="A157" s="6" t="str">
        <f t="shared" si="26"/>
        <v/>
      </c>
      <c r="B157" s="6"/>
      <c r="C157" s="6"/>
      <c r="D157" s="7" t="str">
        <f t="shared" si="31"/>
        <v/>
      </c>
      <c r="E157" s="6"/>
      <c r="F157" s="6"/>
      <c r="G157" s="6"/>
      <c r="H157" s="6"/>
      <c r="I157" s="6" t="str">
        <f>IFERROR(INDEX(DB!$C$2:$C$2267,MATCH(UPPER(TRIM($H155)),DB!$B$2:$B$2267,0)),IFERROR(INDEX(DB!$C$2:$C$2267,MATCH(UPPER(TRIM($H155)),DB!$J$2:$J$2267,0)),""))</f>
        <v/>
      </c>
      <c r="J157" s="6" t="str">
        <f>IF(H155="","",IFERROR(INDEX(DB!$B$2:$U$2267,MATCH(UPPER(TRIM($H155)),DB!$B$2:$B$2267,0),3),IFERROR(INDEX(DB!$B$2:$U$2267,MATCH(UPPER(TRIM($H155)),DB!$J$2:$J$2267,0),3),"")))</f>
        <v/>
      </c>
      <c r="K157" s="6" t="str">
        <f>IF(H155="","",IFERROR(INDEX(DB!$B$2:$U$2267,MATCH(UPPER(TRIM($H155)),DB!$B$2:$B$2267,0),4),IFERROR(INDEX(DB!$B$2:$U$2267,MATCH(UPPER(TRIM($H155)),DB!$J$2:$J$2267,0),4),"")))</f>
        <v/>
      </c>
      <c r="L157" s="6" t="str">
        <f>IF(H155="","",IFERROR(INDEX(DB!$B$2:$U$2267,MATCH(UPPER(TRIM($H155)),DB!$B$2:$B$2267,0),5),IFERROR(INDEX(DB!$B$2:$U$2267,MATCH(UPPER(TRIM($H155)),DB!$J$2:$J$2267,0),5),"")))</f>
        <v/>
      </c>
      <c r="M157" s="6" t="str">
        <f>IF(H155="","",IFERROR(INDEX(DB!$B$2:$U$2267,MATCH(UPPER(TRIM($H155)),DB!$B$2:$B$2267,0),6),IFERROR(INDEX(DB!$B$2:$U$2267,MATCH(UPPER(TRIM($H155)),DB!$J$2:$J$2267,0),6),"")))</f>
        <v/>
      </c>
      <c r="N157" s="6" t="str">
        <f>IF(H157="","",IFERROR(INDEX(DB!$B$2:$U$1713,MATCH(UPPER(TRIM(H157)),DB!$B$2:$B$1713,0),7),IFERROR(INDEX(DB!$B$2:$U$1713,MATCH(UPPER(TRIM(H157)),DB!$J$2:$J$1713,0),7),"")))</f>
        <v/>
      </c>
      <c r="O157" s="6"/>
      <c r="P157" s="6"/>
      <c r="Q157" s="6"/>
      <c r="R157" s="6"/>
      <c r="S157" s="6"/>
      <c r="T157" s="6"/>
      <c r="U157" s="6"/>
      <c r="V157" s="6" t="str">
        <f t="shared" si="27"/>
        <v/>
      </c>
      <c r="W157" s="6"/>
      <c r="X157" s="6" t="str">
        <f t="shared" si="28"/>
        <v/>
      </c>
      <c r="Y157" s="6" t="str">
        <f t="shared" si="30"/>
        <v/>
      </c>
      <c r="Z157" s="6" t="str">
        <f t="shared" si="29"/>
        <v/>
      </c>
      <c r="AA157" s="6"/>
      <c r="AB157" s="6"/>
      <c r="AC157" s="6"/>
      <c r="AD157" s="6" t="str">
        <f>IF(H157="","",IFERROR(INDEX(DB!$B$2:$U$1713,MATCH(UPPER(TRIM(H157)),DB!$B$2:$B$1713,0),8),IFERROR(INDEX(DB!$B$2:$U$1713,MATCH(UPPER(TRIM(H157)),DB!$J$2:$J$1713,0),8),"")))</f>
        <v/>
      </c>
      <c r="AE157" s="6"/>
      <c r="AF157" s="6"/>
      <c r="AG157" s="6"/>
      <c r="AI157" t="str">
        <f>IF(AI4&lt;&gt;"",HYPERLINK("https://echa.europa.eu/search-for-chemicals?search_criteria_ecnumber=" &amp; AI4,"ECHA"),"")</f>
        <v/>
      </c>
    </row>
    <row r="158" spans="1:35" ht="15" customHeight="1" x14ac:dyDescent="0.25">
      <c r="A158" s="4" t="str">
        <f t="shared" si="26"/>
        <v/>
      </c>
      <c r="B158" s="4"/>
      <c r="C158" s="4"/>
      <c r="D158" s="5" t="str">
        <f t="shared" si="31"/>
        <v/>
      </c>
      <c r="E158" s="4"/>
      <c r="F158" s="4"/>
      <c r="G158" s="4"/>
      <c r="H158" s="4"/>
      <c r="I158" s="4" t="str">
        <f>IFERROR(INDEX(DB!$C$2:$C$2267,MATCH(UPPER(TRIM($H156)),DB!$B$2:$B$2267,0)),IFERROR(INDEX(DB!$C$2:$C$2267,MATCH(UPPER(TRIM($H156)),DB!$J$2:$J$2267,0)),""))</f>
        <v/>
      </c>
      <c r="J158" s="4" t="str">
        <f>IF(H156="","",IFERROR(INDEX(DB!$B$2:$U$2267,MATCH(UPPER(TRIM($H156)),DB!$B$2:$B$2267,0),3),IFERROR(INDEX(DB!$B$2:$U$2267,MATCH(UPPER(TRIM($H156)),DB!$J$2:$J$2267,0),3),"")))</f>
        <v/>
      </c>
      <c r="K158" s="4" t="str">
        <f>IF(H156="","",IFERROR(INDEX(DB!$B$2:$U$2267,MATCH(UPPER(TRIM($H156)),DB!$B$2:$B$2267,0),4),IFERROR(INDEX(DB!$B$2:$U$2267,MATCH(UPPER(TRIM($H156)),DB!$J$2:$J$2267,0),4),"")))</f>
        <v/>
      </c>
      <c r="L158" s="4" t="str">
        <f>IF(H156="","",IFERROR(INDEX(DB!$B$2:$U$2267,MATCH(UPPER(TRIM($H156)),DB!$B$2:$B$2267,0),5),IFERROR(INDEX(DB!$B$2:$U$2267,MATCH(UPPER(TRIM($H156)),DB!$J$2:$J$2267,0),5),"")))</f>
        <v/>
      </c>
      <c r="M158" s="4" t="str">
        <f>IF(H156="","",IFERROR(INDEX(DB!$B$2:$U$2267,MATCH(UPPER(TRIM($H156)),DB!$B$2:$B$2267,0),6),IFERROR(INDEX(DB!$B$2:$U$2267,MATCH(UPPER(TRIM($H156)),DB!$J$2:$J$2267,0),6),"")))</f>
        <v/>
      </c>
      <c r="N158" s="4" t="str">
        <f>IF(H158="","",IFERROR(INDEX(DB!$B$2:$U$1713,MATCH(UPPER(TRIM(H158)),DB!$B$2:$B$1713,0),7),IFERROR(INDEX(DB!$B$2:$U$1713,MATCH(UPPER(TRIM(H158)),DB!$J$2:$J$1713,0),7),"")))</f>
        <v/>
      </c>
      <c r="O158" s="4"/>
      <c r="P158" s="4"/>
      <c r="Q158" s="4"/>
      <c r="R158" s="4"/>
      <c r="S158" s="4"/>
      <c r="T158" s="4"/>
      <c r="U158" s="4"/>
      <c r="V158" s="4" t="str">
        <f t="shared" si="27"/>
        <v/>
      </c>
      <c r="W158" s="4"/>
      <c r="X158" s="4" t="str">
        <f t="shared" si="28"/>
        <v/>
      </c>
      <c r="Y158" s="4" t="str">
        <f t="shared" si="30"/>
        <v/>
      </c>
      <c r="Z158" s="4" t="str">
        <f t="shared" si="29"/>
        <v/>
      </c>
      <c r="AA158" s="4"/>
      <c r="AB158" s="4"/>
      <c r="AC158" s="4"/>
      <c r="AD158" s="4" t="str">
        <f>IF(H158="","",IFERROR(INDEX(DB!$B$2:$U$1713,MATCH(UPPER(TRIM(H158)),DB!$B$2:$B$1713,0),8),IFERROR(INDEX(DB!$B$2:$U$1713,MATCH(UPPER(TRIM(H158)),DB!$J$2:$J$1713,0),8),"")))</f>
        <v/>
      </c>
      <c r="AE158" s="4"/>
      <c r="AF158" s="4"/>
      <c r="AG158" s="4"/>
      <c r="AI158" t="str">
        <f>IF(AI4&lt;&gt;"",HYPERLINK("https://echa.europa.eu/search-for-chemicals?search_criteria_ecnumber=" &amp; AI4,"ECHA"),"")</f>
        <v/>
      </c>
    </row>
    <row r="159" spans="1:35" ht="15" customHeight="1" x14ac:dyDescent="0.25">
      <c r="A159" s="6" t="str">
        <f t="shared" si="26"/>
        <v/>
      </c>
      <c r="B159" s="6"/>
      <c r="C159" s="6"/>
      <c r="D159" s="7" t="str">
        <f t="shared" si="31"/>
        <v/>
      </c>
      <c r="E159" s="6"/>
      <c r="F159" s="6"/>
      <c r="G159" s="6"/>
      <c r="H159" s="6"/>
      <c r="I159" s="6" t="str">
        <f>IFERROR(INDEX(DB!$C$2:$C$2267,MATCH(UPPER(TRIM($H157)),DB!$B$2:$B$2267,0)),IFERROR(INDEX(DB!$C$2:$C$2267,MATCH(UPPER(TRIM($H157)),DB!$J$2:$J$2267,0)),""))</f>
        <v/>
      </c>
      <c r="J159" s="6" t="str">
        <f>IF(H157="","",IFERROR(INDEX(DB!$B$2:$U$2267,MATCH(UPPER(TRIM($H157)),DB!$B$2:$B$2267,0),3),IFERROR(INDEX(DB!$B$2:$U$2267,MATCH(UPPER(TRIM($H157)),DB!$J$2:$J$2267,0),3),"")))</f>
        <v/>
      </c>
      <c r="K159" s="6" t="str">
        <f>IF(H157="","",IFERROR(INDEX(DB!$B$2:$U$2267,MATCH(UPPER(TRIM($H157)),DB!$B$2:$B$2267,0),4),IFERROR(INDEX(DB!$B$2:$U$2267,MATCH(UPPER(TRIM($H157)),DB!$J$2:$J$2267,0),4),"")))</f>
        <v/>
      </c>
      <c r="L159" s="6" t="str">
        <f>IF(H157="","",IFERROR(INDEX(DB!$B$2:$U$2267,MATCH(UPPER(TRIM($H157)),DB!$B$2:$B$2267,0),5),IFERROR(INDEX(DB!$B$2:$U$2267,MATCH(UPPER(TRIM($H157)),DB!$J$2:$J$2267,0),5),"")))</f>
        <v/>
      </c>
      <c r="M159" s="6" t="str">
        <f>IF(H157="","",IFERROR(INDEX(DB!$B$2:$U$2267,MATCH(UPPER(TRIM($H157)),DB!$B$2:$B$2267,0),6),IFERROR(INDEX(DB!$B$2:$U$2267,MATCH(UPPER(TRIM($H157)),DB!$J$2:$J$2267,0),6),"")))</f>
        <v/>
      </c>
      <c r="N159" s="6" t="str">
        <f>IF(H159="","",IFERROR(INDEX(DB!$B$2:$U$1713,MATCH(UPPER(TRIM(H159)),DB!$B$2:$B$1713,0),7),IFERROR(INDEX(DB!$B$2:$U$1713,MATCH(UPPER(TRIM(H159)),DB!$J$2:$J$1713,0),7),"")))</f>
        <v/>
      </c>
      <c r="O159" s="6"/>
      <c r="P159" s="6"/>
      <c r="Q159" s="6"/>
      <c r="R159" s="6"/>
      <c r="S159" s="6"/>
      <c r="T159" s="6"/>
      <c r="U159" s="6"/>
      <c r="V159" s="6" t="str">
        <f t="shared" si="27"/>
        <v/>
      </c>
      <c r="W159" s="6"/>
      <c r="X159" s="6" t="str">
        <f t="shared" si="28"/>
        <v/>
      </c>
      <c r="Y159" s="6" t="str">
        <f t="shared" si="30"/>
        <v/>
      </c>
      <c r="Z159" s="6" t="str">
        <f t="shared" si="29"/>
        <v/>
      </c>
      <c r="AA159" s="6"/>
      <c r="AB159" s="6"/>
      <c r="AC159" s="6"/>
      <c r="AD159" s="6" t="str">
        <f>IF(H159="","",IFERROR(INDEX(DB!$B$2:$U$1713,MATCH(UPPER(TRIM(H159)),DB!$B$2:$B$1713,0),8),IFERROR(INDEX(DB!$B$2:$U$1713,MATCH(UPPER(TRIM(H159)),DB!$J$2:$J$1713,0),8),"")))</f>
        <v/>
      </c>
      <c r="AE159" s="6"/>
      <c r="AF159" s="6"/>
      <c r="AG159" s="6"/>
      <c r="AI159" t="str">
        <f>IF(AI4&lt;&gt;"",HYPERLINK("https://echa.europa.eu/search-for-chemicals?search_criteria_ecnumber=" &amp; AI4,"ECHA"),"")</f>
        <v/>
      </c>
    </row>
    <row r="160" spans="1:35" ht="15" customHeight="1" x14ac:dyDescent="0.25">
      <c r="A160" s="4" t="str">
        <f t="shared" si="26"/>
        <v/>
      </c>
      <c r="B160" s="4"/>
      <c r="C160" s="4"/>
      <c r="D160" s="5" t="str">
        <f t="shared" si="31"/>
        <v/>
      </c>
      <c r="E160" s="4"/>
      <c r="F160" s="4"/>
      <c r="G160" s="4"/>
      <c r="H160" s="4"/>
      <c r="I160" s="4" t="str">
        <f>IFERROR(INDEX(DB!$C$2:$C$2267,MATCH(UPPER(TRIM($H158)),DB!$B$2:$B$2267,0)),IFERROR(INDEX(DB!$C$2:$C$2267,MATCH(UPPER(TRIM($H158)),DB!$J$2:$J$2267,0)),""))</f>
        <v/>
      </c>
      <c r="J160" s="4" t="str">
        <f>IF(H158="","",IFERROR(INDEX(DB!$B$2:$U$2267,MATCH(UPPER(TRIM($H158)),DB!$B$2:$B$2267,0),3),IFERROR(INDEX(DB!$B$2:$U$2267,MATCH(UPPER(TRIM($H158)),DB!$J$2:$J$2267,0),3),"")))</f>
        <v/>
      </c>
      <c r="K160" s="4" t="str">
        <f>IF(H158="","",IFERROR(INDEX(DB!$B$2:$U$2267,MATCH(UPPER(TRIM($H158)),DB!$B$2:$B$2267,0),4),IFERROR(INDEX(DB!$B$2:$U$2267,MATCH(UPPER(TRIM($H158)),DB!$J$2:$J$2267,0),4),"")))</f>
        <v/>
      </c>
      <c r="L160" s="4" t="str">
        <f>IF(H158="","",IFERROR(INDEX(DB!$B$2:$U$2267,MATCH(UPPER(TRIM($H158)),DB!$B$2:$B$2267,0),5),IFERROR(INDEX(DB!$B$2:$U$2267,MATCH(UPPER(TRIM($H158)),DB!$J$2:$J$2267,0),5),"")))</f>
        <v/>
      </c>
      <c r="M160" s="4" t="str">
        <f>IF(H158="","",IFERROR(INDEX(DB!$B$2:$U$2267,MATCH(UPPER(TRIM($H158)),DB!$B$2:$B$2267,0),6),IFERROR(INDEX(DB!$B$2:$U$2267,MATCH(UPPER(TRIM($H158)),DB!$J$2:$J$2267,0),6),"")))</f>
        <v/>
      </c>
      <c r="N160" s="4" t="str">
        <f>IF(H160="","",IFERROR(INDEX(DB!$B$2:$U$1713,MATCH(UPPER(TRIM(H160)),DB!$B$2:$B$1713,0),7),IFERROR(INDEX(DB!$B$2:$U$1713,MATCH(UPPER(TRIM(H160)),DB!$J$2:$J$1713,0),7),"")))</f>
        <v/>
      </c>
      <c r="O160" s="4"/>
      <c r="P160" s="4"/>
      <c r="Q160" s="4"/>
      <c r="R160" s="4"/>
      <c r="S160" s="4"/>
      <c r="T160" s="4"/>
      <c r="U160" s="4"/>
      <c r="V160" s="4" t="str">
        <f t="shared" si="27"/>
        <v/>
      </c>
      <c r="W160" s="4"/>
      <c r="X160" s="4" t="str">
        <f t="shared" si="28"/>
        <v/>
      </c>
      <c r="Y160" s="4" t="str">
        <f t="shared" si="30"/>
        <v/>
      </c>
      <c r="Z160" s="4" t="str">
        <f t="shared" si="29"/>
        <v/>
      </c>
      <c r="AA160" s="4"/>
      <c r="AB160" s="4"/>
      <c r="AC160" s="4"/>
      <c r="AD160" s="4" t="str">
        <f>IF(H160="","",IFERROR(INDEX(DB!$B$2:$U$1713,MATCH(UPPER(TRIM(H160)),DB!$B$2:$B$1713,0),8),IFERROR(INDEX(DB!$B$2:$U$1713,MATCH(UPPER(TRIM(H160)),DB!$J$2:$J$1713,0),8),"")))</f>
        <v/>
      </c>
      <c r="AE160" s="4"/>
      <c r="AF160" s="4"/>
      <c r="AG160" s="4"/>
      <c r="AI160" t="str">
        <f>IF(AI4&lt;&gt;"",HYPERLINK("https://echa.europa.eu/search-for-chemicals?search_criteria_ecnumber=" &amp; AI4,"ECHA"),"")</f>
        <v/>
      </c>
    </row>
    <row r="161" spans="1:35" ht="15" customHeight="1" x14ac:dyDescent="0.25">
      <c r="A161" s="6" t="str">
        <f t="shared" si="26"/>
        <v/>
      </c>
      <c r="B161" s="6"/>
      <c r="C161" s="6"/>
      <c r="D161" s="7" t="str">
        <f t="shared" si="31"/>
        <v/>
      </c>
      <c r="E161" s="6"/>
      <c r="F161" s="6"/>
      <c r="G161" s="6"/>
      <c r="H161" s="6"/>
      <c r="I161" s="6" t="str">
        <f>IFERROR(INDEX(DB!$C$2:$C$2267,MATCH(UPPER(TRIM($H159)),DB!$B$2:$B$2267,0)),IFERROR(INDEX(DB!$C$2:$C$2267,MATCH(UPPER(TRIM($H159)),DB!$J$2:$J$2267,0)),""))</f>
        <v/>
      </c>
      <c r="J161" s="6" t="str">
        <f>IF(H159="","",IFERROR(INDEX(DB!$B$2:$U$2267,MATCH(UPPER(TRIM($H159)),DB!$B$2:$B$2267,0),3),IFERROR(INDEX(DB!$B$2:$U$2267,MATCH(UPPER(TRIM($H159)),DB!$J$2:$J$2267,0),3),"")))</f>
        <v/>
      </c>
      <c r="K161" s="6" t="str">
        <f>IF(H159="","",IFERROR(INDEX(DB!$B$2:$U$2267,MATCH(UPPER(TRIM($H159)),DB!$B$2:$B$2267,0),4),IFERROR(INDEX(DB!$B$2:$U$2267,MATCH(UPPER(TRIM($H159)),DB!$J$2:$J$2267,0),4),"")))</f>
        <v/>
      </c>
      <c r="L161" s="6" t="str">
        <f>IF(H159="","",IFERROR(INDEX(DB!$B$2:$U$2267,MATCH(UPPER(TRIM($H159)),DB!$B$2:$B$2267,0),5),IFERROR(INDEX(DB!$B$2:$U$2267,MATCH(UPPER(TRIM($H159)),DB!$J$2:$J$2267,0),5),"")))</f>
        <v/>
      </c>
      <c r="M161" s="6" t="str">
        <f>IF(H159="","",IFERROR(INDEX(DB!$B$2:$U$2267,MATCH(UPPER(TRIM($H159)),DB!$B$2:$B$2267,0),6),IFERROR(INDEX(DB!$B$2:$U$2267,MATCH(UPPER(TRIM($H159)),DB!$J$2:$J$2267,0),6),"")))</f>
        <v/>
      </c>
      <c r="N161" s="6" t="str">
        <f>IF(H161="","",IFERROR(INDEX(DB!$B$2:$U$1713,MATCH(UPPER(TRIM(H161)),DB!$B$2:$B$1713,0),7),IFERROR(INDEX(DB!$B$2:$U$1713,MATCH(UPPER(TRIM(H161)),DB!$J$2:$J$1713,0),7),"")))</f>
        <v/>
      </c>
      <c r="O161" s="6"/>
      <c r="P161" s="6"/>
      <c r="Q161" s="6"/>
      <c r="R161" s="6"/>
      <c r="S161" s="6"/>
      <c r="T161" s="6"/>
      <c r="U161" s="6"/>
      <c r="V161" s="6" t="str">
        <f t="shared" si="27"/>
        <v/>
      </c>
      <c r="W161" s="6"/>
      <c r="X161" s="6" t="str">
        <f t="shared" si="28"/>
        <v/>
      </c>
      <c r="Y161" s="6" t="str">
        <f t="shared" si="30"/>
        <v/>
      </c>
      <c r="Z161" s="6" t="str">
        <f t="shared" si="29"/>
        <v/>
      </c>
      <c r="AA161" s="6"/>
      <c r="AB161" s="6"/>
      <c r="AC161" s="6"/>
      <c r="AD161" s="6" t="str">
        <f>IF(H161="","",IFERROR(INDEX(DB!$B$2:$U$1713,MATCH(UPPER(TRIM(H161)),DB!$B$2:$B$1713,0),8),IFERROR(INDEX(DB!$B$2:$U$1713,MATCH(UPPER(TRIM(H161)),DB!$J$2:$J$1713,0),8),"")))</f>
        <v/>
      </c>
      <c r="AE161" s="6"/>
      <c r="AF161" s="6"/>
      <c r="AG161" s="6"/>
      <c r="AI161" t="str">
        <f>IF(AI4&lt;&gt;"",HYPERLINK("https://echa.europa.eu/search-for-chemicals?search_criteria_ecnumber=" &amp; AI4,"ECHA"),"")</f>
        <v/>
      </c>
    </row>
    <row r="162" spans="1:35" ht="15" customHeight="1" x14ac:dyDescent="0.25">
      <c r="A162" s="4" t="str">
        <f t="shared" si="26"/>
        <v/>
      </c>
      <c r="B162" s="4"/>
      <c r="C162" s="4"/>
      <c r="D162" s="5" t="str">
        <f t="shared" si="31"/>
        <v/>
      </c>
      <c r="E162" s="4"/>
      <c r="F162" s="4"/>
      <c r="G162" s="4"/>
      <c r="H162" s="4"/>
      <c r="I162" s="4" t="str">
        <f>IFERROR(INDEX(DB!$C$2:$C$2267,MATCH(UPPER(TRIM($H160)),DB!$B$2:$B$2267,0)),IFERROR(INDEX(DB!$C$2:$C$2267,MATCH(UPPER(TRIM($H160)),DB!$J$2:$J$2267,0)),""))</f>
        <v/>
      </c>
      <c r="J162" s="4" t="str">
        <f>IF(H160="","",IFERROR(INDEX(DB!$B$2:$U$2267,MATCH(UPPER(TRIM($H160)),DB!$B$2:$B$2267,0),3),IFERROR(INDEX(DB!$B$2:$U$2267,MATCH(UPPER(TRIM($H160)),DB!$J$2:$J$2267,0),3),"")))</f>
        <v/>
      </c>
      <c r="K162" s="4" t="str">
        <f>IF(H160="","",IFERROR(INDEX(DB!$B$2:$U$2267,MATCH(UPPER(TRIM($H160)),DB!$B$2:$B$2267,0),4),IFERROR(INDEX(DB!$B$2:$U$2267,MATCH(UPPER(TRIM($H160)),DB!$J$2:$J$2267,0),4),"")))</f>
        <v/>
      </c>
      <c r="L162" s="4" t="str">
        <f>IF(H160="","",IFERROR(INDEX(DB!$B$2:$U$2267,MATCH(UPPER(TRIM($H160)),DB!$B$2:$B$2267,0),5),IFERROR(INDEX(DB!$B$2:$U$2267,MATCH(UPPER(TRIM($H160)),DB!$J$2:$J$2267,0),5),"")))</f>
        <v/>
      </c>
      <c r="M162" s="4" t="str">
        <f>IF(H160="","",IFERROR(INDEX(DB!$B$2:$U$2267,MATCH(UPPER(TRIM($H160)),DB!$B$2:$B$2267,0),6),IFERROR(INDEX(DB!$B$2:$U$2267,MATCH(UPPER(TRIM($H160)),DB!$J$2:$J$2267,0),6),"")))</f>
        <v/>
      </c>
      <c r="N162" s="4" t="str">
        <f>IF(H162="","",IFERROR(INDEX(DB!$B$2:$U$1713,MATCH(UPPER(TRIM(H162)),DB!$B$2:$B$1713,0),7),IFERROR(INDEX(DB!$B$2:$U$1713,MATCH(UPPER(TRIM(H162)),DB!$J$2:$J$1713,0),7),"")))</f>
        <v/>
      </c>
      <c r="O162" s="4"/>
      <c r="P162" s="4"/>
      <c r="Q162" s="4"/>
      <c r="R162" s="4"/>
      <c r="S162" s="4"/>
      <c r="T162" s="4"/>
      <c r="U162" s="4"/>
      <c r="V162" s="4" t="str">
        <f t="shared" si="27"/>
        <v/>
      </c>
      <c r="W162" s="4"/>
      <c r="X162" s="4" t="str">
        <f t="shared" si="28"/>
        <v/>
      </c>
      <c r="Y162" s="4" t="str">
        <f t="shared" si="30"/>
        <v/>
      </c>
      <c r="Z162" s="4" t="str">
        <f t="shared" si="29"/>
        <v/>
      </c>
      <c r="AA162" s="4"/>
      <c r="AB162" s="4"/>
      <c r="AC162" s="4"/>
      <c r="AD162" s="4" t="str">
        <f>IF(H162="","",IFERROR(INDEX(DB!$B$2:$U$1713,MATCH(UPPER(TRIM(H162)),DB!$B$2:$B$1713,0),8),IFERROR(INDEX(DB!$B$2:$U$1713,MATCH(UPPER(TRIM(H162)),DB!$J$2:$J$1713,0),8),"")))</f>
        <v/>
      </c>
      <c r="AE162" s="4"/>
      <c r="AF162" s="4"/>
      <c r="AG162" s="4"/>
      <c r="AI162" t="str">
        <f>IF(AI4&lt;&gt;"",HYPERLINK("https://echa.europa.eu/search-for-chemicals?search_criteria_ecnumber=" &amp; AI4,"ECHA"),"")</f>
        <v/>
      </c>
    </row>
    <row r="163" spans="1:35" ht="15" customHeight="1" x14ac:dyDescent="0.25">
      <c r="A163" s="6" t="str">
        <f t="shared" si="26"/>
        <v/>
      </c>
      <c r="B163" s="6"/>
      <c r="C163" s="6"/>
      <c r="D163" s="7" t="str">
        <f t="shared" si="31"/>
        <v/>
      </c>
      <c r="E163" s="6"/>
      <c r="F163" s="6"/>
      <c r="G163" s="6"/>
      <c r="H163" s="6"/>
      <c r="I163" s="6" t="str">
        <f>IFERROR(INDEX(DB!$C$2:$C$2267,MATCH(UPPER(TRIM($H161)),DB!$B$2:$B$2267,0)),IFERROR(INDEX(DB!$C$2:$C$2267,MATCH(UPPER(TRIM($H161)),DB!$J$2:$J$2267,0)),""))</f>
        <v/>
      </c>
      <c r="J163" s="6" t="str">
        <f>IF(H161="","",IFERROR(INDEX(DB!$B$2:$U$2267,MATCH(UPPER(TRIM($H161)),DB!$B$2:$B$2267,0),3),IFERROR(INDEX(DB!$B$2:$U$2267,MATCH(UPPER(TRIM($H161)),DB!$J$2:$J$2267,0),3),"")))</f>
        <v/>
      </c>
      <c r="K163" s="6" t="str">
        <f>IF(H161="","",IFERROR(INDEX(DB!$B$2:$U$2267,MATCH(UPPER(TRIM($H161)),DB!$B$2:$B$2267,0),4),IFERROR(INDEX(DB!$B$2:$U$2267,MATCH(UPPER(TRIM($H161)),DB!$J$2:$J$2267,0),4),"")))</f>
        <v/>
      </c>
      <c r="L163" s="6" t="str">
        <f>IF(H161="","",IFERROR(INDEX(DB!$B$2:$U$2267,MATCH(UPPER(TRIM($H161)),DB!$B$2:$B$2267,0),5),IFERROR(INDEX(DB!$B$2:$U$2267,MATCH(UPPER(TRIM($H161)),DB!$J$2:$J$2267,0),5),"")))</f>
        <v/>
      </c>
      <c r="M163" s="6" t="str">
        <f>IF(H161="","",IFERROR(INDEX(DB!$B$2:$U$2267,MATCH(UPPER(TRIM($H161)),DB!$B$2:$B$2267,0),6),IFERROR(INDEX(DB!$B$2:$U$2267,MATCH(UPPER(TRIM($H161)),DB!$J$2:$J$2267,0),6),"")))</f>
        <v/>
      </c>
      <c r="N163" s="6" t="str">
        <f>IF(H163="","",IFERROR(INDEX(DB!$B$2:$U$1713,MATCH(UPPER(TRIM(H163)),DB!$B$2:$B$1713,0),7),IFERROR(INDEX(DB!$B$2:$U$1713,MATCH(UPPER(TRIM(H163)),DB!$J$2:$J$1713,0),7),"")))</f>
        <v/>
      </c>
      <c r="O163" s="6"/>
      <c r="P163" s="6"/>
      <c r="Q163" s="6"/>
      <c r="R163" s="6"/>
      <c r="S163" s="6"/>
      <c r="T163" s="6"/>
      <c r="U163" s="6"/>
      <c r="V163" s="6" t="str">
        <f t="shared" si="27"/>
        <v/>
      </c>
      <c r="W163" s="6"/>
      <c r="X163" s="6" t="str">
        <f t="shared" si="28"/>
        <v/>
      </c>
      <c r="Y163" s="6" t="str">
        <f t="shared" si="30"/>
        <v/>
      </c>
      <c r="Z163" s="6" t="str">
        <f t="shared" si="29"/>
        <v/>
      </c>
      <c r="AA163" s="6"/>
      <c r="AB163" s="6"/>
      <c r="AC163" s="6"/>
      <c r="AD163" s="6" t="str">
        <f>IF(H163="","",IFERROR(INDEX(DB!$B$2:$U$1713,MATCH(UPPER(TRIM(H163)),DB!$B$2:$B$1713,0),8),IFERROR(INDEX(DB!$B$2:$U$1713,MATCH(UPPER(TRIM(H163)),DB!$J$2:$J$1713,0),8),"")))</f>
        <v/>
      </c>
      <c r="AE163" s="6"/>
      <c r="AF163" s="6"/>
      <c r="AG163" s="6"/>
      <c r="AI163" t="str">
        <f>IF(AI4&lt;&gt;"",HYPERLINK("https://echa.europa.eu/search-for-chemicals?search_criteria_ecnumber=" &amp; AI4,"ECHA"),"")</f>
        <v/>
      </c>
    </row>
    <row r="164" spans="1:35" ht="15" customHeight="1" x14ac:dyDescent="0.25">
      <c r="A164" s="4" t="str">
        <f t="shared" si="26"/>
        <v/>
      </c>
      <c r="B164" s="4"/>
      <c r="C164" s="4"/>
      <c r="D164" s="5" t="str">
        <f t="shared" si="31"/>
        <v/>
      </c>
      <c r="E164" s="4"/>
      <c r="F164" s="4"/>
      <c r="G164" s="4"/>
      <c r="H164" s="4"/>
      <c r="I164" s="4" t="str">
        <f>IFERROR(INDEX(DB!$C$2:$C$2267,MATCH(UPPER(TRIM($H162)),DB!$B$2:$B$2267,0)),IFERROR(INDEX(DB!$C$2:$C$2267,MATCH(UPPER(TRIM($H162)),DB!$J$2:$J$2267,0)),""))</f>
        <v/>
      </c>
      <c r="J164" s="4" t="str">
        <f>IF(H162="","",IFERROR(INDEX(DB!$B$2:$U$2267,MATCH(UPPER(TRIM($H162)),DB!$B$2:$B$2267,0),3),IFERROR(INDEX(DB!$B$2:$U$2267,MATCH(UPPER(TRIM($H162)),DB!$J$2:$J$2267,0),3),"")))</f>
        <v/>
      </c>
      <c r="K164" s="4" t="str">
        <f>IF(H162="","",IFERROR(INDEX(DB!$B$2:$U$2267,MATCH(UPPER(TRIM($H162)),DB!$B$2:$B$2267,0),4),IFERROR(INDEX(DB!$B$2:$U$2267,MATCH(UPPER(TRIM($H162)),DB!$J$2:$J$2267,0),4),"")))</f>
        <v/>
      </c>
      <c r="L164" s="4" t="str">
        <f>IF(H162="","",IFERROR(INDEX(DB!$B$2:$U$2267,MATCH(UPPER(TRIM($H162)),DB!$B$2:$B$2267,0),5),IFERROR(INDEX(DB!$B$2:$U$2267,MATCH(UPPER(TRIM($H162)),DB!$J$2:$J$2267,0),5),"")))</f>
        <v/>
      </c>
      <c r="M164" s="4" t="str">
        <f>IF(H162="","",IFERROR(INDEX(DB!$B$2:$U$2267,MATCH(UPPER(TRIM($H162)),DB!$B$2:$B$2267,0),6),IFERROR(INDEX(DB!$B$2:$U$2267,MATCH(UPPER(TRIM($H162)),DB!$J$2:$J$2267,0),6),"")))</f>
        <v/>
      </c>
      <c r="N164" s="4" t="str">
        <f>IF(H164="","",IFERROR(INDEX(DB!$B$2:$U$1713,MATCH(UPPER(TRIM(H164)),DB!$B$2:$B$1713,0),7),IFERROR(INDEX(DB!$B$2:$U$1713,MATCH(UPPER(TRIM(H164)),DB!$J$2:$J$1713,0),7),"")))</f>
        <v/>
      </c>
      <c r="O164" s="4"/>
      <c r="P164" s="4"/>
      <c r="Q164" s="4"/>
      <c r="R164" s="4"/>
      <c r="S164" s="4"/>
      <c r="T164" s="4"/>
      <c r="U164" s="4"/>
      <c r="V164" s="4" t="str">
        <f t="shared" si="27"/>
        <v/>
      </c>
      <c r="W164" s="4"/>
      <c r="X164" s="4" t="str">
        <f t="shared" si="28"/>
        <v/>
      </c>
      <c r="Y164" s="4" t="str">
        <f t="shared" si="30"/>
        <v/>
      </c>
      <c r="Z164" s="4" t="str">
        <f t="shared" si="29"/>
        <v/>
      </c>
      <c r="AA164" s="4"/>
      <c r="AB164" s="4"/>
      <c r="AC164" s="4"/>
      <c r="AD164" s="4" t="str">
        <f>IF(H164="","",IFERROR(INDEX(DB!$B$2:$U$1713,MATCH(UPPER(TRIM(H164)),DB!$B$2:$B$1713,0),8),IFERROR(INDEX(DB!$B$2:$U$1713,MATCH(UPPER(TRIM(H164)),DB!$J$2:$J$1713,0),8),"")))</f>
        <v/>
      </c>
      <c r="AE164" s="4"/>
      <c r="AF164" s="4"/>
      <c r="AG164" s="4"/>
      <c r="AI164" t="str">
        <f>IF(AI4&lt;&gt;"",HYPERLINK("https://echa.europa.eu/search-for-chemicals?search_criteria_ecnumber=" &amp; AI4,"ECHA"),"")</f>
        <v/>
      </c>
    </row>
    <row r="165" spans="1:35" ht="15" customHeight="1" x14ac:dyDescent="0.25">
      <c r="A165" s="6" t="str">
        <f t="shared" si="26"/>
        <v/>
      </c>
      <c r="B165" s="6"/>
      <c r="C165" s="6"/>
      <c r="D165" s="7" t="str">
        <f t="shared" si="31"/>
        <v/>
      </c>
      <c r="E165" s="6"/>
      <c r="F165" s="6"/>
      <c r="G165" s="6"/>
      <c r="H165" s="6"/>
      <c r="I165" s="6" t="str">
        <f>IFERROR(INDEX(DB!$C$2:$C$2267,MATCH(UPPER(TRIM($H163)),DB!$B$2:$B$2267,0)),IFERROR(INDEX(DB!$C$2:$C$2267,MATCH(UPPER(TRIM($H163)),DB!$J$2:$J$2267,0)),""))</f>
        <v/>
      </c>
      <c r="J165" s="6" t="str">
        <f>IF(H163="","",IFERROR(INDEX(DB!$B$2:$U$2267,MATCH(UPPER(TRIM($H163)),DB!$B$2:$B$2267,0),3),IFERROR(INDEX(DB!$B$2:$U$2267,MATCH(UPPER(TRIM($H163)),DB!$J$2:$J$2267,0),3),"")))</f>
        <v/>
      </c>
      <c r="K165" s="6" t="str">
        <f>IF(H163="","",IFERROR(INDEX(DB!$B$2:$U$2267,MATCH(UPPER(TRIM($H163)),DB!$B$2:$B$2267,0),4),IFERROR(INDEX(DB!$B$2:$U$2267,MATCH(UPPER(TRIM($H163)),DB!$J$2:$J$2267,0),4),"")))</f>
        <v/>
      </c>
      <c r="L165" s="6" t="str">
        <f>IF(H163="","",IFERROR(INDEX(DB!$B$2:$U$2267,MATCH(UPPER(TRIM($H163)),DB!$B$2:$B$2267,0),5),IFERROR(INDEX(DB!$B$2:$U$2267,MATCH(UPPER(TRIM($H163)),DB!$J$2:$J$2267,0),5),"")))</f>
        <v/>
      </c>
      <c r="M165" s="6" t="str">
        <f>IF(H163="","",IFERROR(INDEX(DB!$B$2:$U$2267,MATCH(UPPER(TRIM($H163)),DB!$B$2:$B$2267,0),6),IFERROR(INDEX(DB!$B$2:$U$2267,MATCH(UPPER(TRIM($H163)),DB!$J$2:$J$2267,0),6),"")))</f>
        <v/>
      </c>
      <c r="N165" s="6" t="str">
        <f>IF(H165="","",IFERROR(INDEX(DB!$B$2:$U$1713,MATCH(UPPER(TRIM(H165)),DB!$B$2:$B$1713,0),7),IFERROR(INDEX(DB!$B$2:$U$1713,MATCH(UPPER(TRIM(H165)),DB!$J$2:$J$1713,0),7),"")))</f>
        <v/>
      </c>
      <c r="O165" s="6"/>
      <c r="P165" s="6"/>
      <c r="Q165" s="6"/>
      <c r="R165" s="6"/>
      <c r="S165" s="6"/>
      <c r="T165" s="6"/>
      <c r="U165" s="6"/>
      <c r="V165" s="6" t="str">
        <f t="shared" si="27"/>
        <v/>
      </c>
      <c r="W165" s="6"/>
      <c r="X165" s="6" t="str">
        <f t="shared" si="28"/>
        <v/>
      </c>
      <c r="Y165" s="6" t="str">
        <f t="shared" si="30"/>
        <v/>
      </c>
      <c r="Z165" s="6" t="str">
        <f t="shared" si="29"/>
        <v/>
      </c>
      <c r="AA165" s="6"/>
      <c r="AB165" s="6"/>
      <c r="AC165" s="6"/>
      <c r="AD165" s="6" t="str">
        <f>IF(H165="","",IFERROR(INDEX(DB!$B$2:$U$1713,MATCH(UPPER(TRIM(H165)),DB!$B$2:$B$1713,0),8),IFERROR(INDEX(DB!$B$2:$U$1713,MATCH(UPPER(TRIM(H165)),DB!$J$2:$J$1713,0),8),"")))</f>
        <v/>
      </c>
      <c r="AE165" s="6"/>
      <c r="AF165" s="6"/>
      <c r="AG165" s="6"/>
      <c r="AI165" t="str">
        <f>IF(AI4&lt;&gt;"",HYPERLINK("https://echa.europa.eu/search-for-chemicals?search_criteria_ecnumber=" &amp; AI4,"ECHA"),"")</f>
        <v/>
      </c>
    </row>
    <row r="166" spans="1:35" ht="15" customHeight="1" x14ac:dyDescent="0.25">
      <c r="A166" s="4" t="str">
        <f t="shared" si="26"/>
        <v/>
      </c>
      <c r="B166" s="4"/>
      <c r="C166" s="4"/>
      <c r="D166" s="5" t="str">
        <f t="shared" si="31"/>
        <v/>
      </c>
      <c r="E166" s="4"/>
      <c r="F166" s="4"/>
      <c r="G166" s="4"/>
      <c r="H166" s="4"/>
      <c r="I166" s="4" t="str">
        <f>IFERROR(INDEX(DB!$C$2:$C$2267,MATCH(UPPER(TRIM($H164)),DB!$B$2:$B$2267,0)),IFERROR(INDEX(DB!$C$2:$C$2267,MATCH(UPPER(TRIM($H164)),DB!$J$2:$J$2267,0)),""))</f>
        <v/>
      </c>
      <c r="J166" s="4" t="str">
        <f>IF(H164="","",IFERROR(INDEX(DB!$B$2:$U$2267,MATCH(UPPER(TRIM($H164)),DB!$B$2:$B$2267,0),3),IFERROR(INDEX(DB!$B$2:$U$2267,MATCH(UPPER(TRIM($H164)),DB!$J$2:$J$2267,0),3),"")))</f>
        <v/>
      </c>
      <c r="K166" s="4" t="str">
        <f>IF(H164="","",IFERROR(INDEX(DB!$B$2:$U$2267,MATCH(UPPER(TRIM($H164)),DB!$B$2:$B$2267,0),4),IFERROR(INDEX(DB!$B$2:$U$2267,MATCH(UPPER(TRIM($H164)),DB!$J$2:$J$2267,0),4),"")))</f>
        <v/>
      </c>
      <c r="L166" s="4" t="str">
        <f>IF(H164="","",IFERROR(INDEX(DB!$B$2:$U$2267,MATCH(UPPER(TRIM($H164)),DB!$B$2:$B$2267,0),5),IFERROR(INDEX(DB!$B$2:$U$2267,MATCH(UPPER(TRIM($H164)),DB!$J$2:$J$2267,0),5),"")))</f>
        <v/>
      </c>
      <c r="M166" s="4" t="str">
        <f>IF(H164="","",IFERROR(INDEX(DB!$B$2:$U$2267,MATCH(UPPER(TRIM($H164)),DB!$B$2:$B$2267,0),6),IFERROR(INDEX(DB!$B$2:$U$2267,MATCH(UPPER(TRIM($H164)),DB!$J$2:$J$2267,0),6),"")))</f>
        <v/>
      </c>
      <c r="N166" s="4" t="str">
        <f>IF(H166="","",IFERROR(INDEX(DB!$B$2:$U$1713,MATCH(UPPER(TRIM(H166)),DB!$B$2:$B$1713,0),7),IFERROR(INDEX(DB!$B$2:$U$1713,MATCH(UPPER(TRIM(H166)),DB!$J$2:$J$1713,0),7),"")))</f>
        <v/>
      </c>
      <c r="O166" s="4"/>
      <c r="P166" s="4"/>
      <c r="Q166" s="4"/>
      <c r="R166" s="4"/>
      <c r="S166" s="4"/>
      <c r="T166" s="4"/>
      <c r="U166" s="4"/>
      <c r="V166" s="4" t="str">
        <f t="shared" si="27"/>
        <v/>
      </c>
      <c r="W166" s="4"/>
      <c r="X166" s="4" t="str">
        <f t="shared" si="28"/>
        <v/>
      </c>
      <c r="Y166" s="4" t="str">
        <f t="shared" si="30"/>
        <v/>
      </c>
      <c r="Z166" s="4" t="str">
        <f t="shared" si="29"/>
        <v/>
      </c>
      <c r="AA166" s="4"/>
      <c r="AB166" s="4"/>
      <c r="AC166" s="4"/>
      <c r="AD166" s="4" t="str">
        <f>IF(H166="","",IFERROR(INDEX(DB!$B$2:$U$1713,MATCH(UPPER(TRIM(H166)),DB!$B$2:$B$1713,0),8),IFERROR(INDEX(DB!$B$2:$U$1713,MATCH(UPPER(TRIM(H166)),DB!$J$2:$J$1713,0),8),"")))</f>
        <v/>
      </c>
      <c r="AE166" s="4"/>
      <c r="AF166" s="4"/>
      <c r="AG166" s="4"/>
      <c r="AI166" t="str">
        <f>IF(AI4&lt;&gt;"",HYPERLINK("https://echa.europa.eu/search-for-chemicals?search_criteria_ecnumber=" &amp; AI4,"ECHA"),"")</f>
        <v/>
      </c>
    </row>
    <row r="167" spans="1:35" ht="15" customHeight="1" x14ac:dyDescent="0.25">
      <c r="A167" s="6" t="str">
        <f t="shared" si="26"/>
        <v/>
      </c>
      <c r="B167" s="6"/>
      <c r="C167" s="6"/>
      <c r="D167" s="7" t="str">
        <f t="shared" si="31"/>
        <v/>
      </c>
      <c r="E167" s="6"/>
      <c r="F167" s="6"/>
      <c r="G167" s="6"/>
      <c r="H167" s="6"/>
      <c r="I167" s="6" t="str">
        <f>IFERROR(INDEX(DB!$C$2:$C$2267,MATCH(UPPER(TRIM($H165)),DB!$B$2:$B$2267,0)),IFERROR(INDEX(DB!$C$2:$C$2267,MATCH(UPPER(TRIM($H165)),DB!$J$2:$J$2267,0)),""))</f>
        <v/>
      </c>
      <c r="J167" s="6" t="str">
        <f>IF(H165="","",IFERROR(INDEX(DB!$B$2:$U$2267,MATCH(UPPER(TRIM($H165)),DB!$B$2:$B$2267,0),3),IFERROR(INDEX(DB!$B$2:$U$2267,MATCH(UPPER(TRIM($H165)),DB!$J$2:$J$2267,0),3),"")))</f>
        <v/>
      </c>
      <c r="K167" s="6" t="str">
        <f>IF(H165="","",IFERROR(INDEX(DB!$B$2:$U$2267,MATCH(UPPER(TRIM($H165)),DB!$B$2:$B$2267,0),4),IFERROR(INDEX(DB!$B$2:$U$2267,MATCH(UPPER(TRIM($H165)),DB!$J$2:$J$2267,0),4),"")))</f>
        <v/>
      </c>
      <c r="L167" s="6" t="str">
        <f>IF(H165="","",IFERROR(INDEX(DB!$B$2:$U$2267,MATCH(UPPER(TRIM($H165)),DB!$B$2:$B$2267,0),5),IFERROR(INDEX(DB!$B$2:$U$2267,MATCH(UPPER(TRIM($H165)),DB!$J$2:$J$2267,0),5),"")))</f>
        <v/>
      </c>
      <c r="M167" s="6" t="str">
        <f>IF(H165="","",IFERROR(INDEX(DB!$B$2:$U$2267,MATCH(UPPER(TRIM($H165)),DB!$B$2:$B$2267,0),6),IFERROR(INDEX(DB!$B$2:$U$2267,MATCH(UPPER(TRIM($H165)),DB!$J$2:$J$2267,0),6),"")))</f>
        <v/>
      </c>
      <c r="N167" s="6" t="str">
        <f>IF(H167="","",IFERROR(INDEX(DB!$B$2:$U$1713,MATCH(UPPER(TRIM(H167)),DB!$B$2:$B$1713,0),7),IFERROR(INDEX(DB!$B$2:$U$1713,MATCH(UPPER(TRIM(H167)),DB!$J$2:$J$1713,0),7),"")))</f>
        <v/>
      </c>
      <c r="O167" s="6"/>
      <c r="P167" s="6"/>
      <c r="Q167" s="6"/>
      <c r="R167" s="6"/>
      <c r="S167" s="6"/>
      <c r="T167" s="6"/>
      <c r="U167" s="6"/>
      <c r="V167" s="6" t="str">
        <f t="shared" si="27"/>
        <v/>
      </c>
      <c r="W167" s="6"/>
      <c r="X167" s="6" t="str">
        <f t="shared" si="28"/>
        <v/>
      </c>
      <c r="Y167" s="6" t="str">
        <f t="shared" si="30"/>
        <v/>
      </c>
      <c r="Z167" s="6" t="str">
        <f t="shared" si="29"/>
        <v/>
      </c>
      <c r="AA167" s="6"/>
      <c r="AB167" s="6"/>
      <c r="AC167" s="6"/>
      <c r="AD167" s="6" t="str">
        <f>IF(H167="","",IFERROR(INDEX(DB!$B$2:$U$1713,MATCH(UPPER(TRIM(H167)),DB!$B$2:$B$1713,0),8),IFERROR(INDEX(DB!$B$2:$U$1713,MATCH(UPPER(TRIM(H167)),DB!$J$2:$J$1713,0),8),"")))</f>
        <v/>
      </c>
      <c r="AE167" s="6"/>
      <c r="AF167" s="6"/>
      <c r="AG167" s="6"/>
      <c r="AI167" t="str">
        <f>IF(AI4&lt;&gt;"",HYPERLINK("https://echa.europa.eu/search-for-chemicals?search_criteria_ecnumber=" &amp; AI4,"ECHA"),"")</f>
        <v/>
      </c>
    </row>
    <row r="168" spans="1:35" ht="15" customHeight="1" x14ac:dyDescent="0.25">
      <c r="A168" s="4" t="str">
        <f t="shared" si="26"/>
        <v/>
      </c>
      <c r="B168" s="4"/>
      <c r="C168" s="4"/>
      <c r="D168" s="5" t="str">
        <f t="shared" si="31"/>
        <v/>
      </c>
      <c r="E168" s="4"/>
      <c r="F168" s="4"/>
      <c r="G168" s="4"/>
      <c r="H168" s="4"/>
      <c r="I168" s="4" t="str">
        <f>IFERROR(INDEX(DB!$C$2:$C$2267,MATCH(UPPER(TRIM($H166)),DB!$B$2:$B$2267,0)),IFERROR(INDEX(DB!$C$2:$C$2267,MATCH(UPPER(TRIM($H166)),DB!$J$2:$J$2267,0)),""))</f>
        <v/>
      </c>
      <c r="J168" s="4" t="str">
        <f>IF(H166="","",IFERROR(INDEX(DB!$B$2:$U$2267,MATCH(UPPER(TRIM($H166)),DB!$B$2:$B$2267,0),3),IFERROR(INDEX(DB!$B$2:$U$2267,MATCH(UPPER(TRIM($H166)),DB!$J$2:$J$2267,0),3),"")))</f>
        <v/>
      </c>
      <c r="K168" s="4" t="str">
        <f>IF(H166="","",IFERROR(INDEX(DB!$B$2:$U$2267,MATCH(UPPER(TRIM($H166)),DB!$B$2:$B$2267,0),4),IFERROR(INDEX(DB!$B$2:$U$2267,MATCH(UPPER(TRIM($H166)),DB!$J$2:$J$2267,0),4),"")))</f>
        <v/>
      </c>
      <c r="L168" s="4" t="str">
        <f>IF(H166="","",IFERROR(INDEX(DB!$B$2:$U$2267,MATCH(UPPER(TRIM($H166)),DB!$B$2:$B$2267,0),5),IFERROR(INDEX(DB!$B$2:$U$2267,MATCH(UPPER(TRIM($H166)),DB!$J$2:$J$2267,0),5),"")))</f>
        <v/>
      </c>
      <c r="M168" s="4" t="str">
        <f>IF(H166="","",IFERROR(INDEX(DB!$B$2:$U$2267,MATCH(UPPER(TRIM($H166)),DB!$B$2:$B$2267,0),6),IFERROR(INDEX(DB!$B$2:$U$2267,MATCH(UPPER(TRIM($H166)),DB!$J$2:$J$2267,0),6),"")))</f>
        <v/>
      </c>
      <c r="N168" s="4" t="str">
        <f>IF(H168="","",IFERROR(INDEX(DB!$B$2:$U$1713,MATCH(UPPER(TRIM(H168)),DB!$B$2:$B$1713,0),7),IFERROR(INDEX(DB!$B$2:$U$1713,MATCH(UPPER(TRIM(H168)),DB!$J$2:$J$1713,0),7),"")))</f>
        <v/>
      </c>
      <c r="O168" s="4"/>
      <c r="P168" s="4"/>
      <c r="Q168" s="4"/>
      <c r="R168" s="4"/>
      <c r="S168" s="4"/>
      <c r="T168" s="4"/>
      <c r="U168" s="4"/>
      <c r="V168" s="4" t="str">
        <f t="shared" si="27"/>
        <v/>
      </c>
      <c r="W168" s="4"/>
      <c r="X168" s="4" t="str">
        <f t="shared" si="28"/>
        <v/>
      </c>
      <c r="Y168" s="4" t="str">
        <f t="shared" si="30"/>
        <v/>
      </c>
      <c r="Z168" s="4" t="str">
        <f t="shared" si="29"/>
        <v/>
      </c>
      <c r="AA168" s="4"/>
      <c r="AB168" s="4"/>
      <c r="AC168" s="4"/>
      <c r="AD168" s="4" t="str">
        <f>IF(H168="","",IFERROR(INDEX(DB!$B$2:$U$1713,MATCH(UPPER(TRIM(H168)),DB!$B$2:$B$1713,0),8),IFERROR(INDEX(DB!$B$2:$U$1713,MATCH(UPPER(TRIM(H168)),DB!$J$2:$J$1713,0),8),"")))</f>
        <v/>
      </c>
      <c r="AE168" s="4"/>
      <c r="AF168" s="4"/>
      <c r="AG168" s="4"/>
      <c r="AI168" t="str">
        <f>IF(AI4&lt;&gt;"",HYPERLINK("https://echa.europa.eu/search-for-chemicals?search_criteria_ecnumber=" &amp; AI4,"ECHA"),"")</f>
        <v/>
      </c>
    </row>
    <row r="169" spans="1:35" ht="15" customHeight="1" x14ac:dyDescent="0.25">
      <c r="A169" s="6" t="str">
        <f t="shared" si="26"/>
        <v/>
      </c>
      <c r="B169" s="6"/>
      <c r="C169" s="6"/>
      <c r="D169" s="7" t="str">
        <f t="shared" si="31"/>
        <v/>
      </c>
      <c r="E169" s="6"/>
      <c r="F169" s="6"/>
      <c r="G169" s="6"/>
      <c r="H169" s="6"/>
      <c r="I169" s="6" t="str">
        <f>IFERROR(INDEX(DB!$C$2:$C$2267,MATCH(UPPER(TRIM($H167)),DB!$B$2:$B$2267,0)),IFERROR(INDEX(DB!$C$2:$C$2267,MATCH(UPPER(TRIM($H167)),DB!$J$2:$J$2267,0)),""))</f>
        <v/>
      </c>
      <c r="J169" s="6" t="str">
        <f>IF(H167="","",IFERROR(INDEX(DB!$B$2:$U$2267,MATCH(UPPER(TRIM($H167)),DB!$B$2:$B$2267,0),3),IFERROR(INDEX(DB!$B$2:$U$2267,MATCH(UPPER(TRIM($H167)),DB!$J$2:$J$2267,0),3),"")))</f>
        <v/>
      </c>
      <c r="K169" s="6" t="str">
        <f>IF(H167="","",IFERROR(INDEX(DB!$B$2:$U$2267,MATCH(UPPER(TRIM($H167)),DB!$B$2:$B$2267,0),4),IFERROR(INDEX(DB!$B$2:$U$2267,MATCH(UPPER(TRIM($H167)),DB!$J$2:$J$2267,0),4),"")))</f>
        <v/>
      </c>
      <c r="L169" s="6" t="str">
        <f>IF(H167="","",IFERROR(INDEX(DB!$B$2:$U$2267,MATCH(UPPER(TRIM($H167)),DB!$B$2:$B$2267,0),5),IFERROR(INDEX(DB!$B$2:$U$2267,MATCH(UPPER(TRIM($H167)),DB!$J$2:$J$2267,0),5),"")))</f>
        <v/>
      </c>
      <c r="M169" s="6" t="str">
        <f>IF(H167="","",IFERROR(INDEX(DB!$B$2:$U$2267,MATCH(UPPER(TRIM($H167)),DB!$B$2:$B$2267,0),6),IFERROR(INDEX(DB!$B$2:$U$2267,MATCH(UPPER(TRIM($H167)),DB!$J$2:$J$2267,0),6),"")))</f>
        <v/>
      </c>
      <c r="N169" s="6" t="str">
        <f>IF(H169="","",IFERROR(INDEX(DB!$B$2:$U$1713,MATCH(UPPER(TRIM(H169)),DB!$B$2:$B$1713,0),7),IFERROR(INDEX(DB!$B$2:$U$1713,MATCH(UPPER(TRIM(H169)),DB!$J$2:$J$1713,0),7),"")))</f>
        <v/>
      </c>
      <c r="O169" s="6"/>
      <c r="P169" s="6"/>
      <c r="Q169" s="6"/>
      <c r="R169" s="6"/>
      <c r="S169" s="6"/>
      <c r="T169" s="6"/>
      <c r="U169" s="6"/>
      <c r="V169" s="6" t="str">
        <f t="shared" si="27"/>
        <v/>
      </c>
      <c r="W169" s="6"/>
      <c r="X169" s="6" t="str">
        <f t="shared" si="28"/>
        <v/>
      </c>
      <c r="Y169" s="6" t="str">
        <f t="shared" si="30"/>
        <v/>
      </c>
      <c r="Z169" s="6" t="str">
        <f t="shared" si="29"/>
        <v/>
      </c>
      <c r="AA169" s="6"/>
      <c r="AB169" s="6"/>
      <c r="AC169" s="6"/>
      <c r="AD169" s="6" t="str">
        <f>IF(H169="","",IFERROR(INDEX(DB!$B$2:$U$1713,MATCH(UPPER(TRIM(H169)),DB!$B$2:$B$1713,0),8),IFERROR(INDEX(DB!$B$2:$U$1713,MATCH(UPPER(TRIM(H169)),DB!$J$2:$J$1713,0),8),"")))</f>
        <v/>
      </c>
      <c r="AE169" s="6"/>
      <c r="AF169" s="6"/>
      <c r="AG169" s="6"/>
      <c r="AI169" t="str">
        <f>IF(AI4&lt;&gt;"",HYPERLINK("https://echa.europa.eu/search-for-chemicals?search_criteria_ecnumber=" &amp; AI4,"ECHA"),"")</f>
        <v/>
      </c>
    </row>
    <row r="170" spans="1:35" ht="15" customHeight="1" x14ac:dyDescent="0.25">
      <c r="A170" s="4" t="str">
        <f t="shared" si="26"/>
        <v/>
      </c>
      <c r="B170" s="4"/>
      <c r="C170" s="4"/>
      <c r="D170" s="5" t="str">
        <f t="shared" si="31"/>
        <v/>
      </c>
      <c r="E170" s="4"/>
      <c r="F170" s="4"/>
      <c r="G170" s="4"/>
      <c r="H170" s="4"/>
      <c r="I170" s="4" t="str">
        <f>IFERROR(INDEX(DB!$C$2:$C$2267,MATCH(UPPER(TRIM($H168)),DB!$B$2:$B$2267,0)),IFERROR(INDEX(DB!$C$2:$C$2267,MATCH(UPPER(TRIM($H168)),DB!$J$2:$J$2267,0)),""))</f>
        <v/>
      </c>
      <c r="J170" s="4" t="str">
        <f>IF(H168="","",IFERROR(INDEX(DB!$B$2:$U$2267,MATCH(UPPER(TRIM($H168)),DB!$B$2:$B$2267,0),3),IFERROR(INDEX(DB!$B$2:$U$2267,MATCH(UPPER(TRIM($H168)),DB!$J$2:$J$2267,0),3),"")))</f>
        <v/>
      </c>
      <c r="K170" s="4" t="str">
        <f>IF(H168="","",IFERROR(INDEX(DB!$B$2:$U$2267,MATCH(UPPER(TRIM($H168)),DB!$B$2:$B$2267,0),4),IFERROR(INDEX(DB!$B$2:$U$2267,MATCH(UPPER(TRIM($H168)),DB!$J$2:$J$2267,0),4),"")))</f>
        <v/>
      </c>
      <c r="L170" s="4" t="str">
        <f>IF(H168="","",IFERROR(INDEX(DB!$B$2:$U$2267,MATCH(UPPER(TRIM($H168)),DB!$B$2:$B$2267,0),5),IFERROR(INDEX(DB!$B$2:$U$2267,MATCH(UPPER(TRIM($H168)),DB!$J$2:$J$2267,0),5),"")))</f>
        <v/>
      </c>
      <c r="M170" s="4" t="str">
        <f>IF(H168="","",IFERROR(INDEX(DB!$B$2:$U$2267,MATCH(UPPER(TRIM($H168)),DB!$B$2:$B$2267,0),6),IFERROR(INDEX(DB!$B$2:$U$2267,MATCH(UPPER(TRIM($H168)),DB!$J$2:$J$2267,0),6),"")))</f>
        <v/>
      </c>
      <c r="N170" s="4" t="str">
        <f>IF(H170="","",IFERROR(INDEX(DB!$B$2:$U$1713,MATCH(UPPER(TRIM(H170)),DB!$B$2:$B$1713,0),7),IFERROR(INDEX(DB!$B$2:$U$1713,MATCH(UPPER(TRIM(H170)),DB!$J$2:$J$1713,0),7),"")))</f>
        <v/>
      </c>
      <c r="O170" s="4"/>
      <c r="P170" s="4"/>
      <c r="Q170" s="4"/>
      <c r="R170" s="4"/>
      <c r="S170" s="4"/>
      <c r="T170" s="4"/>
      <c r="U170" s="4"/>
      <c r="V170" s="4" t="str">
        <f t="shared" si="27"/>
        <v/>
      </c>
      <c r="W170" s="4"/>
      <c r="X170" s="4" t="str">
        <f t="shared" si="28"/>
        <v/>
      </c>
      <c r="Y170" s="4" t="str">
        <f t="shared" si="30"/>
        <v/>
      </c>
      <c r="Z170" s="4" t="str">
        <f t="shared" si="29"/>
        <v/>
      </c>
      <c r="AA170" s="4"/>
      <c r="AB170" s="4"/>
      <c r="AC170" s="4"/>
      <c r="AD170" s="4" t="str">
        <f>IF(H170="","",IFERROR(INDEX(DB!$B$2:$U$1713,MATCH(UPPER(TRIM(H170)),DB!$B$2:$B$1713,0),8),IFERROR(INDEX(DB!$B$2:$U$1713,MATCH(UPPER(TRIM(H170)),DB!$J$2:$J$1713,0),8),"")))</f>
        <v/>
      </c>
      <c r="AE170" s="4"/>
      <c r="AF170" s="4"/>
      <c r="AG170" s="4"/>
      <c r="AI170" t="str">
        <f>IF(AI4&lt;&gt;"",HYPERLINK("https://echa.europa.eu/search-for-chemicals?search_criteria_ecnumber=" &amp; AI4,"ECHA"),"")</f>
        <v/>
      </c>
    </row>
    <row r="171" spans="1:35" ht="15" customHeight="1" x14ac:dyDescent="0.25">
      <c r="A171" s="6" t="str">
        <f t="shared" si="26"/>
        <v/>
      </c>
      <c r="B171" s="6"/>
      <c r="C171" s="6"/>
      <c r="D171" s="7" t="str">
        <f t="shared" si="31"/>
        <v/>
      </c>
      <c r="E171" s="6"/>
      <c r="F171" s="6"/>
      <c r="G171" s="6"/>
      <c r="H171" s="6"/>
      <c r="I171" s="6" t="str">
        <f>IFERROR(INDEX(DB!$C$2:$C$2267,MATCH(UPPER(TRIM($H169)),DB!$B$2:$B$2267,0)),IFERROR(INDEX(DB!$C$2:$C$2267,MATCH(UPPER(TRIM($H169)),DB!$J$2:$J$2267,0)),""))</f>
        <v/>
      </c>
      <c r="J171" s="6" t="str">
        <f>IF(H169="","",IFERROR(INDEX(DB!$B$2:$U$2267,MATCH(UPPER(TRIM($H169)),DB!$B$2:$B$2267,0),3),IFERROR(INDEX(DB!$B$2:$U$2267,MATCH(UPPER(TRIM($H169)),DB!$J$2:$J$2267,0),3),"")))</f>
        <v/>
      </c>
      <c r="K171" s="6" t="str">
        <f>IF(H169="","",IFERROR(INDEX(DB!$B$2:$U$2267,MATCH(UPPER(TRIM($H169)),DB!$B$2:$B$2267,0),4),IFERROR(INDEX(DB!$B$2:$U$2267,MATCH(UPPER(TRIM($H169)),DB!$J$2:$J$2267,0),4),"")))</f>
        <v/>
      </c>
      <c r="L171" s="6" t="str">
        <f>IF(H169="","",IFERROR(INDEX(DB!$B$2:$U$2267,MATCH(UPPER(TRIM($H169)),DB!$B$2:$B$2267,0),5),IFERROR(INDEX(DB!$B$2:$U$2267,MATCH(UPPER(TRIM($H169)),DB!$J$2:$J$2267,0),5),"")))</f>
        <v/>
      </c>
      <c r="M171" s="6" t="str">
        <f>IF(H169="","",IFERROR(INDEX(DB!$B$2:$U$2267,MATCH(UPPER(TRIM($H169)),DB!$B$2:$B$2267,0),6),IFERROR(INDEX(DB!$B$2:$U$2267,MATCH(UPPER(TRIM($H169)),DB!$J$2:$J$2267,0),6),"")))</f>
        <v/>
      </c>
      <c r="N171" s="6" t="str">
        <f>IF(H171="","",IFERROR(INDEX(DB!$B$2:$U$1713,MATCH(UPPER(TRIM(H171)),DB!$B$2:$B$1713,0),7),IFERROR(INDEX(DB!$B$2:$U$1713,MATCH(UPPER(TRIM(H171)),DB!$J$2:$J$1713,0),7),"")))</f>
        <v/>
      </c>
      <c r="O171" s="6"/>
      <c r="P171" s="6"/>
      <c r="Q171" s="6"/>
      <c r="R171" s="6"/>
      <c r="S171" s="6"/>
      <c r="T171" s="6"/>
      <c r="U171" s="6"/>
      <c r="V171" s="6" t="str">
        <f t="shared" si="27"/>
        <v/>
      </c>
      <c r="W171" s="6"/>
      <c r="X171" s="6" t="str">
        <f t="shared" si="28"/>
        <v/>
      </c>
      <c r="Y171" s="6" t="str">
        <f t="shared" si="30"/>
        <v/>
      </c>
      <c r="Z171" s="6" t="str">
        <f t="shared" si="29"/>
        <v/>
      </c>
      <c r="AA171" s="6"/>
      <c r="AB171" s="6"/>
      <c r="AC171" s="6"/>
      <c r="AD171" s="6" t="str">
        <f>IF(H171="","",IFERROR(INDEX(DB!$B$2:$U$1713,MATCH(UPPER(TRIM(H171)),DB!$B$2:$B$1713,0),8),IFERROR(INDEX(DB!$B$2:$U$1713,MATCH(UPPER(TRIM(H171)),DB!$J$2:$J$1713,0),8),"")))</f>
        <v/>
      </c>
      <c r="AE171" s="6"/>
      <c r="AF171" s="6"/>
      <c r="AG171" s="6"/>
      <c r="AI171" t="str">
        <f>IF(AI4&lt;&gt;"",HYPERLINK("https://echa.europa.eu/search-for-chemicals?search_criteria_ecnumber=" &amp; AI4,"ECHA"),"")</f>
        <v/>
      </c>
    </row>
    <row r="172" spans="1:35" ht="15" customHeight="1" x14ac:dyDescent="0.25">
      <c r="A172" s="4" t="str">
        <f t="shared" si="26"/>
        <v/>
      </c>
      <c r="B172" s="4"/>
      <c r="C172" s="4"/>
      <c r="D172" s="5" t="str">
        <f t="shared" si="31"/>
        <v/>
      </c>
      <c r="E172" s="4"/>
      <c r="F172" s="4"/>
      <c r="G172" s="4"/>
      <c r="H172" s="4"/>
      <c r="I172" s="4" t="str">
        <f>IFERROR(INDEX(DB!$C$2:$C$2267,MATCH(UPPER(TRIM($H170)),DB!$B$2:$B$2267,0)),IFERROR(INDEX(DB!$C$2:$C$2267,MATCH(UPPER(TRIM($H170)),DB!$J$2:$J$2267,0)),""))</f>
        <v/>
      </c>
      <c r="J172" s="4" t="str">
        <f>IF(H170="","",IFERROR(INDEX(DB!$B$2:$U$2267,MATCH(UPPER(TRIM($H170)),DB!$B$2:$B$2267,0),3),IFERROR(INDEX(DB!$B$2:$U$2267,MATCH(UPPER(TRIM($H170)),DB!$J$2:$J$2267,0),3),"")))</f>
        <v/>
      </c>
      <c r="K172" s="4" t="str">
        <f>IF(H170="","",IFERROR(INDEX(DB!$B$2:$U$2267,MATCH(UPPER(TRIM($H170)),DB!$B$2:$B$2267,0),4),IFERROR(INDEX(DB!$B$2:$U$2267,MATCH(UPPER(TRIM($H170)),DB!$J$2:$J$2267,0),4),"")))</f>
        <v/>
      </c>
      <c r="L172" s="4" t="str">
        <f>IF(H170="","",IFERROR(INDEX(DB!$B$2:$U$2267,MATCH(UPPER(TRIM($H170)),DB!$B$2:$B$2267,0),5),IFERROR(INDEX(DB!$B$2:$U$2267,MATCH(UPPER(TRIM($H170)),DB!$J$2:$J$2267,0),5),"")))</f>
        <v/>
      </c>
      <c r="M172" s="4" t="str">
        <f>IF(H170="","",IFERROR(INDEX(DB!$B$2:$U$2267,MATCH(UPPER(TRIM($H170)),DB!$B$2:$B$2267,0),6),IFERROR(INDEX(DB!$B$2:$U$2267,MATCH(UPPER(TRIM($H170)),DB!$J$2:$J$2267,0),6),"")))</f>
        <v/>
      </c>
      <c r="N172" s="4" t="str">
        <f>IF(H172="","",IFERROR(INDEX(DB!$B$2:$U$1713,MATCH(UPPER(TRIM(H172)),DB!$B$2:$B$1713,0),7),IFERROR(INDEX(DB!$B$2:$U$1713,MATCH(UPPER(TRIM(H172)),DB!$J$2:$J$1713,0),7),"")))</f>
        <v/>
      </c>
      <c r="O172" s="4"/>
      <c r="P172" s="4"/>
      <c r="Q172" s="4"/>
      <c r="R172" s="4"/>
      <c r="S172" s="4"/>
      <c r="T172" s="4"/>
      <c r="U172" s="4"/>
      <c r="V172" s="4" t="str">
        <f t="shared" si="27"/>
        <v/>
      </c>
      <c r="W172" s="4"/>
      <c r="X172" s="4" t="str">
        <f t="shared" si="28"/>
        <v/>
      </c>
      <c r="Y172" s="4" t="str">
        <f t="shared" si="30"/>
        <v/>
      </c>
      <c r="Z172" s="4" t="str">
        <f t="shared" si="29"/>
        <v/>
      </c>
      <c r="AA172" s="4"/>
      <c r="AB172" s="4"/>
      <c r="AC172" s="4"/>
      <c r="AD172" s="4" t="str">
        <f>IF(H172="","",IFERROR(INDEX(DB!$B$2:$U$1713,MATCH(UPPER(TRIM(H172)),DB!$B$2:$B$1713,0),8),IFERROR(INDEX(DB!$B$2:$U$1713,MATCH(UPPER(TRIM(H172)),DB!$J$2:$J$1713,0),8),"")))</f>
        <v/>
      </c>
      <c r="AE172" s="4"/>
      <c r="AF172" s="4"/>
      <c r="AG172" s="4"/>
      <c r="AI172" t="str">
        <f>IF(AI4&lt;&gt;"",HYPERLINK("https://echa.europa.eu/search-for-chemicals?search_criteria_ecnumber=" &amp; AI4,"ECHA"),"")</f>
        <v/>
      </c>
    </row>
    <row r="173" spans="1:35" ht="15" customHeight="1" x14ac:dyDescent="0.25">
      <c r="A173" s="6" t="str">
        <f t="shared" si="26"/>
        <v/>
      </c>
      <c r="B173" s="6"/>
      <c r="C173" s="6"/>
      <c r="D173" s="7" t="str">
        <f t="shared" si="31"/>
        <v/>
      </c>
      <c r="E173" s="6"/>
      <c r="F173" s="6"/>
      <c r="G173" s="6"/>
      <c r="H173" s="6"/>
      <c r="I173" s="6" t="str">
        <f>IFERROR(INDEX(DB!$C$2:$C$2267,MATCH(UPPER(TRIM($H171)),DB!$B$2:$B$2267,0)),IFERROR(INDEX(DB!$C$2:$C$2267,MATCH(UPPER(TRIM($H171)),DB!$J$2:$J$2267,0)),""))</f>
        <v/>
      </c>
      <c r="J173" s="6" t="str">
        <f>IF(H171="","",IFERROR(INDEX(DB!$B$2:$U$2267,MATCH(UPPER(TRIM($H171)),DB!$B$2:$B$2267,0),3),IFERROR(INDEX(DB!$B$2:$U$2267,MATCH(UPPER(TRIM($H171)),DB!$J$2:$J$2267,0),3),"")))</f>
        <v/>
      </c>
      <c r="K173" s="6" t="str">
        <f>IF(H171="","",IFERROR(INDEX(DB!$B$2:$U$2267,MATCH(UPPER(TRIM($H171)),DB!$B$2:$B$2267,0),4),IFERROR(INDEX(DB!$B$2:$U$2267,MATCH(UPPER(TRIM($H171)),DB!$J$2:$J$2267,0),4),"")))</f>
        <v/>
      </c>
      <c r="L173" s="6" t="str">
        <f>IF(H171="","",IFERROR(INDEX(DB!$B$2:$U$2267,MATCH(UPPER(TRIM($H171)),DB!$B$2:$B$2267,0),5),IFERROR(INDEX(DB!$B$2:$U$2267,MATCH(UPPER(TRIM($H171)),DB!$J$2:$J$2267,0),5),"")))</f>
        <v/>
      </c>
      <c r="M173" s="6" t="str">
        <f>IF(H171="","",IFERROR(INDEX(DB!$B$2:$U$2267,MATCH(UPPER(TRIM($H171)),DB!$B$2:$B$2267,0),6),IFERROR(INDEX(DB!$B$2:$U$2267,MATCH(UPPER(TRIM($H171)),DB!$J$2:$J$2267,0),6),"")))</f>
        <v/>
      </c>
      <c r="N173" s="6" t="str">
        <f>IF(H173="","",IFERROR(INDEX(DB!$B$2:$U$1713,MATCH(UPPER(TRIM(H173)),DB!$B$2:$B$1713,0),7),IFERROR(INDEX(DB!$B$2:$U$1713,MATCH(UPPER(TRIM(H173)),DB!$J$2:$J$1713,0),7),"")))</f>
        <v/>
      </c>
      <c r="O173" s="6"/>
      <c r="P173" s="6"/>
      <c r="Q173" s="6"/>
      <c r="R173" s="6"/>
      <c r="S173" s="6"/>
      <c r="T173" s="6"/>
      <c r="U173" s="6"/>
      <c r="V173" s="6" t="str">
        <f t="shared" si="27"/>
        <v/>
      </c>
      <c r="W173" s="6"/>
      <c r="X173" s="6" t="str">
        <f t="shared" si="28"/>
        <v/>
      </c>
      <c r="Y173" s="6" t="str">
        <f t="shared" si="30"/>
        <v/>
      </c>
      <c r="Z173" s="6" t="str">
        <f t="shared" si="29"/>
        <v/>
      </c>
      <c r="AA173" s="6"/>
      <c r="AB173" s="6"/>
      <c r="AC173" s="6"/>
      <c r="AD173" s="6" t="str">
        <f>IF(H173="","",IFERROR(INDEX(DB!$B$2:$U$1713,MATCH(UPPER(TRIM(H173)),DB!$B$2:$B$1713,0),8),IFERROR(INDEX(DB!$B$2:$U$1713,MATCH(UPPER(TRIM(H173)),DB!$J$2:$J$1713,0),8),"")))</f>
        <v/>
      </c>
      <c r="AE173" s="6"/>
      <c r="AF173" s="6"/>
      <c r="AG173" s="6"/>
      <c r="AI173" t="str">
        <f>IF(AI4&lt;&gt;"",HYPERLINK("https://echa.europa.eu/search-for-chemicals?search_criteria_ecnumber=" &amp; AI4,"ECHA"),"")</f>
        <v/>
      </c>
    </row>
    <row r="174" spans="1:35" ht="15" customHeight="1" x14ac:dyDescent="0.25">
      <c r="A174" s="4" t="str">
        <f t="shared" si="26"/>
        <v/>
      </c>
      <c r="B174" s="4"/>
      <c r="C174" s="4"/>
      <c r="D174" s="5" t="str">
        <f t="shared" si="31"/>
        <v/>
      </c>
      <c r="E174" s="4"/>
      <c r="F174" s="4"/>
      <c r="G174" s="4"/>
      <c r="H174" s="4"/>
      <c r="I174" s="4" t="str">
        <f>IFERROR(INDEX(DB!$C$2:$C$2267,MATCH(UPPER(TRIM($H172)),DB!$B$2:$B$2267,0)),IFERROR(INDEX(DB!$C$2:$C$2267,MATCH(UPPER(TRIM($H172)),DB!$J$2:$J$2267,0)),""))</f>
        <v/>
      </c>
      <c r="J174" s="4" t="str">
        <f>IF(H172="","",IFERROR(INDEX(DB!$B$2:$U$2267,MATCH(UPPER(TRIM($H172)),DB!$B$2:$B$2267,0),3),IFERROR(INDEX(DB!$B$2:$U$2267,MATCH(UPPER(TRIM($H172)),DB!$J$2:$J$2267,0),3),"")))</f>
        <v/>
      </c>
      <c r="K174" s="4" t="str">
        <f>IF(H172="","",IFERROR(INDEX(DB!$B$2:$U$2267,MATCH(UPPER(TRIM($H172)),DB!$B$2:$B$2267,0),4),IFERROR(INDEX(DB!$B$2:$U$2267,MATCH(UPPER(TRIM($H172)),DB!$J$2:$J$2267,0),4),"")))</f>
        <v/>
      </c>
      <c r="L174" s="4" t="str">
        <f>IF(H172="","",IFERROR(INDEX(DB!$B$2:$U$2267,MATCH(UPPER(TRIM($H172)),DB!$B$2:$B$2267,0),5),IFERROR(INDEX(DB!$B$2:$U$2267,MATCH(UPPER(TRIM($H172)),DB!$J$2:$J$2267,0),5),"")))</f>
        <v/>
      </c>
      <c r="M174" s="4" t="str">
        <f>IF(H172="","",IFERROR(INDEX(DB!$B$2:$U$2267,MATCH(UPPER(TRIM($H172)),DB!$B$2:$B$2267,0),6),IFERROR(INDEX(DB!$B$2:$U$2267,MATCH(UPPER(TRIM($H172)),DB!$J$2:$J$2267,0),6),"")))</f>
        <v/>
      </c>
      <c r="N174" s="4" t="str">
        <f>IF(H174="","",IFERROR(INDEX(DB!$B$2:$U$1713,MATCH(UPPER(TRIM(H174)),DB!$B$2:$B$1713,0),7),IFERROR(INDEX(DB!$B$2:$U$1713,MATCH(UPPER(TRIM(H174)),DB!$J$2:$J$1713,0),7),"")))</f>
        <v/>
      </c>
      <c r="O174" s="4"/>
      <c r="P174" s="4"/>
      <c r="Q174" s="4"/>
      <c r="R174" s="4"/>
      <c r="S174" s="4"/>
      <c r="T174" s="4"/>
      <c r="U174" s="4"/>
      <c r="V174" s="4" t="str">
        <f t="shared" si="27"/>
        <v/>
      </c>
      <c r="W174" s="4"/>
      <c r="X174" s="4" t="str">
        <f t="shared" si="28"/>
        <v/>
      </c>
      <c r="Y174" s="4" t="str">
        <f t="shared" si="30"/>
        <v/>
      </c>
      <c r="Z174" s="4" t="str">
        <f t="shared" si="29"/>
        <v/>
      </c>
      <c r="AA174" s="4"/>
      <c r="AB174" s="4"/>
      <c r="AC174" s="4"/>
      <c r="AD174" s="4" t="str">
        <f>IF(H174="","",IFERROR(INDEX(DB!$B$2:$U$1713,MATCH(UPPER(TRIM(H174)),DB!$B$2:$B$1713,0),8),IFERROR(INDEX(DB!$B$2:$U$1713,MATCH(UPPER(TRIM(H174)),DB!$J$2:$J$1713,0),8),"")))</f>
        <v/>
      </c>
      <c r="AE174" s="4"/>
      <c r="AF174" s="4"/>
      <c r="AG174" s="4"/>
      <c r="AI174" t="str">
        <f>IF(AI4&lt;&gt;"",HYPERLINK("https://echa.europa.eu/search-for-chemicals?search_criteria_ecnumber=" &amp; AI4,"ECHA"),"")</f>
        <v/>
      </c>
    </row>
    <row r="175" spans="1:35" ht="15" customHeight="1" x14ac:dyDescent="0.25">
      <c r="A175" s="6" t="str">
        <f t="shared" si="26"/>
        <v/>
      </c>
      <c r="B175" s="6"/>
      <c r="C175" s="6"/>
      <c r="D175" s="7" t="str">
        <f t="shared" si="31"/>
        <v/>
      </c>
      <c r="E175" s="6"/>
      <c r="F175" s="6"/>
      <c r="G175" s="6"/>
      <c r="H175" s="6"/>
      <c r="I175" s="6" t="str">
        <f>IFERROR(INDEX(DB!$C$2:$C$2267,MATCH(UPPER(TRIM($H173)),DB!$B$2:$B$2267,0)),IFERROR(INDEX(DB!$C$2:$C$2267,MATCH(UPPER(TRIM($H173)),DB!$J$2:$J$2267,0)),""))</f>
        <v/>
      </c>
      <c r="J175" s="6" t="str">
        <f>IF(H173="","",IFERROR(INDEX(DB!$B$2:$U$2267,MATCH(UPPER(TRIM($H173)),DB!$B$2:$B$2267,0),3),IFERROR(INDEX(DB!$B$2:$U$2267,MATCH(UPPER(TRIM($H173)),DB!$J$2:$J$2267,0),3),"")))</f>
        <v/>
      </c>
      <c r="K175" s="6" t="str">
        <f>IF(H173="","",IFERROR(INDEX(DB!$B$2:$U$2267,MATCH(UPPER(TRIM($H173)),DB!$B$2:$B$2267,0),4),IFERROR(INDEX(DB!$B$2:$U$2267,MATCH(UPPER(TRIM($H173)),DB!$J$2:$J$2267,0),4),"")))</f>
        <v/>
      </c>
      <c r="L175" s="6" t="str">
        <f>IF(H173="","",IFERROR(INDEX(DB!$B$2:$U$2267,MATCH(UPPER(TRIM($H173)),DB!$B$2:$B$2267,0),5),IFERROR(INDEX(DB!$B$2:$U$2267,MATCH(UPPER(TRIM($H173)),DB!$J$2:$J$2267,0),5),"")))</f>
        <v/>
      </c>
      <c r="M175" s="6" t="str">
        <f>IF(H173="","",IFERROR(INDEX(DB!$B$2:$U$2267,MATCH(UPPER(TRIM($H173)),DB!$B$2:$B$2267,0),6),IFERROR(INDEX(DB!$B$2:$U$2267,MATCH(UPPER(TRIM($H173)),DB!$J$2:$J$2267,0),6),"")))</f>
        <v/>
      </c>
      <c r="N175" s="6" t="str">
        <f>IF(H175="","",IFERROR(INDEX(DB!$B$2:$U$1713,MATCH(UPPER(TRIM(H175)),DB!$B$2:$B$1713,0),7),IFERROR(INDEX(DB!$B$2:$U$1713,MATCH(UPPER(TRIM(H175)),DB!$J$2:$J$1713,0),7),"")))</f>
        <v/>
      </c>
      <c r="O175" s="6"/>
      <c r="P175" s="6"/>
      <c r="Q175" s="6"/>
      <c r="R175" s="6"/>
      <c r="S175" s="6"/>
      <c r="T175" s="6"/>
      <c r="U175" s="6"/>
      <c r="V175" s="6" t="str">
        <f t="shared" si="27"/>
        <v/>
      </c>
      <c r="W175" s="6"/>
      <c r="X175" s="6" t="str">
        <f t="shared" si="28"/>
        <v/>
      </c>
      <c r="Y175" s="6" t="str">
        <f t="shared" si="30"/>
        <v/>
      </c>
      <c r="Z175" s="6" t="str">
        <f t="shared" si="29"/>
        <v/>
      </c>
      <c r="AA175" s="6"/>
      <c r="AB175" s="6"/>
      <c r="AC175" s="6"/>
      <c r="AD175" s="6" t="str">
        <f>IF(H175="","",IFERROR(INDEX(DB!$B$2:$U$1713,MATCH(UPPER(TRIM(H175)),DB!$B$2:$B$1713,0),8),IFERROR(INDEX(DB!$B$2:$U$1713,MATCH(UPPER(TRIM(H175)),DB!$J$2:$J$1713,0),8),"")))</f>
        <v/>
      </c>
      <c r="AE175" s="6"/>
      <c r="AF175" s="6"/>
      <c r="AG175" s="6"/>
      <c r="AI175" t="str">
        <f>IF(AI4&lt;&gt;"",HYPERLINK("https://echa.europa.eu/search-for-chemicals?search_criteria_ecnumber=" &amp; AI4,"ECHA"),"")</f>
        <v/>
      </c>
    </row>
    <row r="176" spans="1:35" ht="15" customHeight="1" x14ac:dyDescent="0.25">
      <c r="A176" s="4" t="str">
        <f t="shared" ref="A176:A190" si="32">IF(H176="","",ROW()-16)</f>
        <v/>
      </c>
      <c r="B176" s="4"/>
      <c r="C176" s="4"/>
      <c r="D176" s="5" t="str">
        <f t="shared" si="31"/>
        <v/>
      </c>
      <c r="E176" s="4"/>
      <c r="F176" s="4"/>
      <c r="G176" s="4"/>
      <c r="H176" s="4"/>
      <c r="I176" s="4" t="str">
        <f>IFERROR(INDEX(DB!$C$2:$C$2267,MATCH(UPPER(TRIM($H174)),DB!$B$2:$B$2267,0)),IFERROR(INDEX(DB!$C$2:$C$2267,MATCH(UPPER(TRIM($H174)),DB!$J$2:$J$2267,0)),""))</f>
        <v/>
      </c>
      <c r="J176" s="4" t="str">
        <f>IF(H174="","",IFERROR(INDEX(DB!$B$2:$U$2267,MATCH(UPPER(TRIM($H174)),DB!$B$2:$B$2267,0),3),IFERROR(INDEX(DB!$B$2:$U$2267,MATCH(UPPER(TRIM($H174)),DB!$J$2:$J$2267,0),3),"")))</f>
        <v/>
      </c>
      <c r="K176" s="4" t="str">
        <f>IF(H174="","",IFERROR(INDEX(DB!$B$2:$U$2267,MATCH(UPPER(TRIM($H174)),DB!$B$2:$B$2267,0),4),IFERROR(INDEX(DB!$B$2:$U$2267,MATCH(UPPER(TRIM($H174)),DB!$J$2:$J$2267,0),4),"")))</f>
        <v/>
      </c>
      <c r="L176" s="4" t="str">
        <f>IF(H174="","",IFERROR(INDEX(DB!$B$2:$U$2267,MATCH(UPPER(TRIM($H174)),DB!$B$2:$B$2267,0),5),IFERROR(INDEX(DB!$B$2:$U$2267,MATCH(UPPER(TRIM($H174)),DB!$J$2:$J$2267,0),5),"")))</f>
        <v/>
      </c>
      <c r="M176" s="4" t="str">
        <f>IF(H174="","",IFERROR(INDEX(DB!$B$2:$U$2267,MATCH(UPPER(TRIM($H174)),DB!$B$2:$B$2267,0),6),IFERROR(INDEX(DB!$B$2:$U$2267,MATCH(UPPER(TRIM($H174)),DB!$J$2:$J$2267,0),6),"")))</f>
        <v/>
      </c>
      <c r="N176" s="4" t="str">
        <f>IF(H176="","",IFERROR(INDEX(DB!$B$2:$U$1713,MATCH(UPPER(TRIM(H176)),DB!$B$2:$B$1713,0),7),IFERROR(INDEX(DB!$B$2:$U$1713,MATCH(UPPER(TRIM(H176)),DB!$J$2:$J$1713,0),7),"")))</f>
        <v/>
      </c>
      <c r="O176" s="4"/>
      <c r="P176" s="4"/>
      <c r="Q176" s="4"/>
      <c r="R176" s="4"/>
      <c r="S176" s="4"/>
      <c r="T176" s="4"/>
      <c r="U176" s="4"/>
      <c r="V176" s="4" t="str">
        <f t="shared" ref="V176:V190" si="33">IF(M176="","",IF(OR(M176="E",M176="D"),IF(OR(N176="Yüksek",N176="Çok Yüksek",N176="Çok Yüksek (Gaz)",N176="Toz"),4,IF(N176="Orta",3,2)),IF(M176="C",IF(OR(N176="Yüksek",N176="Çok Yüksek",N176="Çok Yüksek (Gaz)",N176="Toz"),3,IF(N176="Orta",2,1)),IF(M176="B",IF(OR(N176="Yüksek",N176="Çok Yüksek",N176="Çok Yüksek (Gaz)",N176="Toz"),2,1),1))))</f>
        <v/>
      </c>
      <c r="W176" s="4"/>
      <c r="X176" s="4" t="str">
        <f t="shared" ref="X176:X190" si="34">IF($V176="","",IF($V176=1,"İyi uygulama + genel havalandırma. Kapalı kap/etiketleme.",IF($V176=2,"Yerel kontrol (LEV) / kapalı ekipman. KKD uygunluğu kontrol.",IF($V176=3,"Mühendislik kontrolü güçlendir (kapalı sistem/LEV) + prosedür. KKD zorunlu.","Uzman değerlendirmesi + mümkünse tam kapalı sistem. İzinli çalışma ve izleme."))))</f>
        <v/>
      </c>
      <c r="Y176" s="4" t="str">
        <f t="shared" si="30"/>
        <v/>
      </c>
      <c r="Z176" s="4" t="str">
        <f t="shared" ref="Z176:Z190" si="35">IF(V176="","",IF(V176=1,"Uygun",IF(V176=2,"Koşullu Uygun","Uygun Değil")))</f>
        <v/>
      </c>
      <c r="AA176" s="4"/>
      <c r="AB176" s="4"/>
      <c r="AC176" s="4"/>
      <c r="AD176" s="4" t="str">
        <f>IF(H176="","",IFERROR(INDEX(DB!$B$2:$U$1713,MATCH(UPPER(TRIM(H176)),DB!$B$2:$B$1713,0),8),IFERROR(INDEX(DB!$B$2:$U$1713,MATCH(UPPER(TRIM(H176)),DB!$J$2:$J$1713,0),8),"")))</f>
        <v/>
      </c>
      <c r="AE176" s="4"/>
      <c r="AF176" s="4"/>
      <c r="AG176" s="4"/>
      <c r="AI176" t="str">
        <f>IF(AI4&lt;&gt;"",HYPERLINK("https://echa.europa.eu/search-for-chemicals?search_criteria_ecnumber=" &amp; AI4,"ECHA"),"")</f>
        <v/>
      </c>
    </row>
    <row r="177" spans="1:35" ht="15" customHeight="1" x14ac:dyDescent="0.25">
      <c r="A177" s="6" t="str">
        <f t="shared" si="32"/>
        <v/>
      </c>
      <c r="B177" s="6"/>
      <c r="C177" s="6"/>
      <c r="D177" s="7" t="str">
        <f t="shared" si="31"/>
        <v/>
      </c>
      <c r="E177" s="6"/>
      <c r="F177" s="6"/>
      <c r="G177" s="6"/>
      <c r="H177" s="6"/>
      <c r="I177" s="6" t="str">
        <f>IFERROR(INDEX(DB!$C$2:$C$2267,MATCH(UPPER(TRIM($H175)),DB!$B$2:$B$2267,0)),IFERROR(INDEX(DB!$C$2:$C$2267,MATCH(UPPER(TRIM($H175)),DB!$J$2:$J$2267,0)),""))</f>
        <v/>
      </c>
      <c r="J177" s="6" t="str">
        <f>IF(H175="","",IFERROR(INDEX(DB!$B$2:$U$2267,MATCH(UPPER(TRIM($H175)),DB!$B$2:$B$2267,0),3),IFERROR(INDEX(DB!$B$2:$U$2267,MATCH(UPPER(TRIM($H175)),DB!$J$2:$J$2267,0),3),"")))</f>
        <v/>
      </c>
      <c r="K177" s="6" t="str">
        <f>IF(H175="","",IFERROR(INDEX(DB!$B$2:$U$2267,MATCH(UPPER(TRIM($H175)),DB!$B$2:$B$2267,0),4),IFERROR(INDEX(DB!$B$2:$U$2267,MATCH(UPPER(TRIM($H175)),DB!$J$2:$J$2267,0),4),"")))</f>
        <v/>
      </c>
      <c r="L177" s="6" t="str">
        <f>IF(H175="","",IFERROR(INDEX(DB!$B$2:$U$2267,MATCH(UPPER(TRIM($H175)),DB!$B$2:$B$2267,0),5),IFERROR(INDEX(DB!$B$2:$U$2267,MATCH(UPPER(TRIM($H175)),DB!$J$2:$J$2267,0),5),"")))</f>
        <v/>
      </c>
      <c r="M177" s="6" t="str">
        <f>IF(H175="","",IFERROR(INDEX(DB!$B$2:$U$2267,MATCH(UPPER(TRIM($H175)),DB!$B$2:$B$2267,0),6),IFERROR(INDEX(DB!$B$2:$U$2267,MATCH(UPPER(TRIM($H175)),DB!$J$2:$J$2267,0),6),"")))</f>
        <v/>
      </c>
      <c r="N177" s="6" t="str">
        <f>IF(H177="","",IFERROR(INDEX(DB!$B$2:$U$1713,MATCH(UPPER(TRIM(H177)),DB!$B$2:$B$1713,0),7),IFERROR(INDEX(DB!$B$2:$U$1713,MATCH(UPPER(TRIM(H177)),DB!$J$2:$J$1713,0),7),"")))</f>
        <v/>
      </c>
      <c r="O177" s="6"/>
      <c r="P177" s="6"/>
      <c r="Q177" s="6"/>
      <c r="R177" s="6"/>
      <c r="S177" s="6"/>
      <c r="T177" s="6"/>
      <c r="U177" s="6"/>
      <c r="V177" s="6" t="str">
        <f t="shared" si="33"/>
        <v/>
      </c>
      <c r="W177" s="6"/>
      <c r="X177" s="6" t="str">
        <f t="shared" si="34"/>
        <v/>
      </c>
      <c r="Y177" s="6" t="str">
        <f t="shared" ref="Y177:Y190" si="36">IF(V177="","",CHOOSE(V177,"Düşük","Orta","Yüksek","Kritik"))</f>
        <v/>
      </c>
      <c r="Z177" s="6" t="str">
        <f t="shared" si="35"/>
        <v/>
      </c>
      <c r="AA177" s="6"/>
      <c r="AB177" s="6"/>
      <c r="AC177" s="6"/>
      <c r="AD177" s="6" t="str">
        <f>IF(H177="","",IFERROR(INDEX(DB!$B$2:$U$1713,MATCH(UPPER(TRIM(H177)),DB!$B$2:$B$1713,0),8),IFERROR(INDEX(DB!$B$2:$U$1713,MATCH(UPPER(TRIM(H177)),DB!$J$2:$J$1713,0),8),"")))</f>
        <v/>
      </c>
      <c r="AE177" s="6"/>
      <c r="AF177" s="6"/>
      <c r="AG177" s="6"/>
      <c r="AI177" t="str">
        <f>IF(AI4&lt;&gt;"",HYPERLINK("https://echa.europa.eu/search-for-chemicals?search_criteria_ecnumber=" &amp; AI4,"ECHA"),"")</f>
        <v/>
      </c>
    </row>
    <row r="178" spans="1:35" ht="15" customHeight="1" x14ac:dyDescent="0.25">
      <c r="A178" s="4" t="str">
        <f t="shared" si="32"/>
        <v/>
      </c>
      <c r="B178" s="4"/>
      <c r="C178" s="4"/>
      <c r="D178" s="5" t="str">
        <f t="shared" si="31"/>
        <v/>
      </c>
      <c r="E178" s="4"/>
      <c r="F178" s="4"/>
      <c r="G178" s="4"/>
      <c r="H178" s="4"/>
      <c r="I178" s="4" t="str">
        <f>IFERROR(INDEX(DB!$C$2:$C$2267,MATCH(UPPER(TRIM($H176)),DB!$B$2:$B$2267,0)),IFERROR(INDEX(DB!$C$2:$C$2267,MATCH(UPPER(TRIM($H176)),DB!$J$2:$J$2267,0)),""))</f>
        <v/>
      </c>
      <c r="J178" s="4" t="str">
        <f>IF(H176="","",IFERROR(INDEX(DB!$B$2:$U$2267,MATCH(UPPER(TRIM($H176)),DB!$B$2:$B$2267,0),3),IFERROR(INDEX(DB!$B$2:$U$2267,MATCH(UPPER(TRIM($H176)),DB!$J$2:$J$2267,0),3),"")))</f>
        <v/>
      </c>
      <c r="K178" s="4" t="str">
        <f>IF(H176="","",IFERROR(INDEX(DB!$B$2:$U$2267,MATCH(UPPER(TRIM($H176)),DB!$B$2:$B$2267,0),4),IFERROR(INDEX(DB!$B$2:$U$2267,MATCH(UPPER(TRIM($H176)),DB!$J$2:$J$2267,0),4),"")))</f>
        <v/>
      </c>
      <c r="L178" s="4" t="str">
        <f>IF(H176="","",IFERROR(INDEX(DB!$B$2:$U$2267,MATCH(UPPER(TRIM($H176)),DB!$B$2:$B$2267,0),5),IFERROR(INDEX(DB!$B$2:$U$2267,MATCH(UPPER(TRIM($H176)),DB!$J$2:$J$2267,0),5),"")))</f>
        <v/>
      </c>
      <c r="M178" s="4" t="str">
        <f>IF(H176="","",IFERROR(INDEX(DB!$B$2:$U$2267,MATCH(UPPER(TRIM($H176)),DB!$B$2:$B$2267,0),6),IFERROR(INDEX(DB!$B$2:$U$2267,MATCH(UPPER(TRIM($H176)),DB!$J$2:$J$2267,0),6),"")))</f>
        <v/>
      </c>
      <c r="N178" s="4" t="str">
        <f>IF(H178="","",IFERROR(INDEX(DB!$B$2:$U$1713,MATCH(UPPER(TRIM(H178)),DB!$B$2:$B$1713,0),7),IFERROR(INDEX(DB!$B$2:$U$1713,MATCH(UPPER(TRIM(H178)),DB!$J$2:$J$1713,0),7),"")))</f>
        <v/>
      </c>
      <c r="O178" s="4"/>
      <c r="P178" s="4"/>
      <c r="Q178" s="4"/>
      <c r="R178" s="4"/>
      <c r="S178" s="4"/>
      <c r="T178" s="4"/>
      <c r="U178" s="4"/>
      <c r="V178" s="4" t="str">
        <f t="shared" si="33"/>
        <v/>
      </c>
      <c r="W178" s="4"/>
      <c r="X178" s="4" t="str">
        <f t="shared" si="34"/>
        <v/>
      </c>
      <c r="Y178" s="4" t="str">
        <f t="shared" si="36"/>
        <v/>
      </c>
      <c r="Z178" s="4" t="str">
        <f t="shared" si="35"/>
        <v/>
      </c>
      <c r="AA178" s="4"/>
      <c r="AB178" s="4"/>
      <c r="AC178" s="4"/>
      <c r="AD178" s="4" t="str">
        <f>IF(H178="","",IFERROR(INDEX(DB!$B$2:$U$1713,MATCH(UPPER(TRIM(H178)),DB!$B$2:$B$1713,0),8),IFERROR(INDEX(DB!$B$2:$U$1713,MATCH(UPPER(TRIM(H178)),DB!$J$2:$J$1713,0),8),"")))</f>
        <v/>
      </c>
      <c r="AE178" s="4"/>
      <c r="AF178" s="4"/>
      <c r="AG178" s="4"/>
      <c r="AI178" t="str">
        <f>IF(AI4&lt;&gt;"",HYPERLINK("https://echa.europa.eu/search-for-chemicals?search_criteria_ecnumber=" &amp; AI4,"ECHA"),"")</f>
        <v/>
      </c>
    </row>
    <row r="179" spans="1:35" ht="15" customHeight="1" x14ac:dyDescent="0.25">
      <c r="A179" s="6" t="str">
        <f t="shared" si="32"/>
        <v/>
      </c>
      <c r="B179" s="6"/>
      <c r="C179" s="6"/>
      <c r="D179" s="7" t="str">
        <f t="shared" si="31"/>
        <v/>
      </c>
      <c r="E179" s="6"/>
      <c r="F179" s="6"/>
      <c r="G179" s="6"/>
      <c r="H179" s="6"/>
      <c r="I179" s="6" t="str">
        <f>IFERROR(INDEX(DB!$C$2:$C$2267,MATCH(UPPER(TRIM($H177)),DB!$B$2:$B$2267,0)),IFERROR(INDEX(DB!$C$2:$C$2267,MATCH(UPPER(TRIM($H177)),DB!$J$2:$J$2267,0)),""))</f>
        <v/>
      </c>
      <c r="J179" s="6" t="str">
        <f>IF(H177="","",IFERROR(INDEX(DB!$B$2:$U$2267,MATCH(UPPER(TRIM($H177)),DB!$B$2:$B$2267,0),3),IFERROR(INDEX(DB!$B$2:$U$2267,MATCH(UPPER(TRIM($H177)),DB!$J$2:$J$2267,0),3),"")))</f>
        <v/>
      </c>
      <c r="K179" s="6" t="str">
        <f>IF(H177="","",IFERROR(INDEX(DB!$B$2:$U$2267,MATCH(UPPER(TRIM($H177)),DB!$B$2:$B$2267,0),4),IFERROR(INDEX(DB!$B$2:$U$2267,MATCH(UPPER(TRIM($H177)),DB!$J$2:$J$2267,0),4),"")))</f>
        <v/>
      </c>
      <c r="L179" s="6" t="str">
        <f>IF(H177="","",IFERROR(INDEX(DB!$B$2:$U$2267,MATCH(UPPER(TRIM($H177)),DB!$B$2:$B$2267,0),5),IFERROR(INDEX(DB!$B$2:$U$2267,MATCH(UPPER(TRIM($H177)),DB!$J$2:$J$2267,0),5),"")))</f>
        <v/>
      </c>
      <c r="M179" s="6" t="str">
        <f>IF(H177="","",IFERROR(INDEX(DB!$B$2:$U$2267,MATCH(UPPER(TRIM($H177)),DB!$B$2:$B$2267,0),6),IFERROR(INDEX(DB!$B$2:$U$2267,MATCH(UPPER(TRIM($H177)),DB!$J$2:$J$2267,0),6),"")))</f>
        <v/>
      </c>
      <c r="N179" s="6" t="str">
        <f>IF(H179="","",IFERROR(INDEX(DB!$B$2:$U$1713,MATCH(UPPER(TRIM(H179)),DB!$B$2:$B$1713,0),7),IFERROR(INDEX(DB!$B$2:$U$1713,MATCH(UPPER(TRIM(H179)),DB!$J$2:$J$1713,0),7),"")))</f>
        <v/>
      </c>
      <c r="O179" s="6"/>
      <c r="P179" s="6"/>
      <c r="Q179" s="6"/>
      <c r="R179" s="6"/>
      <c r="S179" s="6"/>
      <c r="T179" s="6"/>
      <c r="U179" s="6"/>
      <c r="V179" s="6" t="str">
        <f t="shared" si="33"/>
        <v/>
      </c>
      <c r="W179" s="6"/>
      <c r="X179" s="6" t="str">
        <f t="shared" si="34"/>
        <v/>
      </c>
      <c r="Y179" s="6" t="str">
        <f t="shared" si="36"/>
        <v/>
      </c>
      <c r="Z179" s="6" t="str">
        <f t="shared" si="35"/>
        <v/>
      </c>
      <c r="AA179" s="6"/>
      <c r="AB179" s="6"/>
      <c r="AC179" s="6"/>
      <c r="AD179" s="6" t="str">
        <f>IF(H179="","",IFERROR(INDEX(DB!$B$2:$U$1713,MATCH(UPPER(TRIM(H179)),DB!$B$2:$B$1713,0),8),IFERROR(INDEX(DB!$B$2:$U$1713,MATCH(UPPER(TRIM(H179)),DB!$J$2:$J$1713,0),8),"")))</f>
        <v/>
      </c>
      <c r="AE179" s="6"/>
      <c r="AF179" s="6"/>
      <c r="AG179" s="6"/>
      <c r="AI179" t="str">
        <f>IF(AI4&lt;&gt;"",HYPERLINK("https://echa.europa.eu/search-for-chemicals?search_criteria_ecnumber=" &amp; AI4,"ECHA"),"")</f>
        <v/>
      </c>
    </row>
    <row r="180" spans="1:35" ht="15" customHeight="1" x14ac:dyDescent="0.25">
      <c r="A180" s="4" t="str">
        <f t="shared" si="32"/>
        <v/>
      </c>
      <c r="B180" s="4"/>
      <c r="C180" s="4"/>
      <c r="D180" s="5" t="str">
        <f t="shared" si="31"/>
        <v/>
      </c>
      <c r="E180" s="4"/>
      <c r="F180" s="4"/>
      <c r="G180" s="4"/>
      <c r="H180" s="4"/>
      <c r="I180" s="4" t="str">
        <f>IFERROR(INDEX(DB!$C$2:$C$2267,MATCH(UPPER(TRIM($H178)),DB!$B$2:$B$2267,0)),IFERROR(INDEX(DB!$C$2:$C$2267,MATCH(UPPER(TRIM($H178)),DB!$J$2:$J$2267,0)),""))</f>
        <v/>
      </c>
      <c r="J180" s="4" t="str">
        <f>IF(H178="","",IFERROR(INDEX(DB!$B$2:$U$2267,MATCH(UPPER(TRIM($H178)),DB!$B$2:$B$2267,0),3),IFERROR(INDEX(DB!$B$2:$U$2267,MATCH(UPPER(TRIM($H178)),DB!$J$2:$J$2267,0),3),"")))</f>
        <v/>
      </c>
      <c r="K180" s="4" t="str">
        <f>IF(H178="","",IFERROR(INDEX(DB!$B$2:$U$2267,MATCH(UPPER(TRIM($H178)),DB!$B$2:$B$2267,0),4),IFERROR(INDEX(DB!$B$2:$U$2267,MATCH(UPPER(TRIM($H178)),DB!$J$2:$J$2267,0),4),"")))</f>
        <v/>
      </c>
      <c r="L180" s="4" t="str">
        <f>IF(H178="","",IFERROR(INDEX(DB!$B$2:$U$2267,MATCH(UPPER(TRIM($H178)),DB!$B$2:$B$2267,0),5),IFERROR(INDEX(DB!$B$2:$U$2267,MATCH(UPPER(TRIM($H178)),DB!$J$2:$J$2267,0),5),"")))</f>
        <v/>
      </c>
      <c r="M180" s="4" t="str">
        <f>IF(H178="","",IFERROR(INDEX(DB!$B$2:$U$2267,MATCH(UPPER(TRIM($H178)),DB!$B$2:$B$2267,0),6),IFERROR(INDEX(DB!$B$2:$U$2267,MATCH(UPPER(TRIM($H178)),DB!$J$2:$J$2267,0),6),"")))</f>
        <v/>
      </c>
      <c r="N180" s="4" t="str">
        <f>IF(H180="","",IFERROR(INDEX(DB!$B$2:$U$1713,MATCH(UPPER(TRIM(H180)),DB!$B$2:$B$1713,0),7),IFERROR(INDEX(DB!$B$2:$U$1713,MATCH(UPPER(TRIM(H180)),DB!$J$2:$J$1713,0),7),"")))</f>
        <v/>
      </c>
      <c r="O180" s="4"/>
      <c r="P180" s="4"/>
      <c r="Q180" s="4"/>
      <c r="R180" s="4"/>
      <c r="S180" s="4"/>
      <c r="T180" s="4"/>
      <c r="U180" s="4"/>
      <c r="V180" s="4" t="str">
        <f t="shared" si="33"/>
        <v/>
      </c>
      <c r="W180" s="4"/>
      <c r="X180" s="4" t="str">
        <f t="shared" si="34"/>
        <v/>
      </c>
      <c r="Y180" s="4" t="str">
        <f t="shared" si="36"/>
        <v/>
      </c>
      <c r="Z180" s="4" t="str">
        <f t="shared" si="35"/>
        <v/>
      </c>
      <c r="AA180" s="4"/>
      <c r="AB180" s="4"/>
      <c r="AC180" s="4"/>
      <c r="AD180" s="4" t="str">
        <f>IF(H180="","",IFERROR(INDEX(DB!$B$2:$U$1713,MATCH(UPPER(TRIM(H180)),DB!$B$2:$B$1713,0),8),IFERROR(INDEX(DB!$B$2:$U$1713,MATCH(UPPER(TRIM(H180)),DB!$J$2:$J$1713,0),8),"")))</f>
        <v/>
      </c>
      <c r="AE180" s="4"/>
      <c r="AF180" s="4"/>
      <c r="AG180" s="4"/>
      <c r="AI180" t="str">
        <f>IF(AI4&lt;&gt;"",HYPERLINK("https://echa.europa.eu/search-for-chemicals?search_criteria_ecnumber=" &amp; AI4,"ECHA"),"")</f>
        <v/>
      </c>
    </row>
    <row r="181" spans="1:35" ht="15" customHeight="1" x14ac:dyDescent="0.25">
      <c r="A181" s="6" t="str">
        <f t="shared" si="32"/>
        <v/>
      </c>
      <c r="B181" s="6"/>
      <c r="C181" s="6"/>
      <c r="D181" s="7" t="str">
        <f t="shared" si="31"/>
        <v/>
      </c>
      <c r="E181" s="6"/>
      <c r="F181" s="6"/>
      <c r="G181" s="6"/>
      <c r="H181" s="6"/>
      <c r="I181" s="6" t="str">
        <f>IFERROR(INDEX(DB!$C$2:$C$2267,MATCH(UPPER(TRIM($H179)),DB!$B$2:$B$2267,0)),IFERROR(INDEX(DB!$C$2:$C$2267,MATCH(UPPER(TRIM($H179)),DB!$J$2:$J$2267,0)),""))</f>
        <v/>
      </c>
      <c r="J181" s="6" t="str">
        <f>IF(H179="","",IFERROR(INDEX(DB!$B$2:$U$2267,MATCH(UPPER(TRIM($H179)),DB!$B$2:$B$2267,0),3),IFERROR(INDEX(DB!$B$2:$U$2267,MATCH(UPPER(TRIM($H179)),DB!$J$2:$J$2267,0),3),"")))</f>
        <v/>
      </c>
      <c r="K181" s="6" t="str">
        <f>IF(H179="","",IFERROR(INDEX(DB!$B$2:$U$2267,MATCH(UPPER(TRIM($H179)),DB!$B$2:$B$2267,0),4),IFERROR(INDEX(DB!$B$2:$U$2267,MATCH(UPPER(TRIM($H179)),DB!$J$2:$J$2267,0),4),"")))</f>
        <v/>
      </c>
      <c r="L181" s="6" t="str">
        <f>IF(H179="","",IFERROR(INDEX(DB!$B$2:$U$2267,MATCH(UPPER(TRIM($H179)),DB!$B$2:$B$2267,0),5),IFERROR(INDEX(DB!$B$2:$U$2267,MATCH(UPPER(TRIM($H179)),DB!$J$2:$J$2267,0),5),"")))</f>
        <v/>
      </c>
      <c r="M181" s="6" t="str">
        <f>IF(H179="","",IFERROR(INDEX(DB!$B$2:$U$2267,MATCH(UPPER(TRIM($H179)),DB!$B$2:$B$2267,0),6),IFERROR(INDEX(DB!$B$2:$U$2267,MATCH(UPPER(TRIM($H179)),DB!$J$2:$J$2267,0),6),"")))</f>
        <v/>
      </c>
      <c r="N181" s="6" t="str">
        <f>IF(H181="","",IFERROR(INDEX(DB!$B$2:$U$1713,MATCH(UPPER(TRIM(H181)),DB!$B$2:$B$1713,0),7),IFERROR(INDEX(DB!$B$2:$U$1713,MATCH(UPPER(TRIM(H181)),DB!$J$2:$J$1713,0),7),"")))</f>
        <v/>
      </c>
      <c r="O181" s="6"/>
      <c r="P181" s="6"/>
      <c r="Q181" s="6"/>
      <c r="R181" s="6"/>
      <c r="S181" s="6"/>
      <c r="T181" s="6"/>
      <c r="U181" s="6"/>
      <c r="V181" s="6" t="str">
        <f t="shared" si="33"/>
        <v/>
      </c>
      <c r="W181" s="6"/>
      <c r="X181" s="6" t="str">
        <f t="shared" si="34"/>
        <v/>
      </c>
      <c r="Y181" s="6" t="str">
        <f t="shared" si="36"/>
        <v/>
      </c>
      <c r="Z181" s="6" t="str">
        <f t="shared" si="35"/>
        <v/>
      </c>
      <c r="AA181" s="6"/>
      <c r="AB181" s="6"/>
      <c r="AC181" s="6"/>
      <c r="AD181" s="6" t="str">
        <f>IF(H181="","",IFERROR(INDEX(DB!$B$2:$U$1713,MATCH(UPPER(TRIM(H181)),DB!$B$2:$B$1713,0),8),IFERROR(INDEX(DB!$B$2:$U$1713,MATCH(UPPER(TRIM(H181)),DB!$J$2:$J$1713,0),8),"")))</f>
        <v/>
      </c>
      <c r="AE181" s="6"/>
      <c r="AF181" s="6"/>
      <c r="AG181" s="6"/>
      <c r="AI181" t="str">
        <f>IF(AI4&lt;&gt;"",HYPERLINK("https://echa.europa.eu/search-for-chemicals?search_criteria_ecnumber=" &amp; AI4,"ECHA"),"")</f>
        <v/>
      </c>
    </row>
    <row r="182" spans="1:35" ht="15" customHeight="1" x14ac:dyDescent="0.25">
      <c r="A182" s="4" t="str">
        <f t="shared" si="32"/>
        <v/>
      </c>
      <c r="B182" s="4"/>
      <c r="C182" s="4"/>
      <c r="D182" s="5" t="str">
        <f t="shared" si="31"/>
        <v/>
      </c>
      <c r="E182" s="4"/>
      <c r="F182" s="4"/>
      <c r="G182" s="4"/>
      <c r="H182" s="4"/>
      <c r="I182" s="4" t="str">
        <f>IFERROR(INDEX(DB!$C$2:$C$2267,MATCH(UPPER(TRIM($H180)),DB!$B$2:$B$2267,0)),IFERROR(INDEX(DB!$C$2:$C$2267,MATCH(UPPER(TRIM($H180)),DB!$J$2:$J$2267,0)),""))</f>
        <v/>
      </c>
      <c r="J182" s="4" t="str">
        <f>IF(H180="","",IFERROR(INDEX(DB!$B$2:$U$2267,MATCH(UPPER(TRIM($H180)),DB!$B$2:$B$2267,0),3),IFERROR(INDEX(DB!$B$2:$U$2267,MATCH(UPPER(TRIM($H180)),DB!$J$2:$J$2267,0),3),"")))</f>
        <v/>
      </c>
      <c r="K182" s="4" t="str">
        <f>IF(H180="","",IFERROR(INDEX(DB!$B$2:$U$2267,MATCH(UPPER(TRIM($H180)),DB!$B$2:$B$2267,0),4),IFERROR(INDEX(DB!$B$2:$U$2267,MATCH(UPPER(TRIM($H180)),DB!$J$2:$J$2267,0),4),"")))</f>
        <v/>
      </c>
      <c r="L182" s="4" t="str">
        <f>IF(H180="","",IFERROR(INDEX(DB!$B$2:$U$2267,MATCH(UPPER(TRIM($H180)),DB!$B$2:$B$2267,0),5),IFERROR(INDEX(DB!$B$2:$U$2267,MATCH(UPPER(TRIM($H180)),DB!$J$2:$J$2267,0),5),"")))</f>
        <v/>
      </c>
      <c r="M182" s="4" t="str">
        <f>IF(H180="","",IFERROR(INDEX(DB!$B$2:$U$2267,MATCH(UPPER(TRIM($H180)),DB!$B$2:$B$2267,0),6),IFERROR(INDEX(DB!$B$2:$U$2267,MATCH(UPPER(TRIM($H180)),DB!$J$2:$J$2267,0),6),"")))</f>
        <v/>
      </c>
      <c r="N182" s="4" t="str">
        <f>IF(H182="","",IFERROR(INDEX(DB!$B$2:$U$1713,MATCH(UPPER(TRIM(H182)),DB!$B$2:$B$1713,0),7),IFERROR(INDEX(DB!$B$2:$U$1713,MATCH(UPPER(TRIM(H182)),DB!$J$2:$J$1713,0),7),"")))</f>
        <v/>
      </c>
      <c r="O182" s="4"/>
      <c r="P182" s="4"/>
      <c r="Q182" s="4"/>
      <c r="R182" s="4"/>
      <c r="S182" s="4"/>
      <c r="T182" s="4"/>
      <c r="U182" s="4"/>
      <c r="V182" s="4" t="str">
        <f t="shared" si="33"/>
        <v/>
      </c>
      <c r="W182" s="4"/>
      <c r="X182" s="4" t="str">
        <f t="shared" si="34"/>
        <v/>
      </c>
      <c r="Y182" s="4" t="str">
        <f t="shared" si="36"/>
        <v/>
      </c>
      <c r="Z182" s="4" t="str">
        <f t="shared" si="35"/>
        <v/>
      </c>
      <c r="AA182" s="4"/>
      <c r="AB182" s="4"/>
      <c r="AC182" s="4"/>
      <c r="AD182" s="4" t="str">
        <f>IF(H182="","",IFERROR(INDEX(DB!$B$2:$U$1713,MATCH(UPPER(TRIM(H182)),DB!$B$2:$B$1713,0),8),IFERROR(INDEX(DB!$B$2:$U$1713,MATCH(UPPER(TRIM(H182)),DB!$J$2:$J$1713,0),8),"")))</f>
        <v/>
      </c>
      <c r="AE182" s="4"/>
      <c r="AF182" s="4"/>
      <c r="AG182" s="4"/>
      <c r="AI182" t="str">
        <f>IF(AI4&lt;&gt;"",HYPERLINK("https://echa.europa.eu/search-for-chemicals?search_criteria_ecnumber=" &amp; AI4,"ECHA"),"")</f>
        <v/>
      </c>
    </row>
    <row r="183" spans="1:35" ht="15" customHeight="1" x14ac:dyDescent="0.25">
      <c r="A183" s="6" t="str">
        <f t="shared" si="32"/>
        <v/>
      </c>
      <c r="B183" s="6"/>
      <c r="C183" s="6"/>
      <c r="D183" s="7" t="str">
        <f t="shared" si="31"/>
        <v/>
      </c>
      <c r="E183" s="6"/>
      <c r="F183" s="6"/>
      <c r="G183" s="6"/>
      <c r="H183" s="6"/>
      <c r="I183" s="6" t="str">
        <f>IFERROR(INDEX(DB!$C$2:$C$2267,MATCH(UPPER(TRIM($H181)),DB!$B$2:$B$2267,0)),IFERROR(INDEX(DB!$C$2:$C$2267,MATCH(UPPER(TRIM($H181)),DB!$J$2:$J$2267,0)),""))</f>
        <v/>
      </c>
      <c r="J183" s="6" t="str">
        <f>IF(H181="","",IFERROR(INDEX(DB!$B$2:$U$2267,MATCH(UPPER(TRIM($H181)),DB!$B$2:$B$2267,0),3),IFERROR(INDEX(DB!$B$2:$U$2267,MATCH(UPPER(TRIM($H181)),DB!$J$2:$J$2267,0),3),"")))</f>
        <v/>
      </c>
      <c r="K183" s="6" t="str">
        <f>IF(H181="","",IFERROR(INDEX(DB!$B$2:$U$2267,MATCH(UPPER(TRIM($H181)),DB!$B$2:$B$2267,0),4),IFERROR(INDEX(DB!$B$2:$U$2267,MATCH(UPPER(TRIM($H181)),DB!$J$2:$J$2267,0),4),"")))</f>
        <v/>
      </c>
      <c r="L183" s="6" t="str">
        <f>IF(H181="","",IFERROR(INDEX(DB!$B$2:$U$2267,MATCH(UPPER(TRIM($H181)),DB!$B$2:$B$2267,0),5),IFERROR(INDEX(DB!$B$2:$U$2267,MATCH(UPPER(TRIM($H181)),DB!$J$2:$J$2267,0),5),"")))</f>
        <v/>
      </c>
      <c r="M183" s="6" t="str">
        <f>IF(H181="","",IFERROR(INDEX(DB!$B$2:$U$2267,MATCH(UPPER(TRIM($H181)),DB!$B$2:$B$2267,0),6),IFERROR(INDEX(DB!$B$2:$U$2267,MATCH(UPPER(TRIM($H181)),DB!$J$2:$J$2267,0),6),"")))</f>
        <v/>
      </c>
      <c r="N183" s="6" t="str">
        <f>IF(H183="","",IFERROR(INDEX(DB!$B$2:$U$1713,MATCH(UPPER(TRIM(H183)),DB!$B$2:$B$1713,0),7),IFERROR(INDEX(DB!$B$2:$U$1713,MATCH(UPPER(TRIM(H183)),DB!$J$2:$J$1713,0),7),"")))</f>
        <v/>
      </c>
      <c r="O183" s="6"/>
      <c r="P183" s="6"/>
      <c r="Q183" s="6"/>
      <c r="R183" s="6"/>
      <c r="S183" s="6"/>
      <c r="T183" s="6"/>
      <c r="U183" s="6"/>
      <c r="V183" s="6" t="str">
        <f t="shared" si="33"/>
        <v/>
      </c>
      <c r="W183" s="6"/>
      <c r="X183" s="6" t="str">
        <f t="shared" si="34"/>
        <v/>
      </c>
      <c r="Y183" s="6" t="str">
        <f t="shared" si="36"/>
        <v/>
      </c>
      <c r="Z183" s="6" t="str">
        <f t="shared" si="35"/>
        <v/>
      </c>
      <c r="AA183" s="6"/>
      <c r="AB183" s="6"/>
      <c r="AC183" s="6"/>
      <c r="AD183" s="6" t="str">
        <f>IF(H183="","",IFERROR(INDEX(DB!$B$2:$U$1713,MATCH(UPPER(TRIM(H183)),DB!$B$2:$B$1713,0),8),IFERROR(INDEX(DB!$B$2:$U$1713,MATCH(UPPER(TRIM(H183)),DB!$J$2:$J$1713,0),8),"")))</f>
        <v/>
      </c>
      <c r="AE183" s="6"/>
      <c r="AF183" s="6"/>
      <c r="AG183" s="6"/>
      <c r="AI183" t="str">
        <f>IF(AI4&lt;&gt;"",HYPERLINK("https://echa.europa.eu/search-for-chemicals?search_criteria_ecnumber=" &amp; AI4,"ECHA"),"")</f>
        <v/>
      </c>
    </row>
    <row r="184" spans="1:35" ht="15" customHeight="1" x14ac:dyDescent="0.25">
      <c r="A184" s="4" t="str">
        <f t="shared" si="32"/>
        <v/>
      </c>
      <c r="B184" s="4"/>
      <c r="C184" s="4"/>
      <c r="D184" s="5" t="str">
        <f t="shared" ref="D184:D190" si="37">IF(B182="","",B182+365)</f>
        <v/>
      </c>
      <c r="E184" s="4"/>
      <c r="F184" s="4"/>
      <c r="G184" s="4"/>
      <c r="H184" s="4"/>
      <c r="I184" s="4" t="str">
        <f>IFERROR(INDEX(DB!$C$2:$C$2267,MATCH(UPPER(TRIM($H182)),DB!$B$2:$B$2267,0)),IFERROR(INDEX(DB!$C$2:$C$2267,MATCH(UPPER(TRIM($H182)),DB!$J$2:$J$2267,0)),""))</f>
        <v/>
      </c>
      <c r="J184" s="4" t="str">
        <f>IF(H182="","",IFERROR(INDEX(DB!$B$2:$U$2267,MATCH(UPPER(TRIM($H182)),DB!$B$2:$B$2267,0),3),IFERROR(INDEX(DB!$B$2:$U$2267,MATCH(UPPER(TRIM($H182)),DB!$J$2:$J$2267,0),3),"")))</f>
        <v/>
      </c>
      <c r="K184" s="4" t="str">
        <f>IF(H182="","",IFERROR(INDEX(DB!$B$2:$U$2267,MATCH(UPPER(TRIM($H182)),DB!$B$2:$B$2267,0),4),IFERROR(INDEX(DB!$B$2:$U$2267,MATCH(UPPER(TRIM($H182)),DB!$J$2:$J$2267,0),4),"")))</f>
        <v/>
      </c>
      <c r="L184" s="4" t="str">
        <f>IF(H182="","",IFERROR(INDEX(DB!$B$2:$U$2267,MATCH(UPPER(TRIM($H182)),DB!$B$2:$B$2267,0),5),IFERROR(INDEX(DB!$B$2:$U$2267,MATCH(UPPER(TRIM($H182)),DB!$J$2:$J$2267,0),5),"")))</f>
        <v/>
      </c>
      <c r="M184" s="4" t="str">
        <f>IF(H182="","",IFERROR(INDEX(DB!$B$2:$U$2267,MATCH(UPPER(TRIM($H182)),DB!$B$2:$B$2267,0),6),IFERROR(INDEX(DB!$B$2:$U$2267,MATCH(UPPER(TRIM($H182)),DB!$J$2:$J$2267,0),6),"")))</f>
        <v/>
      </c>
      <c r="N184" s="4" t="str">
        <f>IF(H184="","",IFERROR(INDEX(DB!$B$2:$U$1713,MATCH(UPPER(TRIM(H184)),DB!$B$2:$B$1713,0),7),IFERROR(INDEX(DB!$B$2:$U$1713,MATCH(UPPER(TRIM(H184)),DB!$J$2:$J$1713,0),7),"")))</f>
        <v/>
      </c>
      <c r="O184" s="4"/>
      <c r="P184" s="4"/>
      <c r="Q184" s="4"/>
      <c r="R184" s="4"/>
      <c r="S184" s="4"/>
      <c r="T184" s="4"/>
      <c r="U184" s="4"/>
      <c r="V184" s="4" t="str">
        <f t="shared" si="33"/>
        <v/>
      </c>
      <c r="W184" s="4"/>
      <c r="X184" s="4" t="str">
        <f t="shared" si="34"/>
        <v/>
      </c>
      <c r="Y184" s="4" t="str">
        <f t="shared" si="36"/>
        <v/>
      </c>
      <c r="Z184" s="4" t="str">
        <f t="shared" si="35"/>
        <v/>
      </c>
      <c r="AA184" s="4"/>
      <c r="AB184" s="4"/>
      <c r="AC184" s="4"/>
      <c r="AD184" s="4" t="str">
        <f>IF(H184="","",IFERROR(INDEX(DB!$B$2:$U$1713,MATCH(UPPER(TRIM(H184)),DB!$B$2:$B$1713,0),8),IFERROR(INDEX(DB!$B$2:$U$1713,MATCH(UPPER(TRIM(H184)),DB!$J$2:$J$1713,0),8),"")))</f>
        <v/>
      </c>
      <c r="AE184" s="4"/>
      <c r="AF184" s="4"/>
      <c r="AG184" s="4"/>
      <c r="AI184" t="str">
        <f>IF(AI4&lt;&gt;"",HYPERLINK("https://echa.europa.eu/search-for-chemicals?search_criteria_ecnumber=" &amp; AI4,"ECHA"),"")</f>
        <v/>
      </c>
    </row>
    <row r="185" spans="1:35" ht="15" customHeight="1" x14ac:dyDescent="0.25">
      <c r="A185" s="6" t="str">
        <f t="shared" si="32"/>
        <v/>
      </c>
      <c r="B185" s="6"/>
      <c r="C185" s="6"/>
      <c r="D185" s="7" t="str">
        <f t="shared" si="37"/>
        <v/>
      </c>
      <c r="E185" s="6"/>
      <c r="F185" s="6"/>
      <c r="G185" s="6"/>
      <c r="H185" s="6"/>
      <c r="I185" s="6" t="str">
        <f>IFERROR(INDEX(DB!$C$2:$C$2267,MATCH(UPPER(TRIM($H183)),DB!$B$2:$B$2267,0)),IFERROR(INDEX(DB!$C$2:$C$2267,MATCH(UPPER(TRIM($H183)),DB!$J$2:$J$2267,0)),""))</f>
        <v/>
      </c>
      <c r="J185" s="6" t="str">
        <f>IF(H183="","",IFERROR(INDEX(DB!$B$2:$U$2267,MATCH(UPPER(TRIM($H183)),DB!$B$2:$B$2267,0),3),IFERROR(INDEX(DB!$B$2:$U$2267,MATCH(UPPER(TRIM($H183)),DB!$J$2:$J$2267,0),3),"")))</f>
        <v/>
      </c>
      <c r="K185" s="6" t="str">
        <f>IF(H183="","",IFERROR(INDEX(DB!$B$2:$U$2267,MATCH(UPPER(TRIM($H183)),DB!$B$2:$B$2267,0),4),IFERROR(INDEX(DB!$B$2:$U$2267,MATCH(UPPER(TRIM($H183)),DB!$J$2:$J$2267,0),4),"")))</f>
        <v/>
      </c>
      <c r="L185" s="6" t="str">
        <f>IF(H183="","",IFERROR(INDEX(DB!$B$2:$U$2267,MATCH(UPPER(TRIM($H183)),DB!$B$2:$B$2267,0),5),IFERROR(INDEX(DB!$B$2:$U$2267,MATCH(UPPER(TRIM($H183)),DB!$J$2:$J$2267,0),5),"")))</f>
        <v/>
      </c>
      <c r="M185" s="6" t="str">
        <f>IF(H183="","",IFERROR(INDEX(DB!$B$2:$U$2267,MATCH(UPPER(TRIM($H183)),DB!$B$2:$B$2267,0),6),IFERROR(INDEX(DB!$B$2:$U$2267,MATCH(UPPER(TRIM($H183)),DB!$J$2:$J$2267,0),6),"")))</f>
        <v/>
      </c>
      <c r="N185" s="6" t="str">
        <f>IF(H185="","",IFERROR(INDEX(DB!$B$2:$U$1713,MATCH(UPPER(TRIM(H185)),DB!$B$2:$B$1713,0),7),IFERROR(INDEX(DB!$B$2:$U$1713,MATCH(UPPER(TRIM(H185)),DB!$J$2:$J$1713,0),7),"")))</f>
        <v/>
      </c>
      <c r="O185" s="6"/>
      <c r="P185" s="6"/>
      <c r="Q185" s="6"/>
      <c r="R185" s="6"/>
      <c r="S185" s="6"/>
      <c r="T185" s="6"/>
      <c r="U185" s="6"/>
      <c r="V185" s="6" t="str">
        <f t="shared" si="33"/>
        <v/>
      </c>
      <c r="W185" s="6"/>
      <c r="X185" s="6" t="str">
        <f t="shared" si="34"/>
        <v/>
      </c>
      <c r="Y185" s="6" t="str">
        <f t="shared" si="36"/>
        <v/>
      </c>
      <c r="Z185" s="6" t="str">
        <f t="shared" si="35"/>
        <v/>
      </c>
      <c r="AA185" s="6"/>
      <c r="AB185" s="6"/>
      <c r="AC185" s="6"/>
      <c r="AD185" s="6" t="str">
        <f>IF(H185="","",IFERROR(INDEX(DB!$B$2:$U$1713,MATCH(UPPER(TRIM(H185)),DB!$B$2:$B$1713,0),8),IFERROR(INDEX(DB!$B$2:$U$1713,MATCH(UPPER(TRIM(H185)),DB!$J$2:$J$1713,0),8),"")))</f>
        <v/>
      </c>
      <c r="AE185" s="6"/>
      <c r="AF185" s="6"/>
      <c r="AG185" s="6"/>
      <c r="AI185" t="str">
        <f>IF(AI4&lt;&gt;"",HYPERLINK("https://echa.europa.eu/search-for-chemicals?search_criteria_ecnumber=" &amp; AI4,"ECHA"),"")</f>
        <v/>
      </c>
    </row>
    <row r="186" spans="1:35" ht="15" customHeight="1" x14ac:dyDescent="0.25">
      <c r="A186" s="4" t="str">
        <f t="shared" si="32"/>
        <v/>
      </c>
      <c r="B186" s="4"/>
      <c r="C186" s="4"/>
      <c r="D186" s="5" t="str">
        <f t="shared" si="37"/>
        <v/>
      </c>
      <c r="E186" s="4"/>
      <c r="F186" s="4"/>
      <c r="G186" s="4"/>
      <c r="H186" s="4"/>
      <c r="I186" s="4" t="str">
        <f>IFERROR(INDEX(DB!$C$2:$C$2267,MATCH(UPPER(TRIM($H184)),DB!$B$2:$B$2267,0)),IFERROR(INDEX(DB!$C$2:$C$2267,MATCH(UPPER(TRIM($H184)),DB!$J$2:$J$2267,0)),""))</f>
        <v/>
      </c>
      <c r="J186" s="4" t="str">
        <f>IF(H184="","",IFERROR(INDEX(DB!$B$2:$U$2267,MATCH(UPPER(TRIM($H184)),DB!$B$2:$B$2267,0),3),IFERROR(INDEX(DB!$B$2:$U$2267,MATCH(UPPER(TRIM($H184)),DB!$J$2:$J$2267,0),3),"")))</f>
        <v/>
      </c>
      <c r="K186" s="4" t="str">
        <f>IF(H184="","",IFERROR(INDEX(DB!$B$2:$U$2267,MATCH(UPPER(TRIM($H184)),DB!$B$2:$B$2267,0),4),IFERROR(INDEX(DB!$B$2:$U$2267,MATCH(UPPER(TRIM($H184)),DB!$J$2:$J$2267,0),4),"")))</f>
        <v/>
      </c>
      <c r="L186" s="4" t="str">
        <f>IF(H184="","",IFERROR(INDEX(DB!$B$2:$U$2267,MATCH(UPPER(TRIM($H184)),DB!$B$2:$B$2267,0),5),IFERROR(INDEX(DB!$B$2:$U$2267,MATCH(UPPER(TRIM($H184)),DB!$J$2:$J$2267,0),5),"")))</f>
        <v/>
      </c>
      <c r="M186" s="4" t="str">
        <f>IF(H184="","",IFERROR(INDEX(DB!$B$2:$U$2267,MATCH(UPPER(TRIM($H184)),DB!$B$2:$B$2267,0),6),IFERROR(INDEX(DB!$B$2:$U$2267,MATCH(UPPER(TRIM($H184)),DB!$J$2:$J$2267,0),6),"")))</f>
        <v/>
      </c>
      <c r="N186" s="4" t="str">
        <f>IF(H186="","",IFERROR(INDEX(DB!$B$2:$U$1713,MATCH(UPPER(TRIM(H186)),DB!$B$2:$B$1713,0),7),IFERROR(INDEX(DB!$B$2:$U$1713,MATCH(UPPER(TRIM(H186)),DB!$J$2:$J$1713,0),7),"")))</f>
        <v/>
      </c>
      <c r="O186" s="4"/>
      <c r="P186" s="4"/>
      <c r="Q186" s="4"/>
      <c r="R186" s="4"/>
      <c r="S186" s="4"/>
      <c r="T186" s="4"/>
      <c r="U186" s="4"/>
      <c r="V186" s="4" t="str">
        <f t="shared" si="33"/>
        <v/>
      </c>
      <c r="W186" s="4"/>
      <c r="X186" s="4" t="str">
        <f t="shared" si="34"/>
        <v/>
      </c>
      <c r="Y186" s="4" t="str">
        <f t="shared" si="36"/>
        <v/>
      </c>
      <c r="Z186" s="4" t="str">
        <f t="shared" si="35"/>
        <v/>
      </c>
      <c r="AA186" s="4"/>
      <c r="AB186" s="4"/>
      <c r="AC186" s="4"/>
      <c r="AD186" s="4" t="str">
        <f>IF(H186="","",IFERROR(INDEX(DB!$B$2:$U$1713,MATCH(UPPER(TRIM(H186)),DB!$B$2:$B$1713,0),8),IFERROR(INDEX(DB!$B$2:$U$1713,MATCH(UPPER(TRIM(H186)),DB!$J$2:$J$1713,0),8),"")))</f>
        <v/>
      </c>
      <c r="AE186" s="4"/>
      <c r="AF186" s="4"/>
      <c r="AG186" s="4"/>
      <c r="AI186" t="str">
        <f>IF(AI4&lt;&gt;"",HYPERLINK("https://echa.europa.eu/search-for-chemicals?search_criteria_ecnumber=" &amp; AI4,"ECHA"),"")</f>
        <v/>
      </c>
    </row>
    <row r="187" spans="1:35" ht="15" customHeight="1" x14ac:dyDescent="0.25">
      <c r="A187" s="6" t="str">
        <f t="shared" si="32"/>
        <v/>
      </c>
      <c r="B187" s="6"/>
      <c r="C187" s="6"/>
      <c r="D187" s="7" t="str">
        <f t="shared" si="37"/>
        <v/>
      </c>
      <c r="E187" s="6"/>
      <c r="F187" s="6"/>
      <c r="G187" s="6"/>
      <c r="H187" s="6"/>
      <c r="I187" s="6" t="str">
        <f>IFERROR(INDEX(DB!$C$2:$C$2267,MATCH(UPPER(TRIM($H185)),DB!$B$2:$B$2267,0)),IFERROR(INDEX(DB!$C$2:$C$2267,MATCH(UPPER(TRIM($H185)),DB!$J$2:$J$2267,0)),""))</f>
        <v/>
      </c>
      <c r="J187" s="6" t="str">
        <f>IF(H185="","",IFERROR(INDEX(DB!$B$2:$U$2267,MATCH(UPPER(TRIM($H185)),DB!$B$2:$B$2267,0),3),IFERROR(INDEX(DB!$B$2:$U$2267,MATCH(UPPER(TRIM($H185)),DB!$J$2:$J$2267,0),3),"")))</f>
        <v/>
      </c>
      <c r="K187" s="6" t="str">
        <f>IF(H185="","",IFERROR(INDEX(DB!$B$2:$U$2267,MATCH(UPPER(TRIM($H185)),DB!$B$2:$B$2267,0),4),IFERROR(INDEX(DB!$B$2:$U$2267,MATCH(UPPER(TRIM($H185)),DB!$J$2:$J$2267,0),4),"")))</f>
        <v/>
      </c>
      <c r="L187" s="6" t="str">
        <f>IF(H185="","",IFERROR(INDEX(DB!$B$2:$U$2267,MATCH(UPPER(TRIM($H185)),DB!$B$2:$B$2267,0),5),IFERROR(INDEX(DB!$B$2:$U$2267,MATCH(UPPER(TRIM($H185)),DB!$J$2:$J$2267,0),5),"")))</f>
        <v/>
      </c>
      <c r="M187" s="6" t="str">
        <f>IF(H185="","",IFERROR(INDEX(DB!$B$2:$U$2267,MATCH(UPPER(TRIM($H185)),DB!$B$2:$B$2267,0),6),IFERROR(INDEX(DB!$B$2:$U$2267,MATCH(UPPER(TRIM($H185)),DB!$J$2:$J$2267,0),6),"")))</f>
        <v/>
      </c>
      <c r="N187" s="6" t="str">
        <f>IF(H187="","",IFERROR(INDEX(DB!$B$2:$U$1713,MATCH(UPPER(TRIM(H187)),DB!$B$2:$B$1713,0),7),IFERROR(INDEX(DB!$B$2:$U$1713,MATCH(UPPER(TRIM(H187)),DB!$J$2:$J$1713,0),7),"")))</f>
        <v/>
      </c>
      <c r="O187" s="6"/>
      <c r="P187" s="6"/>
      <c r="Q187" s="6"/>
      <c r="R187" s="6"/>
      <c r="S187" s="6"/>
      <c r="T187" s="6"/>
      <c r="U187" s="6"/>
      <c r="V187" s="6" t="str">
        <f t="shared" si="33"/>
        <v/>
      </c>
      <c r="W187" s="6"/>
      <c r="X187" s="6" t="str">
        <f t="shared" si="34"/>
        <v/>
      </c>
      <c r="Y187" s="6" t="str">
        <f t="shared" si="36"/>
        <v/>
      </c>
      <c r="Z187" s="6" t="str">
        <f t="shared" si="35"/>
        <v/>
      </c>
      <c r="AA187" s="6"/>
      <c r="AB187" s="6"/>
      <c r="AC187" s="6"/>
      <c r="AD187" s="6" t="str">
        <f>IF(H187="","",IFERROR(INDEX(DB!$B$2:$U$1713,MATCH(UPPER(TRIM(H187)),DB!$B$2:$B$1713,0),8),IFERROR(INDEX(DB!$B$2:$U$1713,MATCH(UPPER(TRIM(H187)),DB!$J$2:$J$1713,0),8),"")))</f>
        <v/>
      </c>
      <c r="AE187" s="6"/>
      <c r="AF187" s="6"/>
      <c r="AG187" s="6"/>
      <c r="AI187" t="str">
        <f>IF(AI4&lt;&gt;"",HYPERLINK("https://echa.europa.eu/search-for-chemicals?search_criteria_ecnumber=" &amp; AI4,"ECHA"),"")</f>
        <v/>
      </c>
    </row>
    <row r="188" spans="1:35" ht="15" customHeight="1" x14ac:dyDescent="0.25">
      <c r="A188" s="4" t="str">
        <f t="shared" si="32"/>
        <v/>
      </c>
      <c r="B188" s="4"/>
      <c r="C188" s="4"/>
      <c r="D188" s="5" t="str">
        <f t="shared" si="37"/>
        <v/>
      </c>
      <c r="E188" s="4"/>
      <c r="F188" s="4"/>
      <c r="G188" s="4"/>
      <c r="H188" s="4"/>
      <c r="I188" s="4" t="str">
        <f>IFERROR(INDEX(DB!$C$2:$C$2267,MATCH(UPPER(TRIM($H186)),DB!$B$2:$B$2267,0)),IFERROR(INDEX(DB!$C$2:$C$2267,MATCH(UPPER(TRIM($H186)),DB!$J$2:$J$2267,0)),""))</f>
        <v/>
      </c>
      <c r="J188" s="4" t="str">
        <f>IF(H186="","",IFERROR(INDEX(DB!$B$2:$U$2267,MATCH(UPPER(TRIM($H186)),DB!$B$2:$B$2267,0),3),IFERROR(INDEX(DB!$B$2:$U$2267,MATCH(UPPER(TRIM($H186)),DB!$J$2:$J$2267,0),3),"")))</f>
        <v/>
      </c>
      <c r="K188" s="4" t="str">
        <f>IF(H186="","",IFERROR(INDEX(DB!$B$2:$U$2267,MATCH(UPPER(TRIM($H186)),DB!$B$2:$B$2267,0),4),IFERROR(INDEX(DB!$B$2:$U$2267,MATCH(UPPER(TRIM($H186)),DB!$J$2:$J$2267,0),4),"")))</f>
        <v/>
      </c>
      <c r="L188" s="4" t="str">
        <f>IF(H186="","",IFERROR(INDEX(DB!$B$2:$U$2267,MATCH(UPPER(TRIM($H186)),DB!$B$2:$B$2267,0),5),IFERROR(INDEX(DB!$B$2:$U$2267,MATCH(UPPER(TRIM($H186)),DB!$J$2:$J$2267,0),5),"")))</f>
        <v/>
      </c>
      <c r="M188" s="4" t="str">
        <f>IF(H186="","",IFERROR(INDEX(DB!$B$2:$U$2267,MATCH(UPPER(TRIM($H186)),DB!$B$2:$B$2267,0),6),IFERROR(INDEX(DB!$B$2:$U$2267,MATCH(UPPER(TRIM($H186)),DB!$J$2:$J$2267,0),6),"")))</f>
        <v/>
      </c>
      <c r="N188" s="4" t="str">
        <f>IF(H188="","",IFERROR(INDEX(DB!$B$2:$U$1713,MATCH(UPPER(TRIM(H188)),DB!$B$2:$B$1713,0),7),IFERROR(INDEX(DB!$B$2:$U$1713,MATCH(UPPER(TRIM(H188)),DB!$J$2:$J$1713,0),7),"")))</f>
        <v/>
      </c>
      <c r="O188" s="4"/>
      <c r="P188" s="4"/>
      <c r="Q188" s="4"/>
      <c r="R188" s="4"/>
      <c r="S188" s="4"/>
      <c r="T188" s="4"/>
      <c r="U188" s="4"/>
      <c r="V188" s="4" t="str">
        <f t="shared" si="33"/>
        <v/>
      </c>
      <c r="W188" s="4"/>
      <c r="X188" s="4" t="str">
        <f t="shared" si="34"/>
        <v/>
      </c>
      <c r="Y188" s="4" t="str">
        <f t="shared" si="36"/>
        <v/>
      </c>
      <c r="Z188" s="4" t="str">
        <f t="shared" si="35"/>
        <v/>
      </c>
      <c r="AA188" s="4"/>
      <c r="AB188" s="4"/>
      <c r="AC188" s="4"/>
      <c r="AD188" s="4" t="str">
        <f>IF(H188="","",IFERROR(INDEX(DB!$B$2:$U$1713,MATCH(UPPER(TRIM(H188)),DB!$B$2:$B$1713,0),8),IFERROR(INDEX(DB!$B$2:$U$1713,MATCH(UPPER(TRIM(H188)),DB!$J$2:$J$1713,0),8),"")))</f>
        <v/>
      </c>
      <c r="AE188" s="4"/>
      <c r="AF188" s="4"/>
      <c r="AG188" s="4"/>
      <c r="AI188" t="str">
        <f>IF(AI4&lt;&gt;"",HYPERLINK("https://echa.europa.eu/search-for-chemicals?search_criteria_ecnumber=" &amp; AI4,"ECHA"),"")</f>
        <v/>
      </c>
    </row>
    <row r="189" spans="1:35" ht="15" customHeight="1" x14ac:dyDescent="0.25">
      <c r="A189" s="6" t="str">
        <f t="shared" si="32"/>
        <v/>
      </c>
      <c r="B189" s="6"/>
      <c r="C189" s="6"/>
      <c r="D189" s="7" t="str">
        <f t="shared" si="37"/>
        <v/>
      </c>
      <c r="E189" s="6"/>
      <c r="F189" s="6"/>
      <c r="G189" s="6"/>
      <c r="H189" s="6"/>
      <c r="I189" s="6" t="str">
        <f>IFERROR(INDEX(DB!$C$2:$C$2267,MATCH(UPPER(TRIM($H187)),DB!$B$2:$B$2267,0)),IFERROR(INDEX(DB!$C$2:$C$2267,MATCH(UPPER(TRIM($H187)),DB!$J$2:$J$2267,0)),""))</f>
        <v/>
      </c>
      <c r="J189" s="6" t="str">
        <f>IF(H187="","",IFERROR(INDEX(DB!$B$2:$U$2267,MATCH(UPPER(TRIM($H187)),DB!$B$2:$B$2267,0),3),IFERROR(INDEX(DB!$B$2:$U$2267,MATCH(UPPER(TRIM($H187)),DB!$J$2:$J$2267,0),3),"")))</f>
        <v/>
      </c>
      <c r="K189" s="6" t="str">
        <f>IF(H187="","",IFERROR(INDEX(DB!$B$2:$U$2267,MATCH(UPPER(TRIM($H187)),DB!$B$2:$B$2267,0),4),IFERROR(INDEX(DB!$B$2:$U$2267,MATCH(UPPER(TRIM($H187)),DB!$J$2:$J$2267,0),4),"")))</f>
        <v/>
      </c>
      <c r="L189" s="6" t="str">
        <f>IF(H187="","",IFERROR(INDEX(DB!$B$2:$U$2267,MATCH(UPPER(TRIM($H187)),DB!$B$2:$B$2267,0),5),IFERROR(INDEX(DB!$B$2:$U$2267,MATCH(UPPER(TRIM($H187)),DB!$J$2:$J$2267,0),5),"")))</f>
        <v/>
      </c>
      <c r="M189" s="6" t="str">
        <f>IF(H187="","",IFERROR(INDEX(DB!$B$2:$U$2267,MATCH(UPPER(TRIM($H187)),DB!$B$2:$B$2267,0),6),IFERROR(INDEX(DB!$B$2:$U$2267,MATCH(UPPER(TRIM($H187)),DB!$J$2:$J$2267,0),6),"")))</f>
        <v/>
      </c>
      <c r="N189" s="6" t="str">
        <f>IF(H189="","",IFERROR(INDEX(DB!$B$2:$U$1713,MATCH(UPPER(TRIM(H189)),DB!$B$2:$B$1713,0),7),IFERROR(INDEX(DB!$B$2:$U$1713,MATCH(UPPER(TRIM(H189)),DB!$J$2:$J$1713,0),7),"")))</f>
        <v/>
      </c>
      <c r="O189" s="6"/>
      <c r="P189" s="6"/>
      <c r="Q189" s="6"/>
      <c r="R189" s="6"/>
      <c r="S189" s="6"/>
      <c r="T189" s="6"/>
      <c r="U189" s="6"/>
      <c r="V189" s="6" t="str">
        <f t="shared" si="33"/>
        <v/>
      </c>
      <c r="W189" s="6"/>
      <c r="X189" s="6" t="str">
        <f t="shared" si="34"/>
        <v/>
      </c>
      <c r="Y189" s="6" t="str">
        <f t="shared" si="36"/>
        <v/>
      </c>
      <c r="Z189" s="6" t="str">
        <f t="shared" si="35"/>
        <v/>
      </c>
      <c r="AA189" s="6"/>
      <c r="AB189" s="6"/>
      <c r="AC189" s="6"/>
      <c r="AD189" s="6" t="str">
        <f>IF(H189="","",IFERROR(INDEX(DB!$B$2:$U$1713,MATCH(UPPER(TRIM(H189)),DB!$B$2:$B$1713,0),8),IFERROR(INDEX(DB!$B$2:$U$1713,MATCH(UPPER(TRIM(H189)),DB!$J$2:$J$1713,0),8),"")))</f>
        <v/>
      </c>
      <c r="AE189" s="6"/>
      <c r="AF189" s="6"/>
      <c r="AG189" s="6"/>
      <c r="AI189" t="str">
        <f>IF(AI4&lt;&gt;"",HYPERLINK("https://echa.europa.eu/search-for-chemicals?search_criteria_ecnumber=" &amp; AI4,"ECHA"),"")</f>
        <v/>
      </c>
    </row>
    <row r="190" spans="1:35" ht="15" customHeight="1" x14ac:dyDescent="0.25">
      <c r="A190" s="4" t="str">
        <f t="shared" si="32"/>
        <v/>
      </c>
      <c r="B190" s="4"/>
      <c r="C190" s="4"/>
      <c r="D190" s="5" t="str">
        <f t="shared" si="37"/>
        <v/>
      </c>
      <c r="E190" s="4"/>
      <c r="F190" s="4"/>
      <c r="G190" s="4"/>
      <c r="H190" s="4"/>
      <c r="I190" s="4" t="str">
        <f>IFERROR(INDEX(DB!$C$2:$C$2267,MATCH(UPPER(TRIM($H188)),DB!$B$2:$B$2267,0)),IFERROR(INDEX(DB!$C$2:$C$2267,MATCH(UPPER(TRIM($H188)),DB!$J$2:$J$2267,0)),""))</f>
        <v/>
      </c>
      <c r="J190" s="4" t="str">
        <f>IF(H188="","",IFERROR(INDEX(DB!$B$2:$U$2267,MATCH(UPPER(TRIM($H188)),DB!$B$2:$B$2267,0),3),IFERROR(INDEX(DB!$B$2:$U$2267,MATCH(UPPER(TRIM($H188)),DB!$J$2:$J$2267,0),3),"")))</f>
        <v/>
      </c>
      <c r="K190" s="4" t="str">
        <f>IF(H188="","",IFERROR(INDEX(DB!$B$2:$U$2267,MATCH(UPPER(TRIM($H188)),DB!$B$2:$B$2267,0),4),IFERROR(INDEX(DB!$B$2:$U$2267,MATCH(UPPER(TRIM($H188)),DB!$J$2:$J$2267,0),4),"")))</f>
        <v/>
      </c>
      <c r="L190" s="4" t="str">
        <f>IF(H188="","",IFERROR(INDEX(DB!$B$2:$U$2267,MATCH(UPPER(TRIM($H188)),DB!$B$2:$B$2267,0),5),IFERROR(INDEX(DB!$B$2:$U$2267,MATCH(UPPER(TRIM($H188)),DB!$J$2:$J$2267,0),5),"")))</f>
        <v/>
      </c>
      <c r="M190" s="4" t="str">
        <f>IF(H188="","",IFERROR(INDEX(DB!$B$2:$U$2267,MATCH(UPPER(TRIM($H188)),DB!$B$2:$B$2267,0),6),IFERROR(INDEX(DB!$B$2:$U$2267,MATCH(UPPER(TRIM($H188)),DB!$J$2:$J$2267,0),6),"")))</f>
        <v/>
      </c>
      <c r="N190" s="4" t="str">
        <f>IF(H190="","",IFERROR(INDEX(DB!$B$2:$U$1713,MATCH(UPPER(TRIM(H190)),DB!$B$2:$B$1713,0),7),IFERROR(INDEX(DB!$B$2:$U$1713,MATCH(UPPER(TRIM(H190)),DB!$J$2:$J$1713,0),7),"")))</f>
        <v/>
      </c>
      <c r="O190" s="4"/>
      <c r="P190" s="4"/>
      <c r="Q190" s="4"/>
      <c r="R190" s="4"/>
      <c r="S190" s="4"/>
      <c r="T190" s="4"/>
      <c r="U190" s="4"/>
      <c r="V190" s="4" t="str">
        <f t="shared" si="33"/>
        <v/>
      </c>
      <c r="W190" s="4"/>
      <c r="X190" s="4" t="str">
        <f t="shared" si="34"/>
        <v/>
      </c>
      <c r="Y190" s="4" t="str">
        <f t="shared" si="36"/>
        <v/>
      </c>
      <c r="Z190" s="4" t="str">
        <f t="shared" si="35"/>
        <v/>
      </c>
      <c r="AA190" s="4"/>
      <c r="AB190" s="4"/>
      <c r="AC190" s="4"/>
      <c r="AD190" s="4" t="str">
        <f>IF(H190="","",IFERROR(INDEX(DB!$B$2:$U$1713,MATCH(UPPER(TRIM(H190)),DB!$B$2:$B$1713,0),8),IFERROR(INDEX(DB!$B$2:$U$1713,MATCH(UPPER(TRIM(H190)),DB!$J$2:$J$1713,0),8),"")))</f>
        <v/>
      </c>
      <c r="AE190" s="4"/>
      <c r="AF190" s="4"/>
      <c r="AG190" s="4"/>
      <c r="AI190" t="str">
        <f>IF(AI4&lt;&gt;"",HYPERLINK("https://echa.europa.eu/search-for-chemicals?search_criteria_ecnumber=" &amp; AI4,"ECHA"),"")</f>
        <v/>
      </c>
    </row>
    <row r="191" spans="1:35" x14ac:dyDescent="0.25"/>
    <row r="192" spans="1:35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006" spans="69:69" ht="15" customHeight="1" x14ac:dyDescent="0.25">
      <c r="BQ2006" s="41"/>
    </row>
    <row r="2999" spans="122:122" ht="15" customHeight="1" x14ac:dyDescent="0.25">
      <c r="DR2999" s="42" t="s">
        <v>49</v>
      </c>
    </row>
    <row r="3000" spans="122:122" ht="15" customHeight="1" x14ac:dyDescent="0.25">
      <c r="DR3000" s="42" t="s">
        <v>10026</v>
      </c>
    </row>
  </sheetData>
  <autoFilter ref="A16:AG188" xr:uid="{00000000-0009-0000-0000-000000000000}"/>
  <mergeCells count="50">
    <mergeCell ref="D3:G3"/>
    <mergeCell ref="D12:G12"/>
    <mergeCell ref="L14:N14"/>
    <mergeCell ref="J14:K14"/>
    <mergeCell ref="D8:G8"/>
    <mergeCell ref="D14:G14"/>
    <mergeCell ref="K7:N7"/>
    <mergeCell ref="A12:C12"/>
    <mergeCell ref="D5:G5"/>
    <mergeCell ref="K10:N10"/>
    <mergeCell ref="H11:J11"/>
    <mergeCell ref="H7:J7"/>
    <mergeCell ref="D9:G9"/>
    <mergeCell ref="K12:N12"/>
    <mergeCell ref="A1:N1"/>
    <mergeCell ref="K6:N6"/>
    <mergeCell ref="K4:N4"/>
    <mergeCell ref="H6:J6"/>
    <mergeCell ref="A5:C5"/>
    <mergeCell ref="K3:N3"/>
    <mergeCell ref="A4:C4"/>
    <mergeCell ref="H3:J3"/>
    <mergeCell ref="K5:N5"/>
    <mergeCell ref="D6:G6"/>
    <mergeCell ref="H5:J5"/>
    <mergeCell ref="H2:N2"/>
    <mergeCell ref="A6:C6"/>
    <mergeCell ref="H4:J4"/>
    <mergeCell ref="A3:C3"/>
    <mergeCell ref="K11:N11"/>
    <mergeCell ref="H8:J8"/>
    <mergeCell ref="A9:C9"/>
    <mergeCell ref="H10:J10"/>
    <mergeCell ref="A11:C11"/>
    <mergeCell ref="A15:AG15"/>
    <mergeCell ref="D7:G7"/>
    <mergeCell ref="K8:N8"/>
    <mergeCell ref="H9:J9"/>
    <mergeCell ref="A2:G2"/>
    <mergeCell ref="H14:I14"/>
    <mergeCell ref="A7:C7"/>
    <mergeCell ref="D4:G4"/>
    <mergeCell ref="A14:C14"/>
    <mergeCell ref="A8:C8"/>
    <mergeCell ref="H12:J12"/>
    <mergeCell ref="D13:N13"/>
    <mergeCell ref="D10:G10"/>
    <mergeCell ref="K9:N9"/>
    <mergeCell ref="A10:C10"/>
    <mergeCell ref="A13:C13"/>
  </mergeCells>
  <dataValidations count="4">
    <dataValidation type="list" allowBlank="1" showInputMessage="1" showErrorMessage="1" errorTitle="Geçersiz Giriş" error="Listeden seçin." promptTitle="Maruziyet Yolu" prompt="Maruziyetin gerçekleştiği yolu seçin." sqref="K8" xr:uid="{00000000-0002-0000-0000-000000000000}">
      <formula1>"Soluma,Deri,Göz,Yutma,Soluma + Deri,Soluma + Deri + Göz,Soluma + Göz,Deri + Göz,Tümü"</formula1>
      <formula2>0</formula2>
    </dataValidation>
    <dataValidation type="list" allowBlank="1" showInputMessage="1" showErrorMessage="1" errorTitle="Geçersiz Giriş" error="Listeden seçin." promptTitle="Maruziyet Sıklığı" prompt="Kimyasala ne sıklıkla maruz kalındığını seçin." sqref="K9" xr:uid="{00000000-0002-0000-0000-000001000000}">
      <formula1>"Nadiren (Yılda birkaç kez),Ara sıra (Ayda birkaç kez),Sık sık (Haftada birkaç kez),Sürekli (Her gün)"</formula1>
      <formula2>0</formula2>
    </dataValidation>
    <dataValidation type="list" allowBlank="1" showInputMessage="1" showErrorMessage="1" errorTitle="Geçersiz Giriş" error="Listeden seçin." promptTitle="Kullanım Ölçeği" prompt="Kullanılan kimyasal miktarının ölçeğini seçin." sqref="K10" xr:uid="{00000000-0002-0000-0000-000002000000}">
      <formula1>"Çok Küçük (mL),Küçük (&lt; 1 L),Orta (1-10 L),Büyük (10-100 L),Çok Büyük (&gt; 100 L)"</formula1>
      <formula2>0</formula2>
    </dataValidation>
    <dataValidation type="list" allowBlank="1" showInputMessage="1" showErrorMessage="1" errorTitle="Geçersiz Giriş" error="Listeden seçin." promptTitle="Maruziyet Süresi" prompt="Günlük maruz kalınan toplam süreyi seçin." sqref="K11" xr:uid="{00000000-0002-0000-0000-000003000000}">
      <formula1>"&lt; 15 dakika,15-30 dakika,30-60 dakika,1-2 saat,2-4 saat,4-6 saat,&gt; 6 saat (Tam gün)"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autoFill="0" autoPict="0" macro="Module6.KAYDET_PANELDEN_COSHH">
                <anchor moveWithCells="1">
                  <from>
                    <xdr:col>15</xdr:col>
                    <xdr:colOff>371475</xdr:colOff>
                    <xdr:row>2</xdr:row>
                    <xdr:rowOff>47625</xdr:rowOff>
                  </from>
                  <to>
                    <xdr:col>18</xdr:col>
                    <xdr:colOff>285750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4000000}">
          <x14:formula1>
            <xm:f>DB!$B$2:$B$1713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5"/>
  <dimension ref="A1:U1713"/>
  <sheetViews>
    <sheetView topLeftCell="I1" zoomScaleNormal="100" workbookViewId="0">
      <pane ySplit="1" topLeftCell="A2" activePane="bottomLeft" state="frozen"/>
      <selection activeCell="I1" sqref="I1"/>
      <selection pane="bottomLeft" activeCell="Q26" sqref="Q26"/>
    </sheetView>
  </sheetViews>
  <sheetFormatPr defaultColWidth="8.7109375" defaultRowHeight="15" customHeight="1" x14ac:dyDescent="0.25"/>
  <cols>
    <col min="1" max="1" width="12" customWidth="1"/>
    <col min="2" max="2" width="38" customWidth="1"/>
    <col min="3" max="3" width="14" customWidth="1"/>
    <col min="4" max="4" width="55" customWidth="1"/>
    <col min="5" max="5" width="14" customWidth="1"/>
    <col min="6" max="8" width="18" customWidth="1"/>
    <col min="9" max="9" width="10" customWidth="1"/>
    <col min="10" max="10" width="38" customWidth="1"/>
    <col min="11" max="11" width="12" customWidth="1"/>
    <col min="12" max="12" width="14" customWidth="1"/>
    <col min="13" max="13" width="30" customWidth="1"/>
    <col min="14" max="14" width="14" customWidth="1"/>
    <col min="15" max="15" width="26" customWidth="1"/>
    <col min="16" max="16" width="38" customWidth="1"/>
    <col min="17" max="18" width="12" customWidth="1"/>
    <col min="19" max="20" width="10" customWidth="1"/>
    <col min="21" max="21" width="35" customWidth="1"/>
  </cols>
  <sheetData>
    <row r="1" spans="1:21" ht="27.75" customHeight="1" x14ac:dyDescent="0.25">
      <c r="A1" s="8" t="s">
        <v>50</v>
      </c>
      <c r="B1" s="8" t="s">
        <v>3</v>
      </c>
      <c r="C1" s="8" t="s">
        <v>6</v>
      </c>
      <c r="D1" s="8" t="s">
        <v>8</v>
      </c>
      <c r="E1" s="8" t="s">
        <v>10</v>
      </c>
      <c r="F1" s="8" t="s">
        <v>12</v>
      </c>
      <c r="G1" s="8" t="s">
        <v>51</v>
      </c>
      <c r="H1" s="8" t="s">
        <v>16</v>
      </c>
      <c r="I1" s="8" t="s">
        <v>18</v>
      </c>
      <c r="J1" s="8" t="s">
        <v>52</v>
      </c>
      <c r="K1" s="8" t="s">
        <v>53</v>
      </c>
      <c r="L1" s="8" t="s">
        <v>54</v>
      </c>
      <c r="M1" s="8" t="s">
        <v>55</v>
      </c>
      <c r="N1" s="8" t="s">
        <v>56</v>
      </c>
      <c r="O1" s="8" t="s">
        <v>57</v>
      </c>
      <c r="P1" s="8" t="s">
        <v>58</v>
      </c>
      <c r="Q1" s="8" t="s">
        <v>59</v>
      </c>
      <c r="R1" s="8" t="s">
        <v>60</v>
      </c>
      <c r="S1" s="8" t="s">
        <v>61</v>
      </c>
      <c r="T1" s="8" t="s">
        <v>62</v>
      </c>
      <c r="U1" s="8" t="s">
        <v>20</v>
      </c>
    </row>
    <row r="2" spans="1:21" ht="15.75" customHeight="1" x14ac:dyDescent="0.25">
      <c r="A2" s="9" t="s">
        <v>63</v>
      </c>
      <c r="B2" s="10" t="s">
        <v>64</v>
      </c>
      <c r="C2" s="11" t="s">
        <v>65</v>
      </c>
      <c r="D2" s="12" t="s">
        <v>66</v>
      </c>
      <c r="E2" s="11" t="s">
        <v>67</v>
      </c>
      <c r="F2" s="13">
        <v>-253</v>
      </c>
      <c r="G2" s="14" t="s">
        <v>68</v>
      </c>
      <c r="H2" s="11" t="s">
        <v>69</v>
      </c>
      <c r="I2" s="15" t="s">
        <v>70</v>
      </c>
      <c r="J2" s="10" t="s">
        <v>71</v>
      </c>
      <c r="K2" s="11" t="s">
        <v>72</v>
      </c>
      <c r="L2" s="9" t="s">
        <v>73</v>
      </c>
      <c r="M2" s="10" t="s">
        <v>74</v>
      </c>
      <c r="N2" s="16" t="s">
        <v>75</v>
      </c>
      <c r="O2" s="17" t="s">
        <v>76</v>
      </c>
      <c r="P2" s="17" t="s">
        <v>77</v>
      </c>
      <c r="Q2" s="18" t="s">
        <v>78</v>
      </c>
      <c r="R2" s="18" t="s">
        <v>79</v>
      </c>
      <c r="S2" s="18" t="s">
        <v>61</v>
      </c>
      <c r="T2" s="18" t="s">
        <v>62</v>
      </c>
      <c r="U2" s="19" t="s">
        <v>80</v>
      </c>
    </row>
    <row r="3" spans="1:21" ht="15.75" customHeight="1" x14ac:dyDescent="0.25">
      <c r="A3" s="27" t="s">
        <v>81</v>
      </c>
      <c r="B3" s="28" t="s">
        <v>82</v>
      </c>
      <c r="C3" s="29" t="s">
        <v>83</v>
      </c>
      <c r="D3" s="30" t="s">
        <v>84</v>
      </c>
      <c r="E3" s="29" t="s">
        <v>47</v>
      </c>
      <c r="F3" s="31">
        <v>196</v>
      </c>
      <c r="G3" s="20" t="s">
        <v>85</v>
      </c>
      <c r="H3" s="29" t="s">
        <v>86</v>
      </c>
      <c r="I3" s="32" t="s">
        <v>87</v>
      </c>
      <c r="J3" s="28" t="s">
        <v>88</v>
      </c>
      <c r="K3" s="29" t="s">
        <v>89</v>
      </c>
      <c r="L3" s="27" t="s">
        <v>90</v>
      </c>
      <c r="M3" s="28" t="s">
        <v>91</v>
      </c>
      <c r="N3" s="33" t="s">
        <v>75</v>
      </c>
      <c r="O3" s="34" t="s">
        <v>92</v>
      </c>
      <c r="P3" s="34" t="s">
        <v>93</v>
      </c>
      <c r="Q3" s="35" t="s">
        <v>78</v>
      </c>
      <c r="R3" s="35" t="s">
        <v>79</v>
      </c>
      <c r="S3" s="35" t="s">
        <v>61</v>
      </c>
      <c r="T3" s="35" t="s">
        <v>62</v>
      </c>
      <c r="U3" s="36" t="s">
        <v>80</v>
      </c>
    </row>
    <row r="4" spans="1:21" ht="15.75" customHeight="1" x14ac:dyDescent="0.25">
      <c r="A4" s="9" t="s">
        <v>94</v>
      </c>
      <c r="B4" s="10" t="s">
        <v>95</v>
      </c>
      <c r="C4" s="11" t="s">
        <v>96</v>
      </c>
      <c r="D4" s="12" t="s">
        <v>97</v>
      </c>
      <c r="E4" s="11" t="s">
        <v>98</v>
      </c>
      <c r="F4" s="11" t="s">
        <v>99</v>
      </c>
      <c r="G4" s="20" t="s">
        <v>85</v>
      </c>
      <c r="H4" s="11" t="s">
        <v>100</v>
      </c>
      <c r="I4" s="15" t="s">
        <v>101</v>
      </c>
      <c r="J4" s="10" t="s">
        <v>102</v>
      </c>
      <c r="K4" s="11" t="s">
        <v>103</v>
      </c>
      <c r="L4" s="9" t="s">
        <v>90</v>
      </c>
      <c r="M4" s="10" t="s">
        <v>91</v>
      </c>
      <c r="N4" s="16" t="s">
        <v>75</v>
      </c>
      <c r="O4" s="17" t="s">
        <v>104</v>
      </c>
      <c r="P4" s="17" t="s">
        <v>105</v>
      </c>
      <c r="Q4" s="18" t="s">
        <v>78</v>
      </c>
      <c r="R4" s="18" t="s">
        <v>79</v>
      </c>
      <c r="S4" s="18" t="s">
        <v>61</v>
      </c>
      <c r="T4" s="18" t="s">
        <v>62</v>
      </c>
      <c r="U4" s="19" t="s">
        <v>80</v>
      </c>
    </row>
    <row r="5" spans="1:21" ht="15.75" customHeight="1" x14ac:dyDescent="0.25">
      <c r="A5" s="27" t="s">
        <v>106</v>
      </c>
      <c r="B5" s="28" t="s">
        <v>107</v>
      </c>
      <c r="C5" s="29" t="s">
        <v>108</v>
      </c>
      <c r="D5" s="37" t="s">
        <v>109</v>
      </c>
      <c r="E5" s="29" t="s">
        <v>47</v>
      </c>
      <c r="F5" s="31">
        <v>39</v>
      </c>
      <c r="G5" s="25" t="s">
        <v>110</v>
      </c>
      <c r="H5" s="29" t="s">
        <v>69</v>
      </c>
      <c r="I5" s="32" t="s">
        <v>111</v>
      </c>
      <c r="J5" s="28" t="s">
        <v>112</v>
      </c>
      <c r="K5" s="29" t="s">
        <v>113</v>
      </c>
      <c r="L5" s="27" t="s">
        <v>90</v>
      </c>
      <c r="M5" s="28" t="s">
        <v>91</v>
      </c>
      <c r="N5" s="38"/>
      <c r="O5" s="34"/>
      <c r="P5" s="34"/>
      <c r="Q5" s="35" t="s">
        <v>78</v>
      </c>
      <c r="R5" s="35" t="s">
        <v>79</v>
      </c>
      <c r="S5" s="35" t="s">
        <v>61</v>
      </c>
      <c r="T5" s="35" t="s">
        <v>62</v>
      </c>
      <c r="U5" s="36" t="s">
        <v>80</v>
      </c>
    </row>
    <row r="6" spans="1:21" ht="15.75" customHeight="1" x14ac:dyDescent="0.25">
      <c r="A6" s="9" t="s">
        <v>114</v>
      </c>
      <c r="B6" s="10" t="s">
        <v>115</v>
      </c>
      <c r="C6" s="11" t="s">
        <v>116</v>
      </c>
      <c r="D6" s="12" t="s">
        <v>117</v>
      </c>
      <c r="E6" s="11" t="s">
        <v>98</v>
      </c>
      <c r="F6" s="11" t="s">
        <v>118</v>
      </c>
      <c r="G6" s="20" t="s">
        <v>119</v>
      </c>
      <c r="H6" s="11" t="s">
        <v>120</v>
      </c>
      <c r="I6" s="15" t="s">
        <v>121</v>
      </c>
      <c r="J6" s="10" t="s">
        <v>122</v>
      </c>
      <c r="K6" s="11" t="s">
        <v>123</v>
      </c>
      <c r="L6" s="9" t="s">
        <v>90</v>
      </c>
      <c r="M6" s="10" t="s">
        <v>91</v>
      </c>
      <c r="N6" s="16" t="s">
        <v>75</v>
      </c>
      <c r="O6" s="17" t="s">
        <v>124</v>
      </c>
      <c r="P6" s="17" t="s">
        <v>125</v>
      </c>
      <c r="Q6" s="18" t="s">
        <v>78</v>
      </c>
      <c r="R6" s="18" t="s">
        <v>79</v>
      </c>
      <c r="S6" s="18" t="s">
        <v>61</v>
      </c>
      <c r="T6" s="18" t="s">
        <v>62</v>
      </c>
      <c r="U6" s="19" t="s">
        <v>80</v>
      </c>
    </row>
    <row r="7" spans="1:21" ht="15.75" customHeight="1" x14ac:dyDescent="0.25">
      <c r="A7" s="27" t="s">
        <v>126</v>
      </c>
      <c r="B7" s="28" t="s">
        <v>127</v>
      </c>
      <c r="C7" s="29" t="s">
        <v>128</v>
      </c>
      <c r="D7" s="37" t="s">
        <v>109</v>
      </c>
      <c r="E7" s="29" t="s">
        <v>47</v>
      </c>
      <c r="F7" s="31">
        <v>375</v>
      </c>
      <c r="G7" s="25" t="s">
        <v>110</v>
      </c>
      <c r="H7" s="29" t="s">
        <v>129</v>
      </c>
      <c r="I7" s="32" t="s">
        <v>130</v>
      </c>
      <c r="J7" s="28" t="s">
        <v>131</v>
      </c>
      <c r="K7" s="29" t="s">
        <v>132</v>
      </c>
      <c r="L7" s="27" t="s">
        <v>90</v>
      </c>
      <c r="M7" s="28" t="s">
        <v>91</v>
      </c>
      <c r="N7" s="38"/>
      <c r="O7" s="34"/>
      <c r="P7" s="34"/>
      <c r="Q7" s="35" t="s">
        <v>78</v>
      </c>
      <c r="R7" s="35" t="s">
        <v>79</v>
      </c>
      <c r="S7" s="35" t="s">
        <v>61</v>
      </c>
      <c r="T7" s="35" t="s">
        <v>62</v>
      </c>
      <c r="U7" s="36" t="s">
        <v>80</v>
      </c>
    </row>
    <row r="8" spans="1:21" ht="15.75" customHeight="1" x14ac:dyDescent="0.25">
      <c r="A8" s="9" t="s">
        <v>133</v>
      </c>
      <c r="B8" s="10" t="s">
        <v>134</v>
      </c>
      <c r="C8" s="11" t="s">
        <v>135</v>
      </c>
      <c r="D8" s="12" t="s">
        <v>136</v>
      </c>
      <c r="E8" s="11" t="s">
        <v>67</v>
      </c>
      <c r="F8" s="13">
        <v>8</v>
      </c>
      <c r="G8" s="20" t="s">
        <v>119</v>
      </c>
      <c r="H8" s="11" t="s">
        <v>69</v>
      </c>
      <c r="I8" s="15" t="s">
        <v>137</v>
      </c>
      <c r="J8" s="10" t="s">
        <v>138</v>
      </c>
      <c r="K8" s="11" t="s">
        <v>139</v>
      </c>
      <c r="L8" s="9" t="s">
        <v>140</v>
      </c>
      <c r="M8" s="10" t="s">
        <v>141</v>
      </c>
      <c r="N8" s="16" t="s">
        <v>75</v>
      </c>
      <c r="O8" s="17" t="s">
        <v>142</v>
      </c>
      <c r="P8" s="17" t="s">
        <v>143</v>
      </c>
      <c r="Q8" s="18" t="s">
        <v>78</v>
      </c>
      <c r="R8" s="18" t="s">
        <v>79</v>
      </c>
      <c r="S8" s="18" t="s">
        <v>61</v>
      </c>
      <c r="T8" s="18" t="s">
        <v>62</v>
      </c>
      <c r="U8" s="19" t="s">
        <v>80</v>
      </c>
    </row>
    <row r="9" spans="1:21" ht="15.75" customHeight="1" x14ac:dyDescent="0.25">
      <c r="A9" s="27" t="s">
        <v>144</v>
      </c>
      <c r="B9" s="28" t="s">
        <v>145</v>
      </c>
      <c r="C9" s="29" t="s">
        <v>146</v>
      </c>
      <c r="D9" s="30" t="s">
        <v>147</v>
      </c>
      <c r="E9" s="29" t="s">
        <v>47</v>
      </c>
      <c r="F9" s="29" t="s">
        <v>148</v>
      </c>
      <c r="G9" s="20" t="s">
        <v>85</v>
      </c>
      <c r="H9" s="29" t="s">
        <v>120</v>
      </c>
      <c r="I9" s="32" t="s">
        <v>149</v>
      </c>
      <c r="J9" s="28" t="s">
        <v>150</v>
      </c>
      <c r="K9" s="29" t="s">
        <v>151</v>
      </c>
      <c r="L9" s="27" t="s">
        <v>90</v>
      </c>
      <c r="M9" s="28" t="s">
        <v>91</v>
      </c>
      <c r="N9" s="33" t="s">
        <v>75</v>
      </c>
      <c r="O9" s="34" t="s">
        <v>124</v>
      </c>
      <c r="P9" s="34" t="s">
        <v>125</v>
      </c>
      <c r="Q9" s="35" t="s">
        <v>78</v>
      </c>
      <c r="R9" s="35" t="s">
        <v>79</v>
      </c>
      <c r="S9" s="35" t="s">
        <v>61</v>
      </c>
      <c r="T9" s="35" t="s">
        <v>62</v>
      </c>
      <c r="U9" s="36" t="s">
        <v>80</v>
      </c>
    </row>
    <row r="10" spans="1:21" ht="15.75" customHeight="1" x14ac:dyDescent="0.25">
      <c r="A10" s="9" t="s">
        <v>152</v>
      </c>
      <c r="B10" s="10" t="s">
        <v>153</v>
      </c>
      <c r="C10" s="11" t="s">
        <v>154</v>
      </c>
      <c r="D10" s="21" t="s">
        <v>109</v>
      </c>
      <c r="E10" s="11" t="s">
        <v>47</v>
      </c>
      <c r="F10" s="13">
        <v>20.2</v>
      </c>
      <c r="G10" s="14" t="s">
        <v>119</v>
      </c>
      <c r="H10" s="11" t="s">
        <v>69</v>
      </c>
      <c r="I10" s="15" t="s">
        <v>155</v>
      </c>
      <c r="J10" s="10" t="s">
        <v>156</v>
      </c>
      <c r="K10" s="11" t="s">
        <v>157</v>
      </c>
      <c r="L10" s="9" t="s">
        <v>158</v>
      </c>
      <c r="M10" s="10" t="s">
        <v>159</v>
      </c>
      <c r="N10" s="22"/>
      <c r="O10" s="17"/>
      <c r="P10" s="17"/>
      <c r="Q10" s="18" t="s">
        <v>78</v>
      </c>
      <c r="R10" s="18" t="s">
        <v>79</v>
      </c>
      <c r="S10" s="18" t="s">
        <v>61</v>
      </c>
      <c r="T10" s="18" t="s">
        <v>62</v>
      </c>
      <c r="U10" s="19" t="s">
        <v>80</v>
      </c>
    </row>
    <row r="11" spans="1:21" ht="15.75" customHeight="1" x14ac:dyDescent="0.25">
      <c r="A11" s="27" t="s">
        <v>160</v>
      </c>
      <c r="B11" s="28" t="s">
        <v>161</v>
      </c>
      <c r="C11" s="29" t="s">
        <v>162</v>
      </c>
      <c r="D11" s="37" t="s">
        <v>109</v>
      </c>
      <c r="E11" s="29" t="s">
        <v>47</v>
      </c>
      <c r="F11" s="31">
        <v>45</v>
      </c>
      <c r="G11" s="14" t="s">
        <v>119</v>
      </c>
      <c r="H11" s="29" t="s">
        <v>69</v>
      </c>
      <c r="I11" s="32" t="s">
        <v>163</v>
      </c>
      <c r="J11" s="28" t="s">
        <v>164</v>
      </c>
      <c r="K11" s="29" t="s">
        <v>165</v>
      </c>
      <c r="L11" s="27" t="s">
        <v>158</v>
      </c>
      <c r="M11" s="28" t="s">
        <v>159</v>
      </c>
      <c r="N11" s="38"/>
      <c r="O11" s="34"/>
      <c r="P11" s="34"/>
      <c r="Q11" s="35" t="s">
        <v>78</v>
      </c>
      <c r="R11" s="35" t="s">
        <v>79</v>
      </c>
      <c r="S11" s="35" t="s">
        <v>61</v>
      </c>
      <c r="T11" s="35" t="s">
        <v>62</v>
      </c>
      <c r="U11" s="36" t="s">
        <v>80</v>
      </c>
    </row>
    <row r="12" spans="1:21" ht="15.75" customHeight="1" x14ac:dyDescent="0.25">
      <c r="A12" s="9" t="s">
        <v>166</v>
      </c>
      <c r="B12" s="10" t="s">
        <v>167</v>
      </c>
      <c r="C12" s="11" t="s">
        <v>168</v>
      </c>
      <c r="D12" s="12" t="s">
        <v>169</v>
      </c>
      <c r="E12" s="11" t="s">
        <v>47</v>
      </c>
      <c r="F12" s="13">
        <v>184</v>
      </c>
      <c r="G12" s="20" t="s">
        <v>119</v>
      </c>
      <c r="H12" s="11" t="s">
        <v>86</v>
      </c>
      <c r="I12" s="15" t="s">
        <v>170</v>
      </c>
      <c r="J12" s="10" t="s">
        <v>171</v>
      </c>
      <c r="K12" s="11" t="s">
        <v>172</v>
      </c>
      <c r="L12" s="9" t="s">
        <v>90</v>
      </c>
      <c r="M12" s="10" t="s">
        <v>91</v>
      </c>
      <c r="N12" s="16" t="s">
        <v>75</v>
      </c>
      <c r="O12" s="17" t="s">
        <v>124</v>
      </c>
      <c r="P12" s="17" t="s">
        <v>125</v>
      </c>
      <c r="Q12" s="18" t="s">
        <v>78</v>
      </c>
      <c r="R12" s="18" t="s">
        <v>79</v>
      </c>
      <c r="S12" s="18" t="s">
        <v>61</v>
      </c>
      <c r="T12" s="18" t="s">
        <v>62</v>
      </c>
      <c r="U12" s="19" t="s">
        <v>80</v>
      </c>
    </row>
    <row r="13" spans="1:21" ht="15.75" customHeight="1" x14ac:dyDescent="0.25">
      <c r="A13" s="27" t="s">
        <v>173</v>
      </c>
      <c r="B13" s="28" t="s">
        <v>174</v>
      </c>
      <c r="C13" s="29" t="s">
        <v>175</v>
      </c>
      <c r="D13" s="30" t="s">
        <v>176</v>
      </c>
      <c r="E13" s="29" t="s">
        <v>98</v>
      </c>
      <c r="F13" s="31">
        <v>1550</v>
      </c>
      <c r="G13" s="20" t="s">
        <v>85</v>
      </c>
      <c r="H13" s="29" t="s">
        <v>129</v>
      </c>
      <c r="I13" s="32" t="s">
        <v>177</v>
      </c>
      <c r="J13" s="28" t="s">
        <v>178</v>
      </c>
      <c r="K13" s="29"/>
      <c r="L13" s="27"/>
      <c r="M13" s="28"/>
      <c r="N13" s="39" t="s">
        <v>179</v>
      </c>
      <c r="O13" s="34" t="s">
        <v>180</v>
      </c>
      <c r="P13" s="34" t="s">
        <v>181</v>
      </c>
      <c r="Q13" s="35" t="s">
        <v>78</v>
      </c>
      <c r="R13" s="35" t="s">
        <v>79</v>
      </c>
      <c r="S13" s="35" t="s">
        <v>61</v>
      </c>
      <c r="T13" s="35" t="s">
        <v>62</v>
      </c>
      <c r="U13" s="36" t="s">
        <v>80</v>
      </c>
    </row>
    <row r="14" spans="1:21" ht="15.75" customHeight="1" x14ac:dyDescent="0.25">
      <c r="A14" s="9" t="s">
        <v>182</v>
      </c>
      <c r="B14" s="10" t="s">
        <v>183</v>
      </c>
      <c r="C14" s="11" t="s">
        <v>184</v>
      </c>
      <c r="D14" s="12" t="s">
        <v>185</v>
      </c>
      <c r="E14" s="11" t="s">
        <v>98</v>
      </c>
      <c r="F14" s="11" t="s">
        <v>186</v>
      </c>
      <c r="G14" s="20" t="s">
        <v>85</v>
      </c>
      <c r="H14" s="11" t="s">
        <v>120</v>
      </c>
      <c r="I14" s="15" t="s">
        <v>187</v>
      </c>
      <c r="J14" s="10" t="s">
        <v>188</v>
      </c>
      <c r="K14" s="11" t="s">
        <v>189</v>
      </c>
      <c r="L14" s="9" t="s">
        <v>90</v>
      </c>
      <c r="M14" s="10" t="s">
        <v>91</v>
      </c>
      <c r="N14" s="16" t="s">
        <v>75</v>
      </c>
      <c r="O14" s="17" t="s">
        <v>124</v>
      </c>
      <c r="P14" s="17" t="s">
        <v>125</v>
      </c>
      <c r="Q14" s="18" t="s">
        <v>78</v>
      </c>
      <c r="R14" s="18" t="s">
        <v>79</v>
      </c>
      <c r="S14" s="18" t="s">
        <v>61</v>
      </c>
      <c r="T14" s="18" t="s">
        <v>62</v>
      </c>
      <c r="U14" s="19" t="s">
        <v>80</v>
      </c>
    </row>
    <row r="15" spans="1:21" ht="15.75" customHeight="1" x14ac:dyDescent="0.25">
      <c r="A15" s="27" t="s">
        <v>190</v>
      </c>
      <c r="B15" s="28" t="s">
        <v>191</v>
      </c>
      <c r="C15" s="29" t="s">
        <v>192</v>
      </c>
      <c r="D15" s="30" t="s">
        <v>193</v>
      </c>
      <c r="E15" s="29" t="s">
        <v>98</v>
      </c>
      <c r="F15" s="29" t="s">
        <v>118</v>
      </c>
      <c r="G15" s="20" t="s">
        <v>85</v>
      </c>
      <c r="H15" s="29" t="s">
        <v>120</v>
      </c>
      <c r="I15" s="32" t="s">
        <v>194</v>
      </c>
      <c r="J15" s="28" t="s">
        <v>195</v>
      </c>
      <c r="K15" s="29" t="s">
        <v>196</v>
      </c>
      <c r="L15" s="27" t="s">
        <v>197</v>
      </c>
      <c r="M15" s="28" t="s">
        <v>198</v>
      </c>
      <c r="N15" s="33" t="s">
        <v>75</v>
      </c>
      <c r="O15" s="34" t="s">
        <v>180</v>
      </c>
      <c r="P15" s="34" t="s">
        <v>181</v>
      </c>
      <c r="Q15" s="35" t="s">
        <v>78</v>
      </c>
      <c r="R15" s="35" t="s">
        <v>79</v>
      </c>
      <c r="S15" s="35" t="s">
        <v>61</v>
      </c>
      <c r="T15" s="35" t="s">
        <v>62</v>
      </c>
      <c r="U15" s="36" t="s">
        <v>80</v>
      </c>
    </row>
    <row r="16" spans="1:21" ht="15.75" customHeight="1" x14ac:dyDescent="0.25">
      <c r="A16" s="9" t="s">
        <v>199</v>
      </c>
      <c r="B16" s="10" t="s">
        <v>200</v>
      </c>
      <c r="C16" s="11" t="s">
        <v>201</v>
      </c>
      <c r="D16" s="12" t="s">
        <v>202</v>
      </c>
      <c r="E16" s="11" t="s">
        <v>47</v>
      </c>
      <c r="F16" s="13">
        <v>80</v>
      </c>
      <c r="G16" s="20" t="s">
        <v>85</v>
      </c>
      <c r="H16" s="11" t="s">
        <v>48</v>
      </c>
      <c r="I16" s="15" t="s">
        <v>203</v>
      </c>
      <c r="J16" s="10" t="s">
        <v>204</v>
      </c>
      <c r="K16" s="11" t="s">
        <v>205</v>
      </c>
      <c r="L16" s="9" t="s">
        <v>158</v>
      </c>
      <c r="M16" s="10" t="s">
        <v>159</v>
      </c>
      <c r="N16" s="16" t="s">
        <v>75</v>
      </c>
      <c r="O16" s="17" t="s">
        <v>206</v>
      </c>
      <c r="P16" s="17" t="s">
        <v>207</v>
      </c>
      <c r="Q16" s="18" t="s">
        <v>78</v>
      </c>
      <c r="R16" s="18" t="s">
        <v>79</v>
      </c>
      <c r="S16" s="18" t="s">
        <v>61</v>
      </c>
      <c r="T16" s="18" t="s">
        <v>62</v>
      </c>
      <c r="U16" s="19" t="s">
        <v>80</v>
      </c>
    </row>
    <row r="17" spans="1:21" ht="15.75" customHeight="1" x14ac:dyDescent="0.25">
      <c r="A17" s="27" t="s">
        <v>208</v>
      </c>
      <c r="B17" s="28" t="s">
        <v>209</v>
      </c>
      <c r="C17" s="29" t="s">
        <v>210</v>
      </c>
      <c r="D17" s="37" t="s">
        <v>109</v>
      </c>
      <c r="E17" s="29" t="s">
        <v>47</v>
      </c>
      <c r="F17" s="31">
        <v>179</v>
      </c>
      <c r="G17" s="25" t="s">
        <v>110</v>
      </c>
      <c r="H17" s="29" t="s">
        <v>86</v>
      </c>
      <c r="I17" s="32" t="s">
        <v>211</v>
      </c>
      <c r="J17" s="28" t="s">
        <v>212</v>
      </c>
      <c r="K17" s="29" t="s">
        <v>213</v>
      </c>
      <c r="L17" s="27" t="s">
        <v>90</v>
      </c>
      <c r="M17" s="28" t="s">
        <v>91</v>
      </c>
      <c r="N17" s="38"/>
      <c r="O17" s="34"/>
      <c r="P17" s="34"/>
      <c r="Q17" s="35" t="s">
        <v>78</v>
      </c>
      <c r="R17" s="35" t="s">
        <v>79</v>
      </c>
      <c r="S17" s="35" t="s">
        <v>61</v>
      </c>
      <c r="T17" s="35" t="s">
        <v>62</v>
      </c>
      <c r="U17" s="36" t="s">
        <v>80</v>
      </c>
    </row>
    <row r="18" spans="1:21" ht="15.75" customHeight="1" x14ac:dyDescent="0.25">
      <c r="A18" s="9" t="s">
        <v>214</v>
      </c>
      <c r="B18" s="10" t="s">
        <v>215</v>
      </c>
      <c r="C18" s="11" t="s">
        <v>216</v>
      </c>
      <c r="D18" s="12" t="s">
        <v>217</v>
      </c>
      <c r="E18" s="11" t="s">
        <v>67</v>
      </c>
      <c r="F18" s="13">
        <v>-4</v>
      </c>
      <c r="G18" s="20" t="s">
        <v>85</v>
      </c>
      <c r="H18" s="11" t="s">
        <v>69</v>
      </c>
      <c r="I18" s="15" t="s">
        <v>218</v>
      </c>
      <c r="J18" s="10" t="s">
        <v>219</v>
      </c>
      <c r="K18" s="11" t="s">
        <v>220</v>
      </c>
      <c r="L18" s="9" t="s">
        <v>73</v>
      </c>
      <c r="M18" s="10" t="s">
        <v>74</v>
      </c>
      <c r="N18" s="16" t="s">
        <v>75</v>
      </c>
      <c r="O18" s="17" t="s">
        <v>221</v>
      </c>
      <c r="P18" s="17" t="s">
        <v>222</v>
      </c>
      <c r="Q18" s="18" t="s">
        <v>78</v>
      </c>
      <c r="R18" s="18" t="s">
        <v>79</v>
      </c>
      <c r="S18" s="18" t="s">
        <v>61</v>
      </c>
      <c r="T18" s="18" t="s">
        <v>62</v>
      </c>
      <c r="U18" s="19" t="s">
        <v>80</v>
      </c>
    </row>
    <row r="19" spans="1:21" ht="15.75" customHeight="1" x14ac:dyDescent="0.25">
      <c r="A19" s="27" t="s">
        <v>223</v>
      </c>
      <c r="B19" s="28" t="s">
        <v>224</v>
      </c>
      <c r="C19" s="29" t="s">
        <v>225</v>
      </c>
      <c r="D19" s="37" t="s">
        <v>109</v>
      </c>
      <c r="E19" s="29" t="s">
        <v>47</v>
      </c>
      <c r="F19" s="31">
        <v>98</v>
      </c>
      <c r="G19" s="14" t="s">
        <v>119</v>
      </c>
      <c r="H19" s="29" t="s">
        <v>48</v>
      </c>
      <c r="I19" s="32" t="s">
        <v>226</v>
      </c>
      <c r="J19" s="28" t="s">
        <v>227</v>
      </c>
      <c r="K19" s="29" t="s">
        <v>228</v>
      </c>
      <c r="L19" s="27" t="s">
        <v>158</v>
      </c>
      <c r="M19" s="28" t="s">
        <v>159</v>
      </c>
      <c r="N19" s="38"/>
      <c r="O19" s="34"/>
      <c r="P19" s="34"/>
      <c r="Q19" s="35" t="s">
        <v>78</v>
      </c>
      <c r="R19" s="35" t="s">
        <v>79</v>
      </c>
      <c r="S19" s="35" t="s">
        <v>61</v>
      </c>
      <c r="T19" s="35" t="s">
        <v>62</v>
      </c>
      <c r="U19" s="36" t="s">
        <v>80</v>
      </c>
    </row>
    <row r="20" spans="1:21" ht="15.75" customHeight="1" x14ac:dyDescent="0.25">
      <c r="A20" s="9" t="s">
        <v>229</v>
      </c>
      <c r="B20" s="10" t="s">
        <v>230</v>
      </c>
      <c r="C20" s="11" t="s">
        <v>231</v>
      </c>
      <c r="D20" s="21" t="s">
        <v>109</v>
      </c>
      <c r="E20" s="11" t="s">
        <v>47</v>
      </c>
      <c r="F20" s="13">
        <v>64</v>
      </c>
      <c r="G20" s="14" t="s">
        <v>119</v>
      </c>
      <c r="H20" s="11" t="s">
        <v>48</v>
      </c>
      <c r="I20" s="15" t="s">
        <v>232</v>
      </c>
      <c r="J20" s="10" t="s">
        <v>233</v>
      </c>
      <c r="K20" s="11" t="s">
        <v>228</v>
      </c>
      <c r="L20" s="9" t="s">
        <v>158</v>
      </c>
      <c r="M20" s="10" t="s">
        <v>159</v>
      </c>
      <c r="N20" s="22"/>
      <c r="O20" s="17"/>
      <c r="P20" s="17"/>
      <c r="Q20" s="18" t="s">
        <v>78</v>
      </c>
      <c r="R20" s="18" t="s">
        <v>79</v>
      </c>
      <c r="S20" s="18" t="s">
        <v>61</v>
      </c>
      <c r="T20" s="18" t="s">
        <v>62</v>
      </c>
      <c r="U20" s="19" t="s">
        <v>80</v>
      </c>
    </row>
    <row r="21" spans="1:21" ht="15.75" customHeight="1" x14ac:dyDescent="0.25">
      <c r="A21" s="27" t="s">
        <v>234</v>
      </c>
      <c r="B21" s="28" t="s">
        <v>235</v>
      </c>
      <c r="C21" s="29" t="s">
        <v>236</v>
      </c>
      <c r="D21" s="37" t="s">
        <v>109</v>
      </c>
      <c r="E21" s="29" t="s">
        <v>98</v>
      </c>
      <c r="F21" s="31">
        <v>765</v>
      </c>
      <c r="G21" s="25" t="s">
        <v>110</v>
      </c>
      <c r="H21" s="29" t="s">
        <v>129</v>
      </c>
      <c r="I21" s="32" t="s">
        <v>237</v>
      </c>
      <c r="J21" s="28" t="s">
        <v>238</v>
      </c>
      <c r="K21" s="29" t="s">
        <v>239</v>
      </c>
      <c r="L21" s="27" t="s">
        <v>90</v>
      </c>
      <c r="M21" s="28" t="s">
        <v>91</v>
      </c>
      <c r="N21" s="38"/>
      <c r="O21" s="34"/>
      <c r="P21" s="34"/>
      <c r="Q21" s="35" t="s">
        <v>78</v>
      </c>
      <c r="R21" s="35" t="s">
        <v>79</v>
      </c>
      <c r="S21" s="35" t="s">
        <v>61</v>
      </c>
      <c r="T21" s="35" t="s">
        <v>62</v>
      </c>
      <c r="U21" s="36" t="s">
        <v>80</v>
      </c>
    </row>
    <row r="22" spans="1:21" ht="15.75" customHeight="1" x14ac:dyDescent="0.25">
      <c r="A22" s="9" t="s">
        <v>240</v>
      </c>
      <c r="B22" s="10" t="s">
        <v>241</v>
      </c>
      <c r="C22" s="11" t="s">
        <v>242</v>
      </c>
      <c r="D22" s="12" t="s">
        <v>243</v>
      </c>
      <c r="E22" s="11" t="s">
        <v>67</v>
      </c>
      <c r="F22" s="11" t="s">
        <v>244</v>
      </c>
      <c r="G22" s="14" t="s">
        <v>68</v>
      </c>
      <c r="H22" s="11" t="s">
        <v>120</v>
      </c>
      <c r="I22" s="15" t="s">
        <v>245</v>
      </c>
      <c r="J22" s="10" t="s">
        <v>246</v>
      </c>
      <c r="K22" s="11" t="s">
        <v>247</v>
      </c>
      <c r="L22" s="9" t="s">
        <v>248</v>
      </c>
      <c r="M22" s="10" t="s">
        <v>249</v>
      </c>
      <c r="N22" s="23" t="s">
        <v>179</v>
      </c>
      <c r="O22" s="17" t="s">
        <v>250</v>
      </c>
      <c r="P22" s="17" t="s">
        <v>251</v>
      </c>
      <c r="Q22" s="18" t="s">
        <v>78</v>
      </c>
      <c r="R22" s="18" t="s">
        <v>79</v>
      </c>
      <c r="S22" s="18" t="s">
        <v>61</v>
      </c>
      <c r="T22" s="18" t="s">
        <v>62</v>
      </c>
      <c r="U22" s="19" t="s">
        <v>80</v>
      </c>
    </row>
    <row r="23" spans="1:21" ht="15.75" customHeight="1" x14ac:dyDescent="0.25">
      <c r="A23" s="27" t="s">
        <v>252</v>
      </c>
      <c r="B23" s="28" t="s">
        <v>253</v>
      </c>
      <c r="C23" s="29" t="s">
        <v>254</v>
      </c>
      <c r="D23" s="37" t="s">
        <v>109</v>
      </c>
      <c r="E23" s="29" t="s">
        <v>47</v>
      </c>
      <c r="F23" s="31">
        <v>46</v>
      </c>
      <c r="G23" s="14" t="s">
        <v>119</v>
      </c>
      <c r="H23" s="29" t="s">
        <v>69</v>
      </c>
      <c r="I23" s="32" t="s">
        <v>255</v>
      </c>
      <c r="J23" s="28" t="s">
        <v>256</v>
      </c>
      <c r="K23" s="29" t="s">
        <v>257</v>
      </c>
      <c r="L23" s="27" t="s">
        <v>158</v>
      </c>
      <c r="M23" s="28" t="s">
        <v>159</v>
      </c>
      <c r="N23" s="38"/>
      <c r="O23" s="34"/>
      <c r="P23" s="34"/>
      <c r="Q23" s="35" t="s">
        <v>78</v>
      </c>
      <c r="R23" s="35" t="s">
        <v>79</v>
      </c>
      <c r="S23" s="35" t="s">
        <v>61</v>
      </c>
      <c r="T23" s="35" t="s">
        <v>62</v>
      </c>
      <c r="U23" s="36" t="s">
        <v>80</v>
      </c>
    </row>
    <row r="24" spans="1:21" ht="15.75" customHeight="1" x14ac:dyDescent="0.25">
      <c r="A24" s="9" t="s">
        <v>258</v>
      </c>
      <c r="B24" s="10" t="s">
        <v>259</v>
      </c>
      <c r="C24" s="11" t="s">
        <v>260</v>
      </c>
      <c r="D24" s="12" t="s">
        <v>261</v>
      </c>
      <c r="E24" s="11" t="s">
        <v>67</v>
      </c>
      <c r="F24" s="13">
        <v>-191</v>
      </c>
      <c r="G24" s="20" t="s">
        <v>85</v>
      </c>
      <c r="H24" s="11" t="s">
        <v>69</v>
      </c>
      <c r="I24" s="15" t="s">
        <v>262</v>
      </c>
      <c r="J24" s="10" t="s">
        <v>263</v>
      </c>
      <c r="K24" s="11" t="s">
        <v>264</v>
      </c>
      <c r="L24" s="9" t="s">
        <v>140</v>
      </c>
      <c r="M24" s="10" t="s">
        <v>141</v>
      </c>
      <c r="N24" s="16" t="s">
        <v>75</v>
      </c>
      <c r="O24" s="17" t="s">
        <v>265</v>
      </c>
      <c r="P24" s="17" t="s">
        <v>266</v>
      </c>
      <c r="Q24" s="18" t="s">
        <v>78</v>
      </c>
      <c r="R24" s="18" t="s">
        <v>79</v>
      </c>
      <c r="S24" s="18" t="s">
        <v>61</v>
      </c>
      <c r="T24" s="18" t="s">
        <v>62</v>
      </c>
      <c r="U24" s="19" t="s">
        <v>80</v>
      </c>
    </row>
    <row r="25" spans="1:21" ht="15.75" customHeight="1" x14ac:dyDescent="0.25">
      <c r="A25" s="27" t="s">
        <v>267</v>
      </c>
      <c r="B25" s="28" t="s">
        <v>268</v>
      </c>
      <c r="C25" s="29" t="s">
        <v>269</v>
      </c>
      <c r="D25" s="30" t="s">
        <v>270</v>
      </c>
      <c r="E25" s="29" t="s">
        <v>47</v>
      </c>
      <c r="F25" s="31">
        <v>76.7</v>
      </c>
      <c r="G25" s="20" t="s">
        <v>85</v>
      </c>
      <c r="H25" s="29" t="s">
        <v>48</v>
      </c>
      <c r="I25" s="32" t="s">
        <v>271</v>
      </c>
      <c r="J25" s="28" t="s">
        <v>272</v>
      </c>
      <c r="K25" s="29" t="s">
        <v>273</v>
      </c>
      <c r="L25" s="27" t="s">
        <v>90</v>
      </c>
      <c r="M25" s="28" t="s">
        <v>91</v>
      </c>
      <c r="N25" s="33" t="s">
        <v>75</v>
      </c>
      <c r="O25" s="34" t="s">
        <v>92</v>
      </c>
      <c r="P25" s="34" t="s">
        <v>93</v>
      </c>
      <c r="Q25" s="35" t="s">
        <v>78</v>
      </c>
      <c r="R25" s="35" t="s">
        <v>79</v>
      </c>
      <c r="S25" s="35" t="s">
        <v>61</v>
      </c>
      <c r="T25" s="35" t="s">
        <v>62</v>
      </c>
      <c r="U25" s="36" t="s">
        <v>80</v>
      </c>
    </row>
    <row r="26" spans="1:21" ht="15.75" customHeight="1" x14ac:dyDescent="0.25">
      <c r="A26" s="9" t="s">
        <v>274</v>
      </c>
      <c r="B26" s="10" t="s">
        <v>275</v>
      </c>
      <c r="C26" s="11" t="s">
        <v>276</v>
      </c>
      <c r="D26" s="21" t="s">
        <v>109</v>
      </c>
      <c r="E26" s="11" t="s">
        <v>47</v>
      </c>
      <c r="F26" s="11"/>
      <c r="G26" s="24" t="s">
        <v>85</v>
      </c>
      <c r="H26" s="11" t="s">
        <v>120</v>
      </c>
      <c r="I26" s="15" t="s">
        <v>277</v>
      </c>
      <c r="J26" s="10" t="s">
        <v>278</v>
      </c>
      <c r="K26" s="11"/>
      <c r="L26" s="9"/>
      <c r="M26" s="10"/>
      <c r="N26" s="22"/>
      <c r="O26" s="17"/>
      <c r="P26" s="17"/>
      <c r="Q26" s="18" t="s">
        <v>78</v>
      </c>
      <c r="R26" s="18" t="s">
        <v>79</v>
      </c>
      <c r="S26" s="18" t="s">
        <v>61</v>
      </c>
      <c r="T26" s="18" t="s">
        <v>62</v>
      </c>
      <c r="U26" s="19" t="s">
        <v>80</v>
      </c>
    </row>
    <row r="27" spans="1:21" ht="15.75" customHeight="1" x14ac:dyDescent="0.25">
      <c r="A27" s="27" t="s">
        <v>279</v>
      </c>
      <c r="B27" s="28" t="s">
        <v>280</v>
      </c>
      <c r="C27" s="29" t="s">
        <v>281</v>
      </c>
      <c r="D27" s="37" t="s">
        <v>109</v>
      </c>
      <c r="E27" s="29" t="s">
        <v>98</v>
      </c>
      <c r="F27" s="31">
        <v>232</v>
      </c>
      <c r="G27" s="25" t="s">
        <v>110</v>
      </c>
      <c r="H27" s="29" t="s">
        <v>129</v>
      </c>
      <c r="I27" s="32" t="s">
        <v>282</v>
      </c>
      <c r="J27" s="28" t="s">
        <v>283</v>
      </c>
      <c r="K27" s="29" t="s">
        <v>284</v>
      </c>
      <c r="L27" s="27" t="s">
        <v>90</v>
      </c>
      <c r="M27" s="28" t="s">
        <v>91</v>
      </c>
      <c r="N27" s="38"/>
      <c r="O27" s="34"/>
      <c r="P27" s="34"/>
      <c r="Q27" s="35" t="s">
        <v>78</v>
      </c>
      <c r="R27" s="35" t="s">
        <v>79</v>
      </c>
      <c r="S27" s="35" t="s">
        <v>61</v>
      </c>
      <c r="T27" s="35" t="s">
        <v>62</v>
      </c>
      <c r="U27" s="36" t="s">
        <v>80</v>
      </c>
    </row>
    <row r="28" spans="1:21" ht="15.75" customHeight="1" x14ac:dyDescent="0.25">
      <c r="A28" s="9" t="s">
        <v>285</v>
      </c>
      <c r="B28" s="10" t="s">
        <v>286</v>
      </c>
      <c r="C28" s="11" t="s">
        <v>287</v>
      </c>
      <c r="D28" s="12" t="s">
        <v>288</v>
      </c>
      <c r="E28" s="11" t="s">
        <v>47</v>
      </c>
      <c r="F28" s="13">
        <v>62</v>
      </c>
      <c r="G28" s="20" t="s">
        <v>85</v>
      </c>
      <c r="H28" s="11" t="s">
        <v>48</v>
      </c>
      <c r="I28" s="15" t="s">
        <v>289</v>
      </c>
      <c r="J28" s="10" t="s">
        <v>290</v>
      </c>
      <c r="K28" s="11" t="s">
        <v>291</v>
      </c>
      <c r="L28" s="9" t="s">
        <v>90</v>
      </c>
      <c r="M28" s="10" t="s">
        <v>91</v>
      </c>
      <c r="N28" s="16" t="s">
        <v>75</v>
      </c>
      <c r="O28" s="17" t="s">
        <v>292</v>
      </c>
      <c r="P28" s="17" t="s">
        <v>293</v>
      </c>
      <c r="Q28" s="18" t="s">
        <v>78</v>
      </c>
      <c r="R28" s="18" t="s">
        <v>79</v>
      </c>
      <c r="S28" s="18" t="s">
        <v>61</v>
      </c>
      <c r="T28" s="18" t="s">
        <v>62</v>
      </c>
      <c r="U28" s="19" t="s">
        <v>80</v>
      </c>
    </row>
    <row r="29" spans="1:21" ht="15.75" customHeight="1" x14ac:dyDescent="0.25">
      <c r="A29" s="27" t="s">
        <v>294</v>
      </c>
      <c r="B29" s="28" t="s">
        <v>295</v>
      </c>
      <c r="C29" s="29" t="s">
        <v>296</v>
      </c>
      <c r="D29" s="30" t="s">
        <v>297</v>
      </c>
      <c r="E29" s="29" t="s">
        <v>98</v>
      </c>
      <c r="F29" s="31">
        <v>246</v>
      </c>
      <c r="G29" s="20" t="s">
        <v>85</v>
      </c>
      <c r="H29" s="29" t="s">
        <v>129</v>
      </c>
      <c r="I29" s="32" t="s">
        <v>298</v>
      </c>
      <c r="J29" s="28" t="s">
        <v>299</v>
      </c>
      <c r="K29" s="29" t="s">
        <v>300</v>
      </c>
      <c r="L29" s="27" t="s">
        <v>90</v>
      </c>
      <c r="M29" s="28" t="s">
        <v>91</v>
      </c>
      <c r="N29" s="33" t="s">
        <v>75</v>
      </c>
      <c r="O29" s="34" t="s">
        <v>92</v>
      </c>
      <c r="P29" s="34" t="s">
        <v>93</v>
      </c>
      <c r="Q29" s="35" t="s">
        <v>78</v>
      </c>
      <c r="R29" s="35" t="s">
        <v>79</v>
      </c>
      <c r="S29" s="35" t="s">
        <v>61</v>
      </c>
      <c r="T29" s="35" t="s">
        <v>62</v>
      </c>
      <c r="U29" s="36" t="s">
        <v>80</v>
      </c>
    </row>
    <row r="30" spans="1:21" ht="15.75" customHeight="1" x14ac:dyDescent="0.25">
      <c r="A30" s="9" t="s">
        <v>301</v>
      </c>
      <c r="B30" s="10" t="s">
        <v>302</v>
      </c>
      <c r="C30" s="11" t="s">
        <v>303</v>
      </c>
      <c r="D30" s="21" t="s">
        <v>109</v>
      </c>
      <c r="E30" s="11" t="s">
        <v>98</v>
      </c>
      <c r="F30" s="13">
        <v>2642</v>
      </c>
      <c r="G30" s="24" t="s">
        <v>85</v>
      </c>
      <c r="H30" s="11" t="s">
        <v>129</v>
      </c>
      <c r="I30" s="15" t="s">
        <v>304</v>
      </c>
      <c r="J30" s="10" t="s">
        <v>305</v>
      </c>
      <c r="K30" s="11"/>
      <c r="L30" s="9"/>
      <c r="M30" s="10"/>
      <c r="N30" s="22"/>
      <c r="O30" s="17"/>
      <c r="P30" s="17"/>
      <c r="Q30" s="18" t="s">
        <v>78</v>
      </c>
      <c r="R30" s="18" t="s">
        <v>79</v>
      </c>
      <c r="S30" s="18" t="s">
        <v>61</v>
      </c>
      <c r="T30" s="18" t="s">
        <v>62</v>
      </c>
      <c r="U30" s="19" t="s">
        <v>80</v>
      </c>
    </row>
    <row r="31" spans="1:21" ht="15.75" customHeight="1" x14ac:dyDescent="0.25">
      <c r="A31" s="27" t="s">
        <v>306</v>
      </c>
      <c r="B31" s="28" t="s">
        <v>307</v>
      </c>
      <c r="C31" s="29" t="s">
        <v>308</v>
      </c>
      <c r="D31" s="30" t="s">
        <v>309</v>
      </c>
      <c r="E31" s="29" t="s">
        <v>98</v>
      </c>
      <c r="F31" s="31">
        <v>191</v>
      </c>
      <c r="G31" s="20" t="s">
        <v>119</v>
      </c>
      <c r="H31" s="29" t="s">
        <v>86</v>
      </c>
      <c r="I31" s="32" t="s">
        <v>310</v>
      </c>
      <c r="J31" s="28" t="s">
        <v>311</v>
      </c>
      <c r="K31" s="29" t="s">
        <v>312</v>
      </c>
      <c r="L31" s="27" t="s">
        <v>90</v>
      </c>
      <c r="M31" s="28" t="s">
        <v>91</v>
      </c>
      <c r="N31" s="33" t="s">
        <v>75</v>
      </c>
      <c r="O31" s="34" t="s">
        <v>313</v>
      </c>
      <c r="P31" s="34" t="s">
        <v>314</v>
      </c>
      <c r="Q31" s="35" t="s">
        <v>78</v>
      </c>
      <c r="R31" s="35" t="s">
        <v>79</v>
      </c>
      <c r="S31" s="35" t="s">
        <v>61</v>
      </c>
      <c r="T31" s="35" t="s">
        <v>62</v>
      </c>
      <c r="U31" s="36" t="s">
        <v>80</v>
      </c>
    </row>
    <row r="32" spans="1:21" ht="15.75" customHeight="1" x14ac:dyDescent="0.25">
      <c r="A32" s="9" t="s">
        <v>315</v>
      </c>
      <c r="B32" s="10" t="s">
        <v>316</v>
      </c>
      <c r="C32" s="11" t="s">
        <v>317</v>
      </c>
      <c r="D32" s="12" t="s">
        <v>318</v>
      </c>
      <c r="E32" s="11" t="s">
        <v>98</v>
      </c>
      <c r="F32" s="13">
        <v>202</v>
      </c>
      <c r="G32" s="20" t="s">
        <v>119</v>
      </c>
      <c r="H32" s="11" t="s">
        <v>129</v>
      </c>
      <c r="I32" s="15" t="s">
        <v>319</v>
      </c>
      <c r="J32" s="10" t="s">
        <v>320</v>
      </c>
      <c r="K32" s="11" t="s">
        <v>312</v>
      </c>
      <c r="L32" s="9" t="s">
        <v>90</v>
      </c>
      <c r="M32" s="10" t="s">
        <v>91</v>
      </c>
      <c r="N32" s="16" t="s">
        <v>75</v>
      </c>
      <c r="O32" s="17" t="s">
        <v>313</v>
      </c>
      <c r="P32" s="17" t="s">
        <v>314</v>
      </c>
      <c r="Q32" s="18" t="s">
        <v>78</v>
      </c>
      <c r="R32" s="18" t="s">
        <v>79</v>
      </c>
      <c r="S32" s="18" t="s">
        <v>61</v>
      </c>
      <c r="T32" s="18" t="s">
        <v>62</v>
      </c>
      <c r="U32" s="19" t="s">
        <v>80</v>
      </c>
    </row>
    <row r="33" spans="1:21" ht="15.75" customHeight="1" x14ac:dyDescent="0.25">
      <c r="A33" s="27" t="s">
        <v>321</v>
      </c>
      <c r="B33" s="28" t="s">
        <v>322</v>
      </c>
      <c r="C33" s="29" t="s">
        <v>323</v>
      </c>
      <c r="D33" s="37" t="s">
        <v>109</v>
      </c>
      <c r="E33" s="29" t="s">
        <v>47</v>
      </c>
      <c r="F33" s="31">
        <v>158</v>
      </c>
      <c r="G33" s="14" t="s">
        <v>119</v>
      </c>
      <c r="H33" s="29" t="s">
        <v>86</v>
      </c>
      <c r="I33" s="32" t="s">
        <v>324</v>
      </c>
      <c r="J33" s="28" t="s">
        <v>325</v>
      </c>
      <c r="K33" s="29" t="s">
        <v>326</v>
      </c>
      <c r="L33" s="27" t="s">
        <v>158</v>
      </c>
      <c r="M33" s="28" t="s">
        <v>159</v>
      </c>
      <c r="N33" s="38"/>
      <c r="O33" s="34"/>
      <c r="P33" s="34"/>
      <c r="Q33" s="35" t="s">
        <v>78</v>
      </c>
      <c r="R33" s="35" t="s">
        <v>79</v>
      </c>
      <c r="S33" s="35" t="s">
        <v>61</v>
      </c>
      <c r="T33" s="35" t="s">
        <v>62</v>
      </c>
      <c r="U33" s="36" t="s">
        <v>80</v>
      </c>
    </row>
    <row r="34" spans="1:21" ht="15.75" customHeight="1" x14ac:dyDescent="0.25">
      <c r="A34" s="9" t="s">
        <v>327</v>
      </c>
      <c r="B34" s="10" t="s">
        <v>328</v>
      </c>
      <c r="C34" s="11" t="s">
        <v>329</v>
      </c>
      <c r="D34" s="21" t="s">
        <v>109</v>
      </c>
      <c r="E34" s="11" t="s">
        <v>98</v>
      </c>
      <c r="F34" s="13">
        <v>140</v>
      </c>
      <c r="G34" s="24" t="s">
        <v>85</v>
      </c>
      <c r="H34" s="11" t="s">
        <v>330</v>
      </c>
      <c r="I34" s="15" t="s">
        <v>331</v>
      </c>
      <c r="J34" s="10" t="s">
        <v>328</v>
      </c>
      <c r="K34" s="11" t="s">
        <v>332</v>
      </c>
      <c r="L34" s="9" t="s">
        <v>197</v>
      </c>
      <c r="M34" s="10" t="s">
        <v>198</v>
      </c>
      <c r="N34" s="22"/>
      <c r="O34" s="17"/>
      <c r="P34" s="17"/>
      <c r="Q34" s="18" t="s">
        <v>78</v>
      </c>
      <c r="R34" s="18" t="s">
        <v>79</v>
      </c>
      <c r="S34" s="18" t="s">
        <v>61</v>
      </c>
      <c r="T34" s="18" t="s">
        <v>62</v>
      </c>
      <c r="U34" s="19" t="s">
        <v>80</v>
      </c>
    </row>
    <row r="35" spans="1:21" ht="15.75" customHeight="1" x14ac:dyDescent="0.25">
      <c r="A35" s="27" t="s">
        <v>333</v>
      </c>
      <c r="B35" s="28" t="s">
        <v>334</v>
      </c>
      <c r="C35" s="29" t="s">
        <v>335</v>
      </c>
      <c r="D35" s="37" t="s">
        <v>109</v>
      </c>
      <c r="E35" s="29" t="s">
        <v>98</v>
      </c>
      <c r="F35" s="31">
        <v>260</v>
      </c>
      <c r="G35" s="25" t="s">
        <v>110</v>
      </c>
      <c r="H35" s="29" t="s">
        <v>129</v>
      </c>
      <c r="I35" s="32" t="s">
        <v>336</v>
      </c>
      <c r="J35" s="28" t="s">
        <v>334</v>
      </c>
      <c r="K35" s="29" t="s">
        <v>337</v>
      </c>
      <c r="L35" s="27" t="s">
        <v>90</v>
      </c>
      <c r="M35" s="28" t="s">
        <v>91</v>
      </c>
      <c r="N35" s="38"/>
      <c r="O35" s="34"/>
      <c r="P35" s="34"/>
      <c r="Q35" s="35" t="s">
        <v>78</v>
      </c>
      <c r="R35" s="35" t="s">
        <v>79</v>
      </c>
      <c r="S35" s="35" t="s">
        <v>61</v>
      </c>
      <c r="T35" s="35" t="s">
        <v>62</v>
      </c>
      <c r="U35" s="36" t="s">
        <v>80</v>
      </c>
    </row>
    <row r="36" spans="1:21" ht="15.75" customHeight="1" x14ac:dyDescent="0.25">
      <c r="A36" s="9" t="s">
        <v>338</v>
      </c>
      <c r="B36" s="10" t="s">
        <v>339</v>
      </c>
      <c r="C36" s="11" t="s">
        <v>340</v>
      </c>
      <c r="D36" s="21" t="s">
        <v>109</v>
      </c>
      <c r="E36" s="11" t="s">
        <v>47</v>
      </c>
      <c r="F36" s="13">
        <v>241</v>
      </c>
      <c r="G36" s="24" t="s">
        <v>85</v>
      </c>
      <c r="H36" s="11" t="s">
        <v>129</v>
      </c>
      <c r="I36" s="15" t="s">
        <v>341</v>
      </c>
      <c r="J36" s="10" t="s">
        <v>342</v>
      </c>
      <c r="K36" s="11"/>
      <c r="L36" s="9"/>
      <c r="M36" s="10"/>
      <c r="N36" s="22"/>
      <c r="O36" s="17"/>
      <c r="P36" s="17"/>
      <c r="Q36" s="18" t="s">
        <v>78</v>
      </c>
      <c r="R36" s="18" t="s">
        <v>79</v>
      </c>
      <c r="S36" s="18" t="s">
        <v>61</v>
      </c>
      <c r="T36" s="18" t="s">
        <v>62</v>
      </c>
      <c r="U36" s="19" t="s">
        <v>80</v>
      </c>
    </row>
    <row r="37" spans="1:21" ht="15.75" customHeight="1" x14ac:dyDescent="0.25">
      <c r="A37" s="27" t="s">
        <v>343</v>
      </c>
      <c r="B37" s="28" t="s">
        <v>344</v>
      </c>
      <c r="C37" s="29" t="s">
        <v>345</v>
      </c>
      <c r="D37" s="37" t="s">
        <v>109</v>
      </c>
      <c r="E37" s="29" t="s">
        <v>47</v>
      </c>
      <c r="F37" s="31">
        <v>340</v>
      </c>
      <c r="G37" s="24" t="s">
        <v>85</v>
      </c>
      <c r="H37" s="29" t="s">
        <v>129</v>
      </c>
      <c r="I37" s="32" t="s">
        <v>346</v>
      </c>
      <c r="J37" s="28" t="s">
        <v>347</v>
      </c>
      <c r="K37" s="29" t="s">
        <v>348</v>
      </c>
      <c r="L37" s="27" t="s">
        <v>197</v>
      </c>
      <c r="M37" s="28" t="s">
        <v>198</v>
      </c>
      <c r="N37" s="38"/>
      <c r="O37" s="34"/>
      <c r="P37" s="34"/>
      <c r="Q37" s="35" t="s">
        <v>78</v>
      </c>
      <c r="R37" s="35" t="s">
        <v>79</v>
      </c>
      <c r="S37" s="35" t="s">
        <v>61</v>
      </c>
      <c r="T37" s="35" t="s">
        <v>62</v>
      </c>
      <c r="U37" s="36" t="s">
        <v>80</v>
      </c>
    </row>
    <row r="38" spans="1:21" ht="15.75" customHeight="1" x14ac:dyDescent="0.25">
      <c r="A38" s="9" t="s">
        <v>349</v>
      </c>
      <c r="B38" s="10" t="s">
        <v>350</v>
      </c>
      <c r="C38" s="11" t="s">
        <v>351</v>
      </c>
      <c r="D38" s="12" t="s">
        <v>352</v>
      </c>
      <c r="E38" s="11" t="s">
        <v>98</v>
      </c>
      <c r="F38" s="13">
        <v>174</v>
      </c>
      <c r="G38" s="20" t="s">
        <v>85</v>
      </c>
      <c r="H38" s="11" t="s">
        <v>86</v>
      </c>
      <c r="I38" s="15" t="s">
        <v>353</v>
      </c>
      <c r="J38" s="10" t="s">
        <v>354</v>
      </c>
      <c r="K38" s="11" t="s">
        <v>332</v>
      </c>
      <c r="L38" s="9" t="s">
        <v>197</v>
      </c>
      <c r="M38" s="10" t="s">
        <v>198</v>
      </c>
      <c r="N38" s="23" t="s">
        <v>179</v>
      </c>
      <c r="O38" s="17" t="s">
        <v>355</v>
      </c>
      <c r="P38" s="17" t="s">
        <v>356</v>
      </c>
      <c r="Q38" s="18" t="s">
        <v>78</v>
      </c>
      <c r="R38" s="18" t="s">
        <v>79</v>
      </c>
      <c r="S38" s="18" t="s">
        <v>61</v>
      </c>
      <c r="T38" s="18" t="s">
        <v>62</v>
      </c>
      <c r="U38" s="19" t="s">
        <v>80</v>
      </c>
    </row>
    <row r="39" spans="1:21" ht="15.75" customHeight="1" x14ac:dyDescent="0.25">
      <c r="A39" s="27" t="s">
        <v>357</v>
      </c>
      <c r="B39" s="28" t="s">
        <v>358</v>
      </c>
      <c r="C39" s="29" t="s">
        <v>359</v>
      </c>
      <c r="D39" s="30" t="s">
        <v>360</v>
      </c>
      <c r="E39" s="29" t="s">
        <v>98</v>
      </c>
      <c r="F39" s="29"/>
      <c r="G39" s="20" t="s">
        <v>119</v>
      </c>
      <c r="H39" s="29" t="s">
        <v>120</v>
      </c>
      <c r="I39" s="32" t="s">
        <v>361</v>
      </c>
      <c r="J39" s="28" t="s">
        <v>362</v>
      </c>
      <c r="K39" s="29" t="s">
        <v>332</v>
      </c>
      <c r="L39" s="27" t="s">
        <v>197</v>
      </c>
      <c r="M39" s="28" t="s">
        <v>198</v>
      </c>
      <c r="N39" s="33" t="s">
        <v>75</v>
      </c>
      <c r="O39" s="34" t="s">
        <v>363</v>
      </c>
      <c r="P39" s="34" t="s">
        <v>364</v>
      </c>
      <c r="Q39" s="35" t="s">
        <v>78</v>
      </c>
      <c r="R39" s="35" t="s">
        <v>79</v>
      </c>
      <c r="S39" s="35" t="s">
        <v>61</v>
      </c>
      <c r="T39" s="35" t="s">
        <v>62</v>
      </c>
      <c r="U39" s="36" t="s">
        <v>80</v>
      </c>
    </row>
    <row r="40" spans="1:21" ht="15.75" customHeight="1" x14ac:dyDescent="0.25">
      <c r="A40" s="9" t="s">
        <v>365</v>
      </c>
      <c r="B40" s="10" t="s">
        <v>366</v>
      </c>
      <c r="C40" s="11" t="s">
        <v>367</v>
      </c>
      <c r="D40" s="21" t="s">
        <v>109</v>
      </c>
      <c r="E40" s="11" t="s">
        <v>47</v>
      </c>
      <c r="F40" s="13">
        <v>196</v>
      </c>
      <c r="G40" s="24" t="s">
        <v>85</v>
      </c>
      <c r="H40" s="11" t="s">
        <v>86</v>
      </c>
      <c r="I40" s="15" t="s">
        <v>368</v>
      </c>
      <c r="J40" s="10" t="s">
        <v>369</v>
      </c>
      <c r="K40" s="11"/>
      <c r="L40" s="9"/>
      <c r="M40" s="10"/>
      <c r="N40" s="22"/>
      <c r="O40" s="17"/>
      <c r="P40" s="17"/>
      <c r="Q40" s="18" t="s">
        <v>78</v>
      </c>
      <c r="R40" s="18" t="s">
        <v>79</v>
      </c>
      <c r="S40" s="18" t="s">
        <v>61</v>
      </c>
      <c r="T40" s="18" t="s">
        <v>62</v>
      </c>
      <c r="U40" s="19" t="s">
        <v>80</v>
      </c>
    </row>
    <row r="41" spans="1:21" ht="15.75" customHeight="1" x14ac:dyDescent="0.25">
      <c r="A41" s="27" t="s">
        <v>370</v>
      </c>
      <c r="B41" s="28" t="s">
        <v>371</v>
      </c>
      <c r="C41" s="29" t="s">
        <v>372</v>
      </c>
      <c r="D41" s="37" t="s">
        <v>109</v>
      </c>
      <c r="E41" s="29" t="s">
        <v>47</v>
      </c>
      <c r="F41" s="31">
        <v>193</v>
      </c>
      <c r="G41" s="24" t="s">
        <v>85</v>
      </c>
      <c r="H41" s="29" t="s">
        <v>86</v>
      </c>
      <c r="I41" s="32" t="s">
        <v>373</v>
      </c>
      <c r="J41" s="28" t="s">
        <v>374</v>
      </c>
      <c r="K41" s="29"/>
      <c r="L41" s="27"/>
      <c r="M41" s="28"/>
      <c r="N41" s="38"/>
      <c r="O41" s="34"/>
      <c r="P41" s="34"/>
      <c r="Q41" s="35" t="s">
        <v>78</v>
      </c>
      <c r="R41" s="35" t="s">
        <v>79</v>
      </c>
      <c r="S41" s="35" t="s">
        <v>61</v>
      </c>
      <c r="T41" s="35" t="s">
        <v>62</v>
      </c>
      <c r="U41" s="36" t="s">
        <v>80</v>
      </c>
    </row>
    <row r="42" spans="1:21" ht="15.75" customHeight="1" x14ac:dyDescent="0.25">
      <c r="A42" s="9" t="s">
        <v>375</v>
      </c>
      <c r="B42" s="10" t="s">
        <v>376</v>
      </c>
      <c r="C42" s="11" t="s">
        <v>377</v>
      </c>
      <c r="D42" s="12" t="s">
        <v>378</v>
      </c>
      <c r="E42" s="11" t="s">
        <v>47</v>
      </c>
      <c r="F42" s="13">
        <v>101</v>
      </c>
      <c r="G42" s="20" t="s">
        <v>85</v>
      </c>
      <c r="H42" s="11" t="s">
        <v>330</v>
      </c>
      <c r="I42" s="15" t="s">
        <v>379</v>
      </c>
      <c r="J42" s="10" t="s">
        <v>380</v>
      </c>
      <c r="K42" s="11" t="s">
        <v>381</v>
      </c>
      <c r="L42" s="9" t="s">
        <v>158</v>
      </c>
      <c r="M42" s="10" t="s">
        <v>159</v>
      </c>
      <c r="N42" s="16" t="s">
        <v>75</v>
      </c>
      <c r="O42" s="17" t="s">
        <v>382</v>
      </c>
      <c r="P42" s="17" t="s">
        <v>383</v>
      </c>
      <c r="Q42" s="18" t="s">
        <v>78</v>
      </c>
      <c r="R42" s="18" t="s">
        <v>79</v>
      </c>
      <c r="S42" s="18" t="s">
        <v>61</v>
      </c>
      <c r="T42" s="18" t="s">
        <v>62</v>
      </c>
      <c r="U42" s="19" t="s">
        <v>80</v>
      </c>
    </row>
    <row r="43" spans="1:21" ht="15.75" customHeight="1" x14ac:dyDescent="0.25">
      <c r="A43" s="27" t="s">
        <v>384</v>
      </c>
      <c r="B43" s="28" t="s">
        <v>385</v>
      </c>
      <c r="C43" s="29" t="s">
        <v>386</v>
      </c>
      <c r="D43" s="37" t="s">
        <v>109</v>
      </c>
      <c r="E43" s="29" t="s">
        <v>47</v>
      </c>
      <c r="F43" s="31">
        <v>266</v>
      </c>
      <c r="G43" s="24" t="s">
        <v>85</v>
      </c>
      <c r="H43" s="29" t="s">
        <v>129</v>
      </c>
      <c r="I43" s="32" t="s">
        <v>387</v>
      </c>
      <c r="J43" s="28" t="s">
        <v>388</v>
      </c>
      <c r="K43" s="29"/>
      <c r="L43" s="27"/>
      <c r="M43" s="28"/>
      <c r="N43" s="38"/>
      <c r="O43" s="34"/>
      <c r="P43" s="34"/>
      <c r="Q43" s="35" t="s">
        <v>78</v>
      </c>
      <c r="R43" s="35" t="s">
        <v>79</v>
      </c>
      <c r="S43" s="35" t="s">
        <v>61</v>
      </c>
      <c r="T43" s="35" t="s">
        <v>62</v>
      </c>
      <c r="U43" s="36" t="s">
        <v>80</v>
      </c>
    </row>
    <row r="44" spans="1:21" ht="15.75" customHeight="1" x14ac:dyDescent="0.25">
      <c r="A44" s="9" t="s">
        <v>389</v>
      </c>
      <c r="B44" s="10" t="s">
        <v>390</v>
      </c>
      <c r="C44" s="11" t="s">
        <v>391</v>
      </c>
      <c r="D44" s="12" t="s">
        <v>392</v>
      </c>
      <c r="E44" s="11" t="s">
        <v>47</v>
      </c>
      <c r="F44" s="13">
        <v>116</v>
      </c>
      <c r="G44" s="20" t="s">
        <v>85</v>
      </c>
      <c r="H44" s="11" t="s">
        <v>330</v>
      </c>
      <c r="I44" s="15" t="s">
        <v>393</v>
      </c>
      <c r="J44" s="10" t="s">
        <v>394</v>
      </c>
      <c r="K44" s="11" t="s">
        <v>395</v>
      </c>
      <c r="L44" s="9" t="s">
        <v>90</v>
      </c>
      <c r="M44" s="10" t="s">
        <v>91</v>
      </c>
      <c r="N44" s="16" t="s">
        <v>75</v>
      </c>
      <c r="O44" s="17" t="s">
        <v>396</v>
      </c>
      <c r="P44" s="17" t="s">
        <v>397</v>
      </c>
      <c r="Q44" s="18" t="s">
        <v>78</v>
      </c>
      <c r="R44" s="18" t="s">
        <v>79</v>
      </c>
      <c r="S44" s="18" t="s">
        <v>61</v>
      </c>
      <c r="T44" s="18" t="s">
        <v>62</v>
      </c>
      <c r="U44" s="19" t="s">
        <v>80</v>
      </c>
    </row>
    <row r="45" spans="1:21" ht="15.75" customHeight="1" x14ac:dyDescent="0.25">
      <c r="A45" s="27" t="s">
        <v>398</v>
      </c>
      <c r="B45" s="28" t="s">
        <v>399</v>
      </c>
      <c r="C45" s="29" t="s">
        <v>400</v>
      </c>
      <c r="D45" s="30" t="s">
        <v>401</v>
      </c>
      <c r="E45" s="29" t="s">
        <v>47</v>
      </c>
      <c r="F45" s="31">
        <v>78</v>
      </c>
      <c r="G45" s="20" t="s">
        <v>119</v>
      </c>
      <c r="H45" s="29" t="s">
        <v>48</v>
      </c>
      <c r="I45" s="32" t="s">
        <v>402</v>
      </c>
      <c r="J45" s="28" t="s">
        <v>403</v>
      </c>
      <c r="K45" s="29" t="s">
        <v>404</v>
      </c>
      <c r="L45" s="27" t="s">
        <v>158</v>
      </c>
      <c r="M45" s="28" t="s">
        <v>159</v>
      </c>
      <c r="N45" s="33" t="s">
        <v>75</v>
      </c>
      <c r="O45" s="34" t="s">
        <v>382</v>
      </c>
      <c r="P45" s="34" t="s">
        <v>383</v>
      </c>
      <c r="Q45" s="35" t="s">
        <v>78</v>
      </c>
      <c r="R45" s="35" t="s">
        <v>79</v>
      </c>
      <c r="S45" s="35" t="s">
        <v>61</v>
      </c>
      <c r="T45" s="35" t="s">
        <v>62</v>
      </c>
      <c r="U45" s="36" t="s">
        <v>80</v>
      </c>
    </row>
    <row r="46" spans="1:21" ht="15.75" customHeight="1" x14ac:dyDescent="0.25">
      <c r="A46" s="9" t="s">
        <v>405</v>
      </c>
      <c r="B46" s="10" t="s">
        <v>406</v>
      </c>
      <c r="C46" s="11" t="s">
        <v>407</v>
      </c>
      <c r="D46" s="12" t="s">
        <v>408</v>
      </c>
      <c r="E46" s="11" t="s">
        <v>47</v>
      </c>
      <c r="F46" s="13">
        <v>131</v>
      </c>
      <c r="G46" s="20" t="s">
        <v>85</v>
      </c>
      <c r="H46" s="11" t="s">
        <v>330</v>
      </c>
      <c r="I46" s="15" t="s">
        <v>409</v>
      </c>
      <c r="J46" s="10" t="s">
        <v>410</v>
      </c>
      <c r="K46" s="11" t="s">
        <v>411</v>
      </c>
      <c r="L46" s="9" t="s">
        <v>90</v>
      </c>
      <c r="M46" s="10" t="s">
        <v>91</v>
      </c>
      <c r="N46" s="16" t="s">
        <v>75</v>
      </c>
      <c r="O46" s="17" t="s">
        <v>92</v>
      </c>
      <c r="P46" s="17" t="s">
        <v>93</v>
      </c>
      <c r="Q46" s="18" t="s">
        <v>78</v>
      </c>
      <c r="R46" s="18" t="s">
        <v>79</v>
      </c>
      <c r="S46" s="18" t="s">
        <v>61</v>
      </c>
      <c r="T46" s="18" t="s">
        <v>62</v>
      </c>
      <c r="U46" s="19" t="s">
        <v>80</v>
      </c>
    </row>
    <row r="47" spans="1:21" ht="15.75" customHeight="1" x14ac:dyDescent="0.25">
      <c r="A47" s="27" t="s">
        <v>412</v>
      </c>
      <c r="B47" s="28" t="s">
        <v>413</v>
      </c>
      <c r="C47" s="29" t="s">
        <v>414</v>
      </c>
      <c r="D47" s="37" t="s">
        <v>109</v>
      </c>
      <c r="E47" s="29" t="s">
        <v>67</v>
      </c>
      <c r="F47" s="31">
        <v>-188</v>
      </c>
      <c r="G47" s="20" t="s">
        <v>68</v>
      </c>
      <c r="H47" s="29" t="s">
        <v>69</v>
      </c>
      <c r="I47" s="32" t="s">
        <v>415</v>
      </c>
      <c r="J47" s="28" t="s">
        <v>416</v>
      </c>
      <c r="K47" s="29" t="s">
        <v>417</v>
      </c>
      <c r="L47" s="27" t="s">
        <v>140</v>
      </c>
      <c r="M47" s="28" t="s">
        <v>141</v>
      </c>
      <c r="N47" s="38"/>
      <c r="O47" s="34"/>
      <c r="P47" s="34"/>
      <c r="Q47" s="35" t="s">
        <v>78</v>
      </c>
      <c r="R47" s="35" t="s">
        <v>79</v>
      </c>
      <c r="S47" s="35" t="s">
        <v>61</v>
      </c>
      <c r="T47" s="35" t="s">
        <v>62</v>
      </c>
      <c r="U47" s="36" t="s">
        <v>80</v>
      </c>
    </row>
    <row r="48" spans="1:21" ht="15.75" customHeight="1" x14ac:dyDescent="0.25">
      <c r="A48" s="9" t="s">
        <v>418</v>
      </c>
      <c r="B48" s="10" t="s">
        <v>419</v>
      </c>
      <c r="C48" s="11" t="s">
        <v>420</v>
      </c>
      <c r="D48" s="21" t="s">
        <v>109</v>
      </c>
      <c r="E48" s="11" t="s">
        <v>67</v>
      </c>
      <c r="F48" s="13">
        <v>24</v>
      </c>
      <c r="G48" s="24" t="s">
        <v>85</v>
      </c>
      <c r="H48" s="11" t="s">
        <v>421</v>
      </c>
      <c r="I48" s="15" t="s">
        <v>422</v>
      </c>
      <c r="J48" s="10" t="s">
        <v>423</v>
      </c>
      <c r="K48" s="11"/>
      <c r="L48" s="9"/>
      <c r="M48" s="10"/>
      <c r="N48" s="22"/>
      <c r="O48" s="17"/>
      <c r="P48" s="17"/>
      <c r="Q48" s="18" t="s">
        <v>78</v>
      </c>
      <c r="R48" s="18" t="s">
        <v>79</v>
      </c>
      <c r="S48" s="18" t="s">
        <v>61</v>
      </c>
      <c r="T48" s="18" t="s">
        <v>62</v>
      </c>
      <c r="U48" s="19" t="s">
        <v>80</v>
      </c>
    </row>
    <row r="49" spans="1:21" ht="15.75" customHeight="1" x14ac:dyDescent="0.25">
      <c r="A49" s="27" t="s">
        <v>424</v>
      </c>
      <c r="B49" s="28" t="s">
        <v>425</v>
      </c>
      <c r="C49" s="29" t="s">
        <v>426</v>
      </c>
      <c r="D49" s="37" t="s">
        <v>109</v>
      </c>
      <c r="E49" s="29" t="s">
        <v>67</v>
      </c>
      <c r="F49" s="31">
        <v>-30</v>
      </c>
      <c r="G49" s="24" t="s">
        <v>85</v>
      </c>
      <c r="H49" s="29" t="s">
        <v>69</v>
      </c>
      <c r="I49" s="32" t="s">
        <v>427</v>
      </c>
      <c r="J49" s="28" t="s">
        <v>428</v>
      </c>
      <c r="K49" s="29" t="s">
        <v>429</v>
      </c>
      <c r="L49" s="27" t="s">
        <v>248</v>
      </c>
      <c r="M49" s="28" t="s">
        <v>249</v>
      </c>
      <c r="N49" s="38"/>
      <c r="O49" s="34"/>
      <c r="P49" s="34"/>
      <c r="Q49" s="35" t="s">
        <v>78</v>
      </c>
      <c r="R49" s="35" t="s">
        <v>79</v>
      </c>
      <c r="S49" s="35" t="s">
        <v>61</v>
      </c>
      <c r="T49" s="35" t="s">
        <v>62</v>
      </c>
      <c r="U49" s="36" t="s">
        <v>80</v>
      </c>
    </row>
    <row r="50" spans="1:21" ht="15.75" customHeight="1" x14ac:dyDescent="0.25">
      <c r="A50" s="9" t="s">
        <v>430</v>
      </c>
      <c r="B50" s="10" t="s">
        <v>431</v>
      </c>
      <c r="C50" s="11" t="s">
        <v>432</v>
      </c>
      <c r="D50" s="21" t="s">
        <v>109</v>
      </c>
      <c r="E50" s="11" t="s">
        <v>67</v>
      </c>
      <c r="F50" s="13">
        <v>-41</v>
      </c>
      <c r="G50" s="24" t="s">
        <v>85</v>
      </c>
      <c r="H50" s="11" t="s">
        <v>69</v>
      </c>
      <c r="I50" s="15" t="s">
        <v>433</v>
      </c>
      <c r="J50" s="10" t="s">
        <v>434</v>
      </c>
      <c r="K50" s="11" t="s">
        <v>435</v>
      </c>
      <c r="L50" s="9" t="s">
        <v>248</v>
      </c>
      <c r="M50" s="10" t="s">
        <v>249</v>
      </c>
      <c r="N50" s="22"/>
      <c r="O50" s="17"/>
      <c r="P50" s="17"/>
      <c r="Q50" s="18" t="s">
        <v>78</v>
      </c>
      <c r="R50" s="18" t="s">
        <v>79</v>
      </c>
      <c r="S50" s="18" t="s">
        <v>61</v>
      </c>
      <c r="T50" s="18" t="s">
        <v>62</v>
      </c>
      <c r="U50" s="19" t="s">
        <v>80</v>
      </c>
    </row>
    <row r="51" spans="1:21" ht="15.75" customHeight="1" x14ac:dyDescent="0.25">
      <c r="A51" s="27" t="s">
        <v>436</v>
      </c>
      <c r="B51" s="28" t="s">
        <v>437</v>
      </c>
      <c r="C51" s="29" t="s">
        <v>438</v>
      </c>
      <c r="D51" s="37" t="s">
        <v>109</v>
      </c>
      <c r="E51" s="29" t="s">
        <v>47</v>
      </c>
      <c r="F51" s="31">
        <v>48</v>
      </c>
      <c r="G51" s="24" t="s">
        <v>85</v>
      </c>
      <c r="H51" s="29" t="s">
        <v>69</v>
      </c>
      <c r="I51" s="32" t="s">
        <v>439</v>
      </c>
      <c r="J51" s="28" t="s">
        <v>440</v>
      </c>
      <c r="K51" s="29"/>
      <c r="L51" s="27"/>
      <c r="M51" s="28"/>
      <c r="N51" s="38"/>
      <c r="O51" s="34"/>
      <c r="P51" s="34"/>
      <c r="Q51" s="35" t="s">
        <v>78</v>
      </c>
      <c r="R51" s="35" t="s">
        <v>79</v>
      </c>
      <c r="S51" s="35" t="s">
        <v>61</v>
      </c>
      <c r="T51" s="35" t="s">
        <v>62</v>
      </c>
      <c r="U51" s="36" t="s">
        <v>80</v>
      </c>
    </row>
    <row r="52" spans="1:21" ht="15.75" customHeight="1" x14ac:dyDescent="0.25">
      <c r="A52" s="9" t="s">
        <v>441</v>
      </c>
      <c r="B52" s="10" t="s">
        <v>442</v>
      </c>
      <c r="C52" s="11" t="s">
        <v>443</v>
      </c>
      <c r="D52" s="12" t="s">
        <v>444</v>
      </c>
      <c r="E52" s="11" t="s">
        <v>98</v>
      </c>
      <c r="F52" s="11" t="s">
        <v>445</v>
      </c>
      <c r="G52" s="20" t="s">
        <v>119</v>
      </c>
      <c r="H52" s="11" t="s">
        <v>100</v>
      </c>
      <c r="I52" s="15" t="s">
        <v>446</v>
      </c>
      <c r="J52" s="10" t="s">
        <v>447</v>
      </c>
      <c r="K52" s="11" t="s">
        <v>332</v>
      </c>
      <c r="L52" s="9" t="s">
        <v>197</v>
      </c>
      <c r="M52" s="10" t="s">
        <v>198</v>
      </c>
      <c r="N52" s="16" t="s">
        <v>75</v>
      </c>
      <c r="O52" s="17" t="s">
        <v>448</v>
      </c>
      <c r="P52" s="17" t="s">
        <v>449</v>
      </c>
      <c r="Q52" s="18" t="s">
        <v>78</v>
      </c>
      <c r="R52" s="18" t="s">
        <v>79</v>
      </c>
      <c r="S52" s="18" t="s">
        <v>61</v>
      </c>
      <c r="T52" s="18" t="s">
        <v>62</v>
      </c>
      <c r="U52" s="19" t="s">
        <v>80</v>
      </c>
    </row>
    <row r="53" spans="1:21" ht="15.75" customHeight="1" x14ac:dyDescent="0.25">
      <c r="A53" s="27" t="s">
        <v>450</v>
      </c>
      <c r="B53" s="28" t="s">
        <v>451</v>
      </c>
      <c r="C53" s="29" t="s">
        <v>452</v>
      </c>
      <c r="D53" s="30" t="s">
        <v>453</v>
      </c>
      <c r="E53" s="29"/>
      <c r="F53" s="31">
        <v>1740</v>
      </c>
      <c r="G53" s="20" t="s">
        <v>85</v>
      </c>
      <c r="H53" s="29" t="s">
        <v>129</v>
      </c>
      <c r="I53" s="32" t="s">
        <v>454</v>
      </c>
      <c r="J53" s="28" t="s">
        <v>455</v>
      </c>
      <c r="K53" s="29" t="s">
        <v>332</v>
      </c>
      <c r="L53" s="27" t="s">
        <v>197</v>
      </c>
      <c r="M53" s="28" t="s">
        <v>198</v>
      </c>
      <c r="N53" s="33" t="s">
        <v>75</v>
      </c>
      <c r="O53" s="34" t="s">
        <v>448</v>
      </c>
      <c r="P53" s="34" t="s">
        <v>449</v>
      </c>
      <c r="Q53" s="35" t="s">
        <v>78</v>
      </c>
      <c r="R53" s="35" t="s">
        <v>79</v>
      </c>
      <c r="S53" s="35" t="s">
        <v>61</v>
      </c>
      <c r="T53" s="35" t="s">
        <v>62</v>
      </c>
      <c r="U53" s="36" t="s">
        <v>80</v>
      </c>
    </row>
    <row r="54" spans="1:21" ht="15.75" customHeight="1" x14ac:dyDescent="0.25">
      <c r="A54" s="9" t="s">
        <v>456</v>
      </c>
      <c r="B54" s="10" t="s">
        <v>457</v>
      </c>
      <c r="C54" s="11" t="s">
        <v>458</v>
      </c>
      <c r="D54" s="12" t="s">
        <v>459</v>
      </c>
      <c r="E54" s="11" t="s">
        <v>98</v>
      </c>
      <c r="F54" s="13">
        <v>323</v>
      </c>
      <c r="G54" s="20" t="s">
        <v>85</v>
      </c>
      <c r="H54" s="11" t="s">
        <v>129</v>
      </c>
      <c r="I54" s="15" t="s">
        <v>460</v>
      </c>
      <c r="J54" s="10" t="s">
        <v>461</v>
      </c>
      <c r="K54" s="11" t="s">
        <v>337</v>
      </c>
      <c r="L54" s="9" t="s">
        <v>90</v>
      </c>
      <c r="M54" s="10" t="s">
        <v>91</v>
      </c>
      <c r="N54" s="16" t="s">
        <v>75</v>
      </c>
      <c r="O54" s="17" t="s">
        <v>124</v>
      </c>
      <c r="P54" s="17" t="s">
        <v>125</v>
      </c>
      <c r="Q54" s="18" t="s">
        <v>78</v>
      </c>
      <c r="R54" s="18" t="s">
        <v>79</v>
      </c>
      <c r="S54" s="18" t="s">
        <v>61</v>
      </c>
      <c r="T54" s="18" t="s">
        <v>62</v>
      </c>
      <c r="U54" s="19" t="s">
        <v>80</v>
      </c>
    </row>
    <row r="55" spans="1:21" ht="15.75" customHeight="1" x14ac:dyDescent="0.25">
      <c r="A55" s="27" t="s">
        <v>462</v>
      </c>
      <c r="B55" s="28" t="s">
        <v>463</v>
      </c>
      <c r="C55" s="29" t="s">
        <v>464</v>
      </c>
      <c r="D55" s="30" t="s">
        <v>465</v>
      </c>
      <c r="E55" s="29" t="s">
        <v>98</v>
      </c>
      <c r="F55" s="29"/>
      <c r="G55" s="26" t="s">
        <v>119</v>
      </c>
      <c r="H55" s="29" t="s">
        <v>100</v>
      </c>
      <c r="I55" s="32" t="s">
        <v>466</v>
      </c>
      <c r="J55" s="28" t="s">
        <v>463</v>
      </c>
      <c r="K55" s="29" t="s">
        <v>332</v>
      </c>
      <c r="L55" s="27" t="s">
        <v>197</v>
      </c>
      <c r="M55" s="28" t="s">
        <v>198</v>
      </c>
      <c r="N55" s="33" t="s">
        <v>75</v>
      </c>
      <c r="O55" s="34" t="s">
        <v>467</v>
      </c>
      <c r="P55" s="34" t="s">
        <v>468</v>
      </c>
      <c r="Q55" s="35" t="s">
        <v>78</v>
      </c>
      <c r="R55" s="35" t="s">
        <v>79</v>
      </c>
      <c r="S55" s="35" t="s">
        <v>61</v>
      </c>
      <c r="T55" s="35" t="s">
        <v>62</v>
      </c>
      <c r="U55" s="36" t="s">
        <v>80</v>
      </c>
    </row>
    <row r="56" spans="1:21" ht="15.75" customHeight="1" x14ac:dyDescent="0.25">
      <c r="A56" s="9" t="s">
        <v>469</v>
      </c>
      <c r="B56" s="10" t="s">
        <v>470</v>
      </c>
      <c r="C56" s="11" t="s">
        <v>471</v>
      </c>
      <c r="D56" s="21" t="s">
        <v>109</v>
      </c>
      <c r="E56" s="11" t="s">
        <v>98</v>
      </c>
      <c r="F56" s="11"/>
      <c r="G56" s="25" t="s">
        <v>110</v>
      </c>
      <c r="H56" s="11" t="s">
        <v>100</v>
      </c>
      <c r="I56" s="15" t="s">
        <v>472</v>
      </c>
      <c r="J56" s="10" t="s">
        <v>473</v>
      </c>
      <c r="K56" s="11" t="s">
        <v>337</v>
      </c>
      <c r="L56" s="9" t="s">
        <v>90</v>
      </c>
      <c r="M56" s="10" t="s">
        <v>91</v>
      </c>
      <c r="N56" s="22"/>
      <c r="O56" s="17"/>
      <c r="P56" s="17"/>
      <c r="Q56" s="18" t="s">
        <v>78</v>
      </c>
      <c r="R56" s="18" t="s">
        <v>79</v>
      </c>
      <c r="S56" s="18" t="s">
        <v>61</v>
      </c>
      <c r="T56" s="18" t="s">
        <v>62</v>
      </c>
      <c r="U56" s="19" t="s">
        <v>80</v>
      </c>
    </row>
    <row r="57" spans="1:21" ht="15.75" customHeight="1" x14ac:dyDescent="0.25">
      <c r="A57" s="27" t="s">
        <v>474</v>
      </c>
      <c r="B57" s="28" t="s">
        <v>475</v>
      </c>
      <c r="C57" s="29" t="s">
        <v>476</v>
      </c>
      <c r="D57" s="30" t="s">
        <v>477</v>
      </c>
      <c r="E57" s="29" t="s">
        <v>47</v>
      </c>
      <c r="F57" s="31">
        <v>357</v>
      </c>
      <c r="G57" s="20" t="s">
        <v>85</v>
      </c>
      <c r="H57" s="29" t="s">
        <v>129</v>
      </c>
      <c r="I57" s="32" t="s">
        <v>478</v>
      </c>
      <c r="J57" s="28" t="s">
        <v>479</v>
      </c>
      <c r="K57" s="29" t="s">
        <v>480</v>
      </c>
      <c r="L57" s="27" t="s">
        <v>481</v>
      </c>
      <c r="M57" s="28" t="s">
        <v>482</v>
      </c>
      <c r="N57" s="33" t="s">
        <v>75</v>
      </c>
      <c r="O57" s="34" t="s">
        <v>483</v>
      </c>
      <c r="P57" s="34" t="s">
        <v>484</v>
      </c>
      <c r="Q57" s="35" t="s">
        <v>78</v>
      </c>
      <c r="R57" s="35" t="s">
        <v>79</v>
      </c>
      <c r="S57" s="35" t="s">
        <v>61</v>
      </c>
      <c r="T57" s="35" t="s">
        <v>62</v>
      </c>
      <c r="U57" s="36" t="s">
        <v>80</v>
      </c>
    </row>
    <row r="58" spans="1:21" ht="15.75" customHeight="1" x14ac:dyDescent="0.25">
      <c r="A58" s="9" t="s">
        <v>485</v>
      </c>
      <c r="B58" s="10" t="s">
        <v>486</v>
      </c>
      <c r="C58" s="11" t="s">
        <v>487</v>
      </c>
      <c r="D58" s="12" t="s">
        <v>488</v>
      </c>
      <c r="E58" s="11" t="s">
        <v>47</v>
      </c>
      <c r="F58" s="13">
        <v>65</v>
      </c>
      <c r="G58" s="20" t="s">
        <v>119</v>
      </c>
      <c r="H58" s="11" t="s">
        <v>48</v>
      </c>
      <c r="I58" s="15" t="s">
        <v>489</v>
      </c>
      <c r="J58" s="10" t="s">
        <v>490</v>
      </c>
      <c r="K58" s="11" t="s">
        <v>491</v>
      </c>
      <c r="L58" s="9" t="s">
        <v>158</v>
      </c>
      <c r="M58" s="10" t="s">
        <v>159</v>
      </c>
      <c r="N58" s="16" t="s">
        <v>75</v>
      </c>
      <c r="O58" s="17" t="s">
        <v>492</v>
      </c>
      <c r="P58" s="17" t="s">
        <v>493</v>
      </c>
      <c r="Q58" s="18" t="s">
        <v>78</v>
      </c>
      <c r="R58" s="18" t="s">
        <v>79</v>
      </c>
      <c r="S58" s="18" t="s">
        <v>61</v>
      </c>
      <c r="T58" s="18" t="s">
        <v>62</v>
      </c>
      <c r="U58" s="19" t="s">
        <v>80</v>
      </c>
    </row>
    <row r="59" spans="1:21" ht="15.75" customHeight="1" x14ac:dyDescent="0.25">
      <c r="A59" s="27" t="s">
        <v>494</v>
      </c>
      <c r="B59" s="28" t="s">
        <v>495</v>
      </c>
      <c r="C59" s="29" t="s">
        <v>496</v>
      </c>
      <c r="D59" s="30" t="s">
        <v>497</v>
      </c>
      <c r="E59" s="29" t="s">
        <v>47</v>
      </c>
      <c r="F59" s="31">
        <v>40</v>
      </c>
      <c r="G59" s="20" t="s">
        <v>85</v>
      </c>
      <c r="H59" s="29" t="s">
        <v>69</v>
      </c>
      <c r="I59" s="32" t="s">
        <v>498</v>
      </c>
      <c r="J59" s="28" t="s">
        <v>499</v>
      </c>
      <c r="K59" s="29" t="s">
        <v>500</v>
      </c>
      <c r="L59" s="27" t="s">
        <v>90</v>
      </c>
      <c r="M59" s="28" t="s">
        <v>91</v>
      </c>
      <c r="N59" s="33" t="s">
        <v>75</v>
      </c>
      <c r="O59" s="34" t="s">
        <v>92</v>
      </c>
      <c r="P59" s="34" t="s">
        <v>93</v>
      </c>
      <c r="Q59" s="35" t="s">
        <v>78</v>
      </c>
      <c r="R59" s="35" t="s">
        <v>79</v>
      </c>
      <c r="S59" s="35" t="s">
        <v>61</v>
      </c>
      <c r="T59" s="35" t="s">
        <v>62</v>
      </c>
      <c r="U59" s="36" t="s">
        <v>80</v>
      </c>
    </row>
    <row r="60" spans="1:21" ht="15.75" customHeight="1" x14ac:dyDescent="0.25">
      <c r="A60" s="9" t="s">
        <v>501</v>
      </c>
      <c r="B60" s="10" t="s">
        <v>502</v>
      </c>
      <c r="C60" s="11" t="s">
        <v>503</v>
      </c>
      <c r="D60" s="12" t="s">
        <v>504</v>
      </c>
      <c r="E60" s="11" t="s">
        <v>47</v>
      </c>
      <c r="F60" s="13">
        <v>171</v>
      </c>
      <c r="G60" s="20" t="s">
        <v>119</v>
      </c>
      <c r="H60" s="11" t="s">
        <v>86</v>
      </c>
      <c r="I60" s="15" t="s">
        <v>505</v>
      </c>
      <c r="J60" s="10" t="s">
        <v>506</v>
      </c>
      <c r="K60" s="11" t="s">
        <v>507</v>
      </c>
      <c r="L60" s="9" t="s">
        <v>90</v>
      </c>
      <c r="M60" s="10" t="s">
        <v>91</v>
      </c>
      <c r="N60" s="16" t="s">
        <v>75</v>
      </c>
      <c r="O60" s="17" t="s">
        <v>508</v>
      </c>
      <c r="P60" s="17" t="s">
        <v>509</v>
      </c>
      <c r="Q60" s="18" t="s">
        <v>78</v>
      </c>
      <c r="R60" s="18" t="s">
        <v>79</v>
      </c>
      <c r="S60" s="18" t="s">
        <v>61</v>
      </c>
      <c r="T60" s="18" t="s">
        <v>62</v>
      </c>
      <c r="U60" s="19" t="s">
        <v>80</v>
      </c>
    </row>
    <row r="61" spans="1:21" ht="15.75" customHeight="1" x14ac:dyDescent="0.25">
      <c r="A61" s="27" t="s">
        <v>510</v>
      </c>
      <c r="B61" s="28" t="s">
        <v>511</v>
      </c>
      <c r="C61" s="29" t="s">
        <v>512</v>
      </c>
      <c r="D61" s="30" t="s">
        <v>513</v>
      </c>
      <c r="E61" s="29" t="s">
        <v>47</v>
      </c>
      <c r="F61" s="31">
        <v>135</v>
      </c>
      <c r="G61" s="20" t="s">
        <v>85</v>
      </c>
      <c r="H61" s="29" t="s">
        <v>330</v>
      </c>
      <c r="I61" s="32" t="s">
        <v>514</v>
      </c>
      <c r="J61" s="28" t="s">
        <v>515</v>
      </c>
      <c r="K61" s="29" t="s">
        <v>516</v>
      </c>
      <c r="L61" s="27" t="s">
        <v>158</v>
      </c>
      <c r="M61" s="28" t="s">
        <v>159</v>
      </c>
      <c r="N61" s="33" t="s">
        <v>75</v>
      </c>
      <c r="O61" s="34" t="s">
        <v>517</v>
      </c>
      <c r="P61" s="34" t="s">
        <v>518</v>
      </c>
      <c r="Q61" s="35" t="s">
        <v>78</v>
      </c>
      <c r="R61" s="35" t="s">
        <v>79</v>
      </c>
      <c r="S61" s="35" t="s">
        <v>61</v>
      </c>
      <c r="T61" s="35" t="s">
        <v>62</v>
      </c>
      <c r="U61" s="36" t="s">
        <v>80</v>
      </c>
    </row>
    <row r="62" spans="1:21" ht="15.75" customHeight="1" x14ac:dyDescent="0.25">
      <c r="A62" s="9" t="s">
        <v>519</v>
      </c>
      <c r="B62" s="10" t="s">
        <v>520</v>
      </c>
      <c r="C62" s="11" t="s">
        <v>521</v>
      </c>
      <c r="D62" s="21" t="s">
        <v>109</v>
      </c>
      <c r="E62" s="11" t="s">
        <v>47</v>
      </c>
      <c r="F62" s="13">
        <v>125</v>
      </c>
      <c r="G62" s="14" t="s">
        <v>119</v>
      </c>
      <c r="H62" s="11" t="s">
        <v>330</v>
      </c>
      <c r="I62" s="15" t="s">
        <v>522</v>
      </c>
      <c r="J62" s="10" t="s">
        <v>523</v>
      </c>
      <c r="K62" s="11" t="s">
        <v>524</v>
      </c>
      <c r="L62" s="9" t="s">
        <v>158</v>
      </c>
      <c r="M62" s="10" t="s">
        <v>159</v>
      </c>
      <c r="N62" s="22"/>
      <c r="O62" s="17"/>
      <c r="P62" s="17"/>
      <c r="Q62" s="18" t="s">
        <v>78</v>
      </c>
      <c r="R62" s="18" t="s">
        <v>79</v>
      </c>
      <c r="S62" s="18" t="s">
        <v>61</v>
      </c>
      <c r="T62" s="18" t="s">
        <v>62</v>
      </c>
      <c r="U62" s="19" t="s">
        <v>80</v>
      </c>
    </row>
    <row r="63" spans="1:21" ht="15.75" customHeight="1" x14ac:dyDescent="0.25">
      <c r="A63" s="27" t="s">
        <v>525</v>
      </c>
      <c r="B63" s="28" t="s">
        <v>526</v>
      </c>
      <c r="C63" s="29" t="s">
        <v>527</v>
      </c>
      <c r="D63" s="30" t="s">
        <v>528</v>
      </c>
      <c r="E63" s="29" t="s">
        <v>98</v>
      </c>
      <c r="F63" s="31">
        <v>2730</v>
      </c>
      <c r="G63" s="20" t="s">
        <v>85</v>
      </c>
      <c r="H63" s="29" t="s">
        <v>129</v>
      </c>
      <c r="I63" s="32" t="s">
        <v>529</v>
      </c>
      <c r="J63" s="28" t="s">
        <v>530</v>
      </c>
      <c r="K63" s="29"/>
      <c r="L63" s="27"/>
      <c r="M63" s="28"/>
      <c r="N63" s="33" t="s">
        <v>75</v>
      </c>
      <c r="O63" s="34" t="s">
        <v>180</v>
      </c>
      <c r="P63" s="34" t="s">
        <v>181</v>
      </c>
      <c r="Q63" s="35" t="s">
        <v>78</v>
      </c>
      <c r="R63" s="35" t="s">
        <v>79</v>
      </c>
      <c r="S63" s="35" t="s">
        <v>61</v>
      </c>
      <c r="T63" s="35" t="s">
        <v>62</v>
      </c>
      <c r="U63" s="36" t="s">
        <v>80</v>
      </c>
    </row>
    <row r="64" spans="1:21" ht="15.75" customHeight="1" x14ac:dyDescent="0.25">
      <c r="A64" s="9" t="s">
        <v>531</v>
      </c>
      <c r="B64" s="10" t="s">
        <v>532</v>
      </c>
      <c r="C64" s="11" t="s">
        <v>533</v>
      </c>
      <c r="D64" s="12" t="s">
        <v>534</v>
      </c>
      <c r="E64" s="11" t="s">
        <v>98</v>
      </c>
      <c r="F64" s="11" t="s">
        <v>99</v>
      </c>
      <c r="G64" s="20" t="s">
        <v>85</v>
      </c>
      <c r="H64" s="11" t="s">
        <v>120</v>
      </c>
      <c r="I64" s="15" t="s">
        <v>535</v>
      </c>
      <c r="J64" s="10" t="s">
        <v>536</v>
      </c>
      <c r="K64" s="11" t="s">
        <v>332</v>
      </c>
      <c r="L64" s="9" t="s">
        <v>197</v>
      </c>
      <c r="M64" s="10" t="s">
        <v>198</v>
      </c>
      <c r="N64" s="16" t="s">
        <v>75</v>
      </c>
      <c r="O64" s="17" t="s">
        <v>448</v>
      </c>
      <c r="P64" s="17" t="s">
        <v>449</v>
      </c>
      <c r="Q64" s="18" t="s">
        <v>78</v>
      </c>
      <c r="R64" s="18" t="s">
        <v>79</v>
      </c>
      <c r="S64" s="18" t="s">
        <v>61</v>
      </c>
      <c r="T64" s="18" t="s">
        <v>62</v>
      </c>
      <c r="U64" s="19" t="s">
        <v>80</v>
      </c>
    </row>
    <row r="65" spans="1:21" ht="15.75" customHeight="1" x14ac:dyDescent="0.25">
      <c r="A65" s="27" t="s">
        <v>537</v>
      </c>
      <c r="B65" s="28" t="s">
        <v>538</v>
      </c>
      <c r="C65" s="29" t="s">
        <v>539</v>
      </c>
      <c r="D65" s="30" t="s">
        <v>540</v>
      </c>
      <c r="E65" s="29" t="s">
        <v>47</v>
      </c>
      <c r="F65" s="31">
        <v>43</v>
      </c>
      <c r="G65" s="20" t="s">
        <v>85</v>
      </c>
      <c r="H65" s="29" t="s">
        <v>69</v>
      </c>
      <c r="I65" s="32" t="s">
        <v>541</v>
      </c>
      <c r="J65" s="28" t="s">
        <v>542</v>
      </c>
      <c r="K65" s="29" t="s">
        <v>543</v>
      </c>
      <c r="L65" s="27" t="s">
        <v>90</v>
      </c>
      <c r="M65" s="28" t="s">
        <v>91</v>
      </c>
      <c r="N65" s="33" t="s">
        <v>75</v>
      </c>
      <c r="O65" s="34" t="s">
        <v>544</v>
      </c>
      <c r="P65" s="34" t="s">
        <v>545</v>
      </c>
      <c r="Q65" s="35" t="s">
        <v>78</v>
      </c>
      <c r="R65" s="35" t="s">
        <v>79</v>
      </c>
      <c r="S65" s="35" t="s">
        <v>61</v>
      </c>
      <c r="T65" s="35" t="s">
        <v>62</v>
      </c>
      <c r="U65" s="36" t="s">
        <v>80</v>
      </c>
    </row>
    <row r="66" spans="1:21" ht="15.75" customHeight="1" x14ac:dyDescent="0.25">
      <c r="A66" s="9" t="s">
        <v>546</v>
      </c>
      <c r="B66" s="10" t="s">
        <v>547</v>
      </c>
      <c r="C66" s="11" t="s">
        <v>548</v>
      </c>
      <c r="D66" s="12" t="s">
        <v>549</v>
      </c>
      <c r="E66" s="11" t="s">
        <v>47</v>
      </c>
      <c r="F66" s="13">
        <v>211</v>
      </c>
      <c r="G66" s="20" t="s">
        <v>85</v>
      </c>
      <c r="H66" s="11" t="s">
        <v>129</v>
      </c>
      <c r="I66" s="15" t="s">
        <v>550</v>
      </c>
      <c r="J66" s="10" t="s">
        <v>551</v>
      </c>
      <c r="K66" s="11" t="s">
        <v>552</v>
      </c>
      <c r="L66" s="9" t="s">
        <v>90</v>
      </c>
      <c r="M66" s="10" t="s">
        <v>91</v>
      </c>
      <c r="N66" s="16" t="s">
        <v>75</v>
      </c>
      <c r="O66" s="17" t="s">
        <v>92</v>
      </c>
      <c r="P66" s="17" t="s">
        <v>93</v>
      </c>
      <c r="Q66" s="18" t="s">
        <v>78</v>
      </c>
      <c r="R66" s="18" t="s">
        <v>79</v>
      </c>
      <c r="S66" s="18" t="s">
        <v>61</v>
      </c>
      <c r="T66" s="18" t="s">
        <v>62</v>
      </c>
      <c r="U66" s="19" t="s">
        <v>80</v>
      </c>
    </row>
    <row r="67" spans="1:21" ht="15.75" customHeight="1" x14ac:dyDescent="0.25">
      <c r="A67" s="27" t="s">
        <v>553</v>
      </c>
      <c r="B67" s="28" t="s">
        <v>554</v>
      </c>
      <c r="C67" s="29" t="s">
        <v>555</v>
      </c>
      <c r="D67" s="37" t="s">
        <v>109</v>
      </c>
      <c r="E67" s="29" t="s">
        <v>98</v>
      </c>
      <c r="F67" s="29" t="s">
        <v>556</v>
      </c>
      <c r="G67" s="25" t="s">
        <v>110</v>
      </c>
      <c r="H67" s="29" t="s">
        <v>100</v>
      </c>
      <c r="I67" s="32" t="s">
        <v>557</v>
      </c>
      <c r="J67" s="28" t="s">
        <v>558</v>
      </c>
      <c r="K67" s="29" t="s">
        <v>559</v>
      </c>
      <c r="L67" s="27" t="s">
        <v>90</v>
      </c>
      <c r="M67" s="28" t="s">
        <v>91</v>
      </c>
      <c r="N67" s="38"/>
      <c r="O67" s="34"/>
      <c r="P67" s="34"/>
      <c r="Q67" s="35" t="s">
        <v>78</v>
      </c>
      <c r="R67" s="35" t="s">
        <v>79</v>
      </c>
      <c r="S67" s="35" t="s">
        <v>61</v>
      </c>
      <c r="T67" s="35" t="s">
        <v>62</v>
      </c>
      <c r="U67" s="36" t="s">
        <v>80</v>
      </c>
    </row>
    <row r="68" spans="1:21" ht="15.75" customHeight="1" x14ac:dyDescent="0.25">
      <c r="A68" s="9" t="s">
        <v>560</v>
      </c>
      <c r="B68" s="10" t="s">
        <v>561</v>
      </c>
      <c r="C68" s="11" t="s">
        <v>562</v>
      </c>
      <c r="D68" s="12" t="s">
        <v>563</v>
      </c>
      <c r="E68" s="11" t="s">
        <v>67</v>
      </c>
      <c r="F68" s="13">
        <v>-88.5</v>
      </c>
      <c r="G68" s="20" t="s">
        <v>85</v>
      </c>
      <c r="H68" s="11" t="s">
        <v>69</v>
      </c>
      <c r="I68" s="15" t="s">
        <v>564</v>
      </c>
      <c r="J68" s="10" t="s">
        <v>565</v>
      </c>
      <c r="K68" s="11" t="s">
        <v>566</v>
      </c>
      <c r="L68" s="9" t="s">
        <v>248</v>
      </c>
      <c r="M68" s="10" t="s">
        <v>249</v>
      </c>
      <c r="N68" s="16" t="s">
        <v>75</v>
      </c>
      <c r="O68" s="17" t="s">
        <v>567</v>
      </c>
      <c r="P68" s="17" t="s">
        <v>568</v>
      </c>
      <c r="Q68" s="18" t="s">
        <v>78</v>
      </c>
      <c r="R68" s="18" t="s">
        <v>79</v>
      </c>
      <c r="S68" s="18" t="s">
        <v>61</v>
      </c>
      <c r="T68" s="18" t="s">
        <v>62</v>
      </c>
      <c r="U68" s="19" t="s">
        <v>80</v>
      </c>
    </row>
    <row r="69" spans="1:21" ht="15.75" customHeight="1" x14ac:dyDescent="0.25">
      <c r="A69" s="27" t="s">
        <v>569</v>
      </c>
      <c r="B69" s="28" t="s">
        <v>570</v>
      </c>
      <c r="C69" s="29" t="s">
        <v>571</v>
      </c>
      <c r="D69" s="30" t="s">
        <v>572</v>
      </c>
      <c r="E69" s="29" t="s">
        <v>67</v>
      </c>
      <c r="F69" s="31">
        <v>-112</v>
      </c>
      <c r="G69" s="20" t="s">
        <v>119</v>
      </c>
      <c r="H69" s="29" t="s">
        <v>69</v>
      </c>
      <c r="I69" s="32" t="s">
        <v>573</v>
      </c>
      <c r="J69" s="28" t="s">
        <v>574</v>
      </c>
      <c r="K69" s="29"/>
      <c r="L69" s="27"/>
      <c r="M69" s="28"/>
      <c r="N69" s="33" t="s">
        <v>75</v>
      </c>
      <c r="O69" s="34" t="s">
        <v>575</v>
      </c>
      <c r="P69" s="34" t="s">
        <v>576</v>
      </c>
      <c r="Q69" s="35" t="s">
        <v>78</v>
      </c>
      <c r="R69" s="35" t="s">
        <v>79</v>
      </c>
      <c r="S69" s="35" t="s">
        <v>61</v>
      </c>
      <c r="T69" s="35" t="s">
        <v>62</v>
      </c>
      <c r="U69" s="36" t="s">
        <v>80</v>
      </c>
    </row>
    <row r="70" spans="1:21" ht="15.75" customHeight="1" x14ac:dyDescent="0.25">
      <c r="A70" s="9" t="s">
        <v>577</v>
      </c>
      <c r="B70" s="10" t="s">
        <v>578</v>
      </c>
      <c r="C70" s="11" t="s">
        <v>579</v>
      </c>
      <c r="D70" s="21" t="s">
        <v>109</v>
      </c>
      <c r="E70" s="11" t="s">
        <v>98</v>
      </c>
      <c r="F70" s="11" t="s">
        <v>580</v>
      </c>
      <c r="G70" s="25" t="s">
        <v>110</v>
      </c>
      <c r="H70" s="11" t="s">
        <v>100</v>
      </c>
      <c r="I70" s="15" t="s">
        <v>581</v>
      </c>
      <c r="J70" s="10" t="s">
        <v>582</v>
      </c>
      <c r="K70" s="11" t="s">
        <v>583</v>
      </c>
      <c r="L70" s="9" t="s">
        <v>90</v>
      </c>
      <c r="M70" s="10" t="s">
        <v>91</v>
      </c>
      <c r="N70" s="22"/>
      <c r="O70" s="17"/>
      <c r="P70" s="17"/>
      <c r="Q70" s="18" t="s">
        <v>78</v>
      </c>
      <c r="R70" s="18" t="s">
        <v>79</v>
      </c>
      <c r="S70" s="18" t="s">
        <v>61</v>
      </c>
      <c r="T70" s="18" t="s">
        <v>62</v>
      </c>
      <c r="U70" s="19" t="s">
        <v>80</v>
      </c>
    </row>
    <row r="71" spans="1:21" ht="15.75" customHeight="1" x14ac:dyDescent="0.25">
      <c r="A71" s="27" t="s">
        <v>584</v>
      </c>
      <c r="B71" s="28" t="s">
        <v>585</v>
      </c>
      <c r="C71" s="29" t="s">
        <v>586</v>
      </c>
      <c r="D71" s="30" t="s">
        <v>587</v>
      </c>
      <c r="E71" s="29" t="s">
        <v>98</v>
      </c>
      <c r="F71" s="31">
        <v>182</v>
      </c>
      <c r="G71" s="20" t="s">
        <v>85</v>
      </c>
      <c r="H71" s="29" t="s">
        <v>86</v>
      </c>
      <c r="I71" s="32" t="s">
        <v>588</v>
      </c>
      <c r="J71" s="28" t="s">
        <v>589</v>
      </c>
      <c r="K71" s="29" t="s">
        <v>590</v>
      </c>
      <c r="L71" s="27" t="s">
        <v>90</v>
      </c>
      <c r="M71" s="28" t="s">
        <v>91</v>
      </c>
      <c r="N71" s="33" t="s">
        <v>75</v>
      </c>
      <c r="O71" s="34" t="s">
        <v>591</v>
      </c>
      <c r="P71" s="34" t="s">
        <v>592</v>
      </c>
      <c r="Q71" s="35" t="s">
        <v>78</v>
      </c>
      <c r="R71" s="35" t="s">
        <v>79</v>
      </c>
      <c r="S71" s="35" t="s">
        <v>61</v>
      </c>
      <c r="T71" s="35" t="s">
        <v>62</v>
      </c>
      <c r="U71" s="36" t="s">
        <v>80</v>
      </c>
    </row>
    <row r="72" spans="1:21" ht="15.75" customHeight="1" x14ac:dyDescent="0.25">
      <c r="A72" s="9" t="s">
        <v>593</v>
      </c>
      <c r="B72" s="10" t="s">
        <v>594</v>
      </c>
      <c r="C72" s="11" t="s">
        <v>595</v>
      </c>
      <c r="D72" s="12" t="s">
        <v>596</v>
      </c>
      <c r="E72" s="11" t="s">
        <v>47</v>
      </c>
      <c r="F72" s="13">
        <v>238</v>
      </c>
      <c r="G72" s="20" t="s">
        <v>85</v>
      </c>
      <c r="H72" s="11" t="s">
        <v>129</v>
      </c>
      <c r="I72" s="15" t="s">
        <v>597</v>
      </c>
      <c r="J72" s="10" t="s">
        <v>598</v>
      </c>
      <c r="K72" s="11" t="s">
        <v>599</v>
      </c>
      <c r="L72" s="9" t="s">
        <v>90</v>
      </c>
      <c r="M72" s="10" t="s">
        <v>91</v>
      </c>
      <c r="N72" s="16" t="s">
        <v>75</v>
      </c>
      <c r="O72" s="17" t="s">
        <v>124</v>
      </c>
      <c r="P72" s="17" t="s">
        <v>125</v>
      </c>
      <c r="Q72" s="18" t="s">
        <v>78</v>
      </c>
      <c r="R72" s="18" t="s">
        <v>79</v>
      </c>
      <c r="S72" s="18" t="s">
        <v>61</v>
      </c>
      <c r="T72" s="18" t="s">
        <v>62</v>
      </c>
      <c r="U72" s="19" t="s">
        <v>80</v>
      </c>
    </row>
    <row r="73" spans="1:21" ht="15.75" customHeight="1" x14ac:dyDescent="0.25">
      <c r="A73" s="27" t="s">
        <v>600</v>
      </c>
      <c r="B73" s="28" t="s">
        <v>601</v>
      </c>
      <c r="C73" s="29" t="s">
        <v>602</v>
      </c>
      <c r="D73" s="30" t="s">
        <v>603</v>
      </c>
      <c r="E73" s="29" t="s">
        <v>98</v>
      </c>
      <c r="F73" s="31">
        <v>685</v>
      </c>
      <c r="G73" s="20" t="s">
        <v>119</v>
      </c>
      <c r="H73" s="29" t="s">
        <v>129</v>
      </c>
      <c r="I73" s="32" t="s">
        <v>604</v>
      </c>
      <c r="J73" s="28" t="s">
        <v>605</v>
      </c>
      <c r="K73" s="29" t="s">
        <v>606</v>
      </c>
      <c r="L73" s="27"/>
      <c r="M73" s="28"/>
      <c r="N73" s="39" t="s">
        <v>179</v>
      </c>
      <c r="O73" s="34" t="s">
        <v>355</v>
      </c>
      <c r="P73" s="34" t="s">
        <v>356</v>
      </c>
      <c r="Q73" s="35" t="s">
        <v>78</v>
      </c>
      <c r="R73" s="35" t="s">
        <v>79</v>
      </c>
      <c r="S73" s="35" t="s">
        <v>61</v>
      </c>
      <c r="T73" s="35" t="s">
        <v>62</v>
      </c>
      <c r="U73" s="36" t="s">
        <v>80</v>
      </c>
    </row>
    <row r="74" spans="1:21" ht="15.75" customHeight="1" x14ac:dyDescent="0.25">
      <c r="A74" s="9" t="s">
        <v>607</v>
      </c>
      <c r="B74" s="10" t="s">
        <v>608</v>
      </c>
      <c r="C74" s="11" t="s">
        <v>609</v>
      </c>
      <c r="D74" s="12" t="s">
        <v>610</v>
      </c>
      <c r="E74" s="11" t="s">
        <v>47</v>
      </c>
      <c r="F74" s="13">
        <v>145</v>
      </c>
      <c r="G74" s="20" t="s">
        <v>85</v>
      </c>
      <c r="H74" s="11" t="s">
        <v>330</v>
      </c>
      <c r="I74" s="15" t="s">
        <v>611</v>
      </c>
      <c r="J74" s="10" t="s">
        <v>612</v>
      </c>
      <c r="K74" s="11" t="s">
        <v>613</v>
      </c>
      <c r="L74" s="9" t="s">
        <v>158</v>
      </c>
      <c r="M74" s="10" t="s">
        <v>159</v>
      </c>
      <c r="N74" s="16" t="s">
        <v>75</v>
      </c>
      <c r="O74" s="17" t="s">
        <v>382</v>
      </c>
      <c r="P74" s="17" t="s">
        <v>383</v>
      </c>
      <c r="Q74" s="18" t="s">
        <v>78</v>
      </c>
      <c r="R74" s="18" t="s">
        <v>79</v>
      </c>
      <c r="S74" s="18" t="s">
        <v>61</v>
      </c>
      <c r="T74" s="18" t="s">
        <v>62</v>
      </c>
      <c r="U74" s="19" t="s">
        <v>80</v>
      </c>
    </row>
    <row r="75" spans="1:21" ht="15.75" customHeight="1" x14ac:dyDescent="0.25">
      <c r="A75" s="27" t="s">
        <v>614</v>
      </c>
      <c r="B75" s="28" t="s">
        <v>615</v>
      </c>
      <c r="C75" s="29" t="s">
        <v>616</v>
      </c>
      <c r="D75" s="30" t="s">
        <v>617</v>
      </c>
      <c r="E75" s="29" t="s">
        <v>67</v>
      </c>
      <c r="F75" s="31">
        <v>-10</v>
      </c>
      <c r="G75" s="20" t="s">
        <v>119</v>
      </c>
      <c r="H75" s="29" t="s">
        <v>421</v>
      </c>
      <c r="I75" s="32" t="s">
        <v>618</v>
      </c>
      <c r="J75" s="28" t="s">
        <v>619</v>
      </c>
      <c r="K75" s="29" t="s">
        <v>620</v>
      </c>
      <c r="L75" s="27" t="s">
        <v>140</v>
      </c>
      <c r="M75" s="28" t="s">
        <v>141</v>
      </c>
      <c r="N75" s="39" t="s">
        <v>179</v>
      </c>
      <c r="O75" s="34" t="s">
        <v>621</v>
      </c>
      <c r="P75" s="34" t="s">
        <v>622</v>
      </c>
      <c r="Q75" s="35" t="s">
        <v>78</v>
      </c>
      <c r="R75" s="35" t="s">
        <v>79</v>
      </c>
      <c r="S75" s="35" t="s">
        <v>61</v>
      </c>
      <c r="T75" s="35" t="s">
        <v>62</v>
      </c>
      <c r="U75" s="36" t="s">
        <v>80</v>
      </c>
    </row>
    <row r="76" spans="1:21" ht="15.75" customHeight="1" x14ac:dyDescent="0.25">
      <c r="A76" s="9" t="s">
        <v>623</v>
      </c>
      <c r="B76" s="10" t="s">
        <v>624</v>
      </c>
      <c r="C76" s="11" t="s">
        <v>625</v>
      </c>
      <c r="D76" s="21" t="s">
        <v>109</v>
      </c>
      <c r="E76" s="11" t="s">
        <v>98</v>
      </c>
      <c r="F76" s="13">
        <v>153</v>
      </c>
      <c r="G76" s="25" t="s">
        <v>110</v>
      </c>
      <c r="H76" s="11" t="s">
        <v>86</v>
      </c>
      <c r="I76" s="15" t="s">
        <v>626</v>
      </c>
      <c r="J76" s="10" t="s">
        <v>627</v>
      </c>
      <c r="K76" s="11" t="s">
        <v>628</v>
      </c>
      <c r="L76" s="9" t="s">
        <v>90</v>
      </c>
      <c r="M76" s="10" t="s">
        <v>91</v>
      </c>
      <c r="N76" s="22"/>
      <c r="O76" s="17"/>
      <c r="P76" s="17"/>
      <c r="Q76" s="18" t="s">
        <v>78</v>
      </c>
      <c r="R76" s="18" t="s">
        <v>79</v>
      </c>
      <c r="S76" s="18" t="s">
        <v>61</v>
      </c>
      <c r="T76" s="18" t="s">
        <v>62</v>
      </c>
      <c r="U76" s="19" t="s">
        <v>80</v>
      </c>
    </row>
    <row r="77" spans="1:21" ht="15.75" customHeight="1" x14ac:dyDescent="0.25">
      <c r="A77" s="27" t="s">
        <v>629</v>
      </c>
      <c r="B77" s="28" t="s">
        <v>630</v>
      </c>
      <c r="C77" s="29" t="s">
        <v>631</v>
      </c>
      <c r="D77" s="30" t="s">
        <v>632</v>
      </c>
      <c r="E77" s="29" t="s">
        <v>47</v>
      </c>
      <c r="F77" s="31">
        <v>121</v>
      </c>
      <c r="G77" s="20" t="s">
        <v>85</v>
      </c>
      <c r="H77" s="29" t="s">
        <v>330</v>
      </c>
      <c r="I77" s="32" t="s">
        <v>633</v>
      </c>
      <c r="J77" s="28" t="s">
        <v>634</v>
      </c>
      <c r="K77" s="29" t="s">
        <v>635</v>
      </c>
      <c r="L77" s="27" t="s">
        <v>90</v>
      </c>
      <c r="M77" s="28" t="s">
        <v>91</v>
      </c>
      <c r="N77" s="39" t="s">
        <v>179</v>
      </c>
      <c r="O77" s="34" t="s">
        <v>355</v>
      </c>
      <c r="P77" s="34" t="s">
        <v>356</v>
      </c>
      <c r="Q77" s="35" t="s">
        <v>78</v>
      </c>
      <c r="R77" s="35" t="s">
        <v>79</v>
      </c>
      <c r="S77" s="35" t="s">
        <v>61</v>
      </c>
      <c r="T77" s="35" t="s">
        <v>62</v>
      </c>
      <c r="U77" s="36" t="s">
        <v>80</v>
      </c>
    </row>
    <row r="78" spans="1:21" ht="15.75" customHeight="1" x14ac:dyDescent="0.25">
      <c r="A78" s="9" t="s">
        <v>636</v>
      </c>
      <c r="B78" s="10" t="s">
        <v>637</v>
      </c>
      <c r="C78" s="11" t="s">
        <v>638</v>
      </c>
      <c r="D78" s="12" t="s">
        <v>639</v>
      </c>
      <c r="E78" s="11"/>
      <c r="F78" s="13">
        <v>1457</v>
      </c>
      <c r="G78" s="20" t="s">
        <v>119</v>
      </c>
      <c r="H78" s="11" t="s">
        <v>129</v>
      </c>
      <c r="I78" s="15" t="s">
        <v>640</v>
      </c>
      <c r="J78" s="10" t="s">
        <v>641</v>
      </c>
      <c r="K78" s="11" t="s">
        <v>642</v>
      </c>
      <c r="L78" s="9" t="s">
        <v>90</v>
      </c>
      <c r="M78" s="10" t="s">
        <v>91</v>
      </c>
      <c r="N78" s="16" t="s">
        <v>75</v>
      </c>
      <c r="O78" s="17" t="s">
        <v>92</v>
      </c>
      <c r="P78" s="17" t="s">
        <v>93</v>
      </c>
      <c r="Q78" s="18" t="s">
        <v>78</v>
      </c>
      <c r="R78" s="18" t="s">
        <v>79</v>
      </c>
      <c r="S78" s="18" t="s">
        <v>61</v>
      </c>
      <c r="T78" s="18" t="s">
        <v>62</v>
      </c>
      <c r="U78" s="19" t="s">
        <v>80</v>
      </c>
    </row>
    <row r="79" spans="1:21" ht="15.75" customHeight="1" x14ac:dyDescent="0.25">
      <c r="A79" s="27" t="s">
        <v>643</v>
      </c>
      <c r="B79" s="28" t="s">
        <v>644</v>
      </c>
      <c r="C79" s="29" t="s">
        <v>645</v>
      </c>
      <c r="D79" s="30" t="s">
        <v>646</v>
      </c>
      <c r="E79" s="29" t="s">
        <v>47</v>
      </c>
      <c r="F79" s="31">
        <v>111</v>
      </c>
      <c r="G79" s="20" t="s">
        <v>85</v>
      </c>
      <c r="H79" s="29" t="s">
        <v>330</v>
      </c>
      <c r="I79" s="32" t="s">
        <v>647</v>
      </c>
      <c r="J79" s="28" t="s">
        <v>648</v>
      </c>
      <c r="K79" s="29" t="s">
        <v>649</v>
      </c>
      <c r="L79" s="27" t="s">
        <v>158</v>
      </c>
      <c r="M79" s="28" t="s">
        <v>159</v>
      </c>
      <c r="N79" s="33" t="s">
        <v>75</v>
      </c>
      <c r="O79" s="34" t="s">
        <v>650</v>
      </c>
      <c r="P79" s="34" t="s">
        <v>651</v>
      </c>
      <c r="Q79" s="35" t="s">
        <v>78</v>
      </c>
      <c r="R79" s="35" t="s">
        <v>79</v>
      </c>
      <c r="S79" s="35" t="s">
        <v>61</v>
      </c>
      <c r="T79" s="35" t="s">
        <v>62</v>
      </c>
      <c r="U79" s="36" t="s">
        <v>80</v>
      </c>
    </row>
    <row r="80" spans="1:21" ht="15.75" customHeight="1" x14ac:dyDescent="0.25">
      <c r="A80" s="9" t="s">
        <v>652</v>
      </c>
      <c r="B80" s="10" t="s">
        <v>653</v>
      </c>
      <c r="C80" s="11" t="s">
        <v>654</v>
      </c>
      <c r="D80" s="12" t="s">
        <v>655</v>
      </c>
      <c r="E80" s="11" t="s">
        <v>47</v>
      </c>
      <c r="F80" s="13">
        <v>74</v>
      </c>
      <c r="G80" s="20" t="s">
        <v>110</v>
      </c>
      <c r="H80" s="11" t="s">
        <v>48</v>
      </c>
      <c r="I80" s="15" t="s">
        <v>656</v>
      </c>
      <c r="J80" s="10" t="s">
        <v>657</v>
      </c>
      <c r="K80" s="11" t="s">
        <v>658</v>
      </c>
      <c r="L80" s="9" t="s">
        <v>90</v>
      </c>
      <c r="M80" s="10" t="s">
        <v>91</v>
      </c>
      <c r="N80" s="23" t="s">
        <v>179</v>
      </c>
      <c r="O80" s="17" t="s">
        <v>292</v>
      </c>
      <c r="P80" s="17" t="s">
        <v>293</v>
      </c>
      <c r="Q80" s="18" t="s">
        <v>78</v>
      </c>
      <c r="R80" s="18" t="s">
        <v>79</v>
      </c>
      <c r="S80" s="18" t="s">
        <v>61</v>
      </c>
      <c r="T80" s="18" t="s">
        <v>62</v>
      </c>
      <c r="U80" s="19" t="s">
        <v>80</v>
      </c>
    </row>
    <row r="81" spans="1:21" ht="15.75" customHeight="1" x14ac:dyDescent="0.25">
      <c r="A81" s="27" t="s">
        <v>659</v>
      </c>
      <c r="B81" s="28" t="s">
        <v>660</v>
      </c>
      <c r="C81" s="29" t="s">
        <v>661</v>
      </c>
      <c r="D81" s="30" t="s">
        <v>662</v>
      </c>
      <c r="E81" s="29" t="s">
        <v>47</v>
      </c>
      <c r="F81" s="31">
        <v>114</v>
      </c>
      <c r="G81" s="20" t="s">
        <v>119</v>
      </c>
      <c r="H81" s="29" t="s">
        <v>330</v>
      </c>
      <c r="I81" s="32" t="s">
        <v>663</v>
      </c>
      <c r="J81" s="28" t="s">
        <v>664</v>
      </c>
      <c r="K81" s="29" t="s">
        <v>507</v>
      </c>
      <c r="L81" s="27" t="s">
        <v>90</v>
      </c>
      <c r="M81" s="28" t="s">
        <v>91</v>
      </c>
      <c r="N81" s="33" t="s">
        <v>75</v>
      </c>
      <c r="O81" s="34" t="s">
        <v>92</v>
      </c>
      <c r="P81" s="34" t="s">
        <v>93</v>
      </c>
      <c r="Q81" s="35" t="s">
        <v>78</v>
      </c>
      <c r="R81" s="35" t="s">
        <v>79</v>
      </c>
      <c r="S81" s="35" t="s">
        <v>61</v>
      </c>
      <c r="T81" s="35" t="s">
        <v>62</v>
      </c>
      <c r="U81" s="36" t="s">
        <v>80</v>
      </c>
    </row>
    <row r="82" spans="1:21" ht="15.75" customHeight="1" x14ac:dyDescent="0.25">
      <c r="A82" s="9" t="s">
        <v>665</v>
      </c>
      <c r="B82" s="10" t="s">
        <v>666</v>
      </c>
      <c r="C82" s="11" t="s">
        <v>667</v>
      </c>
      <c r="D82" s="12" t="s">
        <v>668</v>
      </c>
      <c r="E82" s="11" t="s">
        <v>47</v>
      </c>
      <c r="F82" s="13">
        <v>87</v>
      </c>
      <c r="G82" s="20" t="s">
        <v>85</v>
      </c>
      <c r="H82" s="11" t="s">
        <v>48</v>
      </c>
      <c r="I82" s="15" t="s">
        <v>669</v>
      </c>
      <c r="J82" s="10" t="s">
        <v>670</v>
      </c>
      <c r="K82" s="11" t="s">
        <v>671</v>
      </c>
      <c r="L82" s="9" t="s">
        <v>90</v>
      </c>
      <c r="M82" s="10" t="s">
        <v>91</v>
      </c>
      <c r="N82" s="16" t="s">
        <v>75</v>
      </c>
      <c r="O82" s="17" t="s">
        <v>292</v>
      </c>
      <c r="P82" s="17" t="s">
        <v>293</v>
      </c>
      <c r="Q82" s="18" t="s">
        <v>78</v>
      </c>
      <c r="R82" s="18" t="s">
        <v>79</v>
      </c>
      <c r="S82" s="18" t="s">
        <v>61</v>
      </c>
      <c r="T82" s="18" t="s">
        <v>62</v>
      </c>
      <c r="U82" s="19" t="s">
        <v>80</v>
      </c>
    </row>
    <row r="83" spans="1:21" ht="15.75" customHeight="1" x14ac:dyDescent="0.25">
      <c r="A83" s="27" t="s">
        <v>672</v>
      </c>
      <c r="B83" s="28" t="s">
        <v>673</v>
      </c>
      <c r="C83" s="29" t="s">
        <v>674</v>
      </c>
      <c r="D83" s="30" t="s">
        <v>675</v>
      </c>
      <c r="E83" s="29" t="s">
        <v>67</v>
      </c>
      <c r="F83" s="31">
        <v>-13</v>
      </c>
      <c r="G83" s="20" t="s">
        <v>85</v>
      </c>
      <c r="H83" s="29" t="s">
        <v>69</v>
      </c>
      <c r="I83" s="32" t="s">
        <v>676</v>
      </c>
      <c r="J83" s="28" t="s">
        <v>677</v>
      </c>
      <c r="K83" s="29" t="s">
        <v>678</v>
      </c>
      <c r="L83" s="27" t="s">
        <v>73</v>
      </c>
      <c r="M83" s="28" t="s">
        <v>74</v>
      </c>
      <c r="N83" s="33" t="s">
        <v>75</v>
      </c>
      <c r="O83" s="34" t="s">
        <v>679</v>
      </c>
      <c r="P83" s="34" t="s">
        <v>680</v>
      </c>
      <c r="Q83" s="35" t="s">
        <v>78</v>
      </c>
      <c r="R83" s="35" t="s">
        <v>79</v>
      </c>
      <c r="S83" s="35" t="s">
        <v>61</v>
      </c>
      <c r="T83" s="35" t="s">
        <v>62</v>
      </c>
      <c r="U83" s="36" t="s">
        <v>80</v>
      </c>
    </row>
    <row r="84" spans="1:21" ht="15.75" customHeight="1" x14ac:dyDescent="0.25">
      <c r="A84" s="9" t="s">
        <v>681</v>
      </c>
      <c r="B84" s="10" t="s">
        <v>682</v>
      </c>
      <c r="C84" s="11" t="s">
        <v>683</v>
      </c>
      <c r="D84" s="12" t="s">
        <v>684</v>
      </c>
      <c r="E84" s="11" t="s">
        <v>47</v>
      </c>
      <c r="F84" s="13">
        <v>32</v>
      </c>
      <c r="G84" s="20" t="s">
        <v>119</v>
      </c>
      <c r="H84" s="11" t="s">
        <v>69</v>
      </c>
      <c r="I84" s="15" t="s">
        <v>685</v>
      </c>
      <c r="J84" s="10" t="s">
        <v>686</v>
      </c>
      <c r="K84" s="11" t="s">
        <v>687</v>
      </c>
      <c r="L84" s="9" t="s">
        <v>158</v>
      </c>
      <c r="M84" s="10" t="s">
        <v>159</v>
      </c>
      <c r="N84" s="16" t="s">
        <v>75</v>
      </c>
      <c r="O84" s="17" t="s">
        <v>492</v>
      </c>
      <c r="P84" s="17" t="s">
        <v>493</v>
      </c>
      <c r="Q84" s="18" t="s">
        <v>78</v>
      </c>
      <c r="R84" s="18" t="s">
        <v>79</v>
      </c>
      <c r="S84" s="18" t="s">
        <v>61</v>
      </c>
      <c r="T84" s="18" t="s">
        <v>62</v>
      </c>
      <c r="U84" s="19" t="s">
        <v>80</v>
      </c>
    </row>
    <row r="85" spans="1:21" ht="15.75" customHeight="1" x14ac:dyDescent="0.25">
      <c r="A85" s="27" t="s">
        <v>688</v>
      </c>
      <c r="B85" s="28" t="s">
        <v>689</v>
      </c>
      <c r="C85" s="29" t="s">
        <v>690</v>
      </c>
      <c r="D85" s="30" t="s">
        <v>691</v>
      </c>
      <c r="E85" s="29" t="s">
        <v>47</v>
      </c>
      <c r="F85" s="31">
        <v>144</v>
      </c>
      <c r="G85" s="20" t="s">
        <v>119</v>
      </c>
      <c r="H85" s="29" t="s">
        <v>330</v>
      </c>
      <c r="I85" s="32" t="s">
        <v>692</v>
      </c>
      <c r="J85" s="28" t="s">
        <v>693</v>
      </c>
      <c r="K85" s="29" t="s">
        <v>694</v>
      </c>
      <c r="L85" s="27" t="s">
        <v>158</v>
      </c>
      <c r="M85" s="28" t="s">
        <v>159</v>
      </c>
      <c r="N85" s="33" t="s">
        <v>75</v>
      </c>
      <c r="O85" s="34" t="s">
        <v>382</v>
      </c>
      <c r="P85" s="34" t="s">
        <v>383</v>
      </c>
      <c r="Q85" s="35" t="s">
        <v>78</v>
      </c>
      <c r="R85" s="35" t="s">
        <v>79</v>
      </c>
      <c r="S85" s="35" t="s">
        <v>61</v>
      </c>
      <c r="T85" s="35" t="s">
        <v>62</v>
      </c>
      <c r="U85" s="36" t="s">
        <v>80</v>
      </c>
    </row>
    <row r="86" spans="1:21" ht="15.75" customHeight="1" x14ac:dyDescent="0.25">
      <c r="A86" s="9" t="s">
        <v>695</v>
      </c>
      <c r="B86" s="10" t="s">
        <v>696</v>
      </c>
      <c r="C86" s="11" t="s">
        <v>697</v>
      </c>
      <c r="D86" s="12" t="s">
        <v>698</v>
      </c>
      <c r="E86" s="11" t="s">
        <v>47</v>
      </c>
      <c r="F86" s="13">
        <v>139</v>
      </c>
      <c r="G86" s="20" t="s">
        <v>119</v>
      </c>
      <c r="H86" s="11" t="s">
        <v>330</v>
      </c>
      <c r="I86" s="15" t="s">
        <v>699</v>
      </c>
      <c r="J86" s="10" t="s">
        <v>700</v>
      </c>
      <c r="K86" s="11" t="s">
        <v>694</v>
      </c>
      <c r="L86" s="9" t="s">
        <v>158</v>
      </c>
      <c r="M86" s="10" t="s">
        <v>159</v>
      </c>
      <c r="N86" s="16" t="s">
        <v>75</v>
      </c>
      <c r="O86" s="17" t="s">
        <v>206</v>
      </c>
      <c r="P86" s="17" t="s">
        <v>207</v>
      </c>
      <c r="Q86" s="18" t="s">
        <v>78</v>
      </c>
      <c r="R86" s="18" t="s">
        <v>79</v>
      </c>
      <c r="S86" s="18" t="s">
        <v>61</v>
      </c>
      <c r="T86" s="18" t="s">
        <v>62</v>
      </c>
      <c r="U86" s="19" t="s">
        <v>80</v>
      </c>
    </row>
    <row r="87" spans="1:21" ht="15.75" customHeight="1" x14ac:dyDescent="0.25">
      <c r="A87" s="27" t="s">
        <v>701</v>
      </c>
      <c r="B87" s="28" t="s">
        <v>702</v>
      </c>
      <c r="C87" s="29" t="s">
        <v>703</v>
      </c>
      <c r="D87" s="30" t="s">
        <v>704</v>
      </c>
      <c r="E87" s="29" t="s">
        <v>47</v>
      </c>
      <c r="F87" s="31">
        <v>138</v>
      </c>
      <c r="G87" s="20" t="s">
        <v>119</v>
      </c>
      <c r="H87" s="29" t="s">
        <v>330</v>
      </c>
      <c r="I87" s="32" t="s">
        <v>705</v>
      </c>
      <c r="J87" s="28" t="s">
        <v>706</v>
      </c>
      <c r="K87" s="29" t="s">
        <v>694</v>
      </c>
      <c r="L87" s="27" t="s">
        <v>158</v>
      </c>
      <c r="M87" s="28" t="s">
        <v>159</v>
      </c>
      <c r="N87" s="33" t="s">
        <v>75</v>
      </c>
      <c r="O87" s="34" t="s">
        <v>382</v>
      </c>
      <c r="P87" s="34" t="s">
        <v>383</v>
      </c>
      <c r="Q87" s="35" t="s">
        <v>78</v>
      </c>
      <c r="R87" s="35" t="s">
        <v>79</v>
      </c>
      <c r="S87" s="35" t="s">
        <v>61</v>
      </c>
      <c r="T87" s="35" t="s">
        <v>62</v>
      </c>
      <c r="U87" s="36" t="s">
        <v>80</v>
      </c>
    </row>
    <row r="88" spans="1:21" ht="15.75" customHeight="1" x14ac:dyDescent="0.25">
      <c r="A88" s="9" t="s">
        <v>707</v>
      </c>
      <c r="B88" s="10" t="s">
        <v>4</v>
      </c>
      <c r="C88" s="11" t="s">
        <v>45</v>
      </c>
      <c r="D88" s="12" t="s">
        <v>46</v>
      </c>
      <c r="E88" s="11" t="s">
        <v>47</v>
      </c>
      <c r="F88" s="13">
        <v>56</v>
      </c>
      <c r="G88" s="14" t="s">
        <v>708</v>
      </c>
      <c r="H88" s="11" t="s">
        <v>48</v>
      </c>
      <c r="I88" s="15" t="s">
        <v>709</v>
      </c>
      <c r="J88" s="10" t="s">
        <v>710</v>
      </c>
      <c r="K88" s="11" t="s">
        <v>711</v>
      </c>
      <c r="L88" s="9" t="s">
        <v>158</v>
      </c>
      <c r="M88" s="10" t="s">
        <v>159</v>
      </c>
      <c r="N88" s="16" t="s">
        <v>75</v>
      </c>
      <c r="O88" s="17" t="s">
        <v>712</v>
      </c>
      <c r="P88" s="17" t="s">
        <v>713</v>
      </c>
      <c r="Q88" s="18" t="s">
        <v>78</v>
      </c>
      <c r="R88" s="18" t="s">
        <v>79</v>
      </c>
      <c r="S88" s="18" t="s">
        <v>61</v>
      </c>
      <c r="T88" s="18" t="s">
        <v>62</v>
      </c>
      <c r="U88" s="19" t="s">
        <v>80</v>
      </c>
    </row>
    <row r="89" spans="1:21" ht="15.75" customHeight="1" x14ac:dyDescent="0.25">
      <c r="A89" s="27" t="s">
        <v>714</v>
      </c>
      <c r="B89" s="28" t="s">
        <v>715</v>
      </c>
      <c r="C89" s="29" t="s">
        <v>716</v>
      </c>
      <c r="D89" s="30" t="s">
        <v>717</v>
      </c>
      <c r="E89" s="29" t="s">
        <v>47</v>
      </c>
      <c r="F89" s="31">
        <v>82</v>
      </c>
      <c r="G89" s="20" t="s">
        <v>119</v>
      </c>
      <c r="H89" s="29" t="s">
        <v>48</v>
      </c>
      <c r="I89" s="32" t="s">
        <v>718</v>
      </c>
      <c r="J89" s="28" t="s">
        <v>719</v>
      </c>
      <c r="K89" s="29" t="s">
        <v>720</v>
      </c>
      <c r="L89" s="27" t="s">
        <v>158</v>
      </c>
      <c r="M89" s="28" t="s">
        <v>159</v>
      </c>
      <c r="N89" s="33" t="s">
        <v>75</v>
      </c>
      <c r="O89" s="34" t="s">
        <v>492</v>
      </c>
      <c r="P89" s="34" t="s">
        <v>493</v>
      </c>
      <c r="Q89" s="35" t="s">
        <v>78</v>
      </c>
      <c r="R89" s="35" t="s">
        <v>79</v>
      </c>
      <c r="S89" s="35" t="s">
        <v>61</v>
      </c>
      <c r="T89" s="35" t="s">
        <v>62</v>
      </c>
      <c r="U89" s="36" t="s">
        <v>80</v>
      </c>
    </row>
    <row r="90" spans="1:21" ht="15.75" customHeight="1" x14ac:dyDescent="0.25">
      <c r="A90" s="9" t="s">
        <v>721</v>
      </c>
      <c r="B90" s="10" t="s">
        <v>722</v>
      </c>
      <c r="C90" s="11" t="s">
        <v>723</v>
      </c>
      <c r="D90" s="21" t="s">
        <v>109</v>
      </c>
      <c r="E90" s="11" t="s">
        <v>67</v>
      </c>
      <c r="F90" s="11" t="s">
        <v>724</v>
      </c>
      <c r="G90" s="14" t="s">
        <v>119</v>
      </c>
      <c r="H90" s="11" t="s">
        <v>421</v>
      </c>
      <c r="I90" s="15" t="s">
        <v>725</v>
      </c>
      <c r="J90" s="10" t="s">
        <v>726</v>
      </c>
      <c r="K90" s="11" t="s">
        <v>727</v>
      </c>
      <c r="L90" s="9" t="s">
        <v>73</v>
      </c>
      <c r="M90" s="10" t="s">
        <v>74</v>
      </c>
      <c r="N90" s="22"/>
      <c r="O90" s="17"/>
      <c r="P90" s="17"/>
      <c r="Q90" s="18" t="s">
        <v>78</v>
      </c>
      <c r="R90" s="18" t="s">
        <v>79</v>
      </c>
      <c r="S90" s="18" t="s">
        <v>61</v>
      </c>
      <c r="T90" s="18" t="s">
        <v>62</v>
      </c>
      <c r="U90" s="19" t="s">
        <v>80</v>
      </c>
    </row>
    <row r="91" spans="1:21" ht="15.75" customHeight="1" x14ac:dyDescent="0.25">
      <c r="A91" s="27" t="s">
        <v>728</v>
      </c>
      <c r="B91" s="28" t="s">
        <v>729</v>
      </c>
      <c r="C91" s="29" t="s">
        <v>730</v>
      </c>
      <c r="D91" s="30" t="s">
        <v>731</v>
      </c>
      <c r="E91" s="29" t="s">
        <v>47</v>
      </c>
      <c r="F91" s="31">
        <v>53</v>
      </c>
      <c r="G91" s="20" t="s">
        <v>85</v>
      </c>
      <c r="H91" s="29" t="s">
        <v>48</v>
      </c>
      <c r="I91" s="32" t="s">
        <v>732</v>
      </c>
      <c r="J91" s="28" t="s">
        <v>733</v>
      </c>
      <c r="K91" s="29" t="s">
        <v>734</v>
      </c>
      <c r="L91" s="27" t="s">
        <v>90</v>
      </c>
      <c r="M91" s="28" t="s">
        <v>91</v>
      </c>
      <c r="N91" s="33" t="s">
        <v>75</v>
      </c>
      <c r="O91" s="34" t="s">
        <v>735</v>
      </c>
      <c r="P91" s="34" t="s">
        <v>736</v>
      </c>
      <c r="Q91" s="35" t="s">
        <v>78</v>
      </c>
      <c r="R91" s="35" t="s">
        <v>79</v>
      </c>
      <c r="S91" s="35" t="s">
        <v>61</v>
      </c>
      <c r="T91" s="35" t="s">
        <v>62</v>
      </c>
      <c r="U91" s="36" t="s">
        <v>80</v>
      </c>
    </row>
    <row r="92" spans="1:21" ht="15.75" customHeight="1" x14ac:dyDescent="0.25">
      <c r="A92" s="9" t="s">
        <v>737</v>
      </c>
      <c r="B92" s="10" t="s">
        <v>738</v>
      </c>
      <c r="C92" s="11" t="s">
        <v>739</v>
      </c>
      <c r="D92" s="12" t="s">
        <v>740</v>
      </c>
      <c r="E92" s="11" t="s">
        <v>98</v>
      </c>
      <c r="F92" s="11" t="s">
        <v>741</v>
      </c>
      <c r="G92" s="20" t="s">
        <v>85</v>
      </c>
      <c r="H92" s="11" t="s">
        <v>100</v>
      </c>
      <c r="I92" s="15" t="s">
        <v>742</v>
      </c>
      <c r="J92" s="10" t="s">
        <v>743</v>
      </c>
      <c r="K92" s="11" t="s">
        <v>744</v>
      </c>
      <c r="L92" s="9" t="s">
        <v>90</v>
      </c>
      <c r="M92" s="10" t="s">
        <v>91</v>
      </c>
      <c r="N92" s="16" t="s">
        <v>75</v>
      </c>
      <c r="O92" s="17" t="s">
        <v>92</v>
      </c>
      <c r="P92" s="17" t="s">
        <v>93</v>
      </c>
      <c r="Q92" s="18" t="s">
        <v>78</v>
      </c>
      <c r="R92" s="18" t="s">
        <v>79</v>
      </c>
      <c r="S92" s="18" t="s">
        <v>61</v>
      </c>
      <c r="T92" s="18" t="s">
        <v>62</v>
      </c>
      <c r="U92" s="19" t="s">
        <v>80</v>
      </c>
    </row>
    <row r="93" spans="1:21" ht="15.75" customHeight="1" x14ac:dyDescent="0.25">
      <c r="A93" s="27" t="s">
        <v>745</v>
      </c>
      <c r="B93" s="28" t="s">
        <v>746</v>
      </c>
      <c r="C93" s="29" t="s">
        <v>747</v>
      </c>
      <c r="D93" s="37" t="s">
        <v>109</v>
      </c>
      <c r="E93" s="29" t="s">
        <v>47</v>
      </c>
      <c r="F93" s="31">
        <v>77</v>
      </c>
      <c r="G93" s="14" t="s">
        <v>119</v>
      </c>
      <c r="H93" s="29" t="s">
        <v>48</v>
      </c>
      <c r="I93" s="32" t="s">
        <v>748</v>
      </c>
      <c r="J93" s="28" t="s">
        <v>749</v>
      </c>
      <c r="K93" s="29" t="s">
        <v>750</v>
      </c>
      <c r="L93" s="27" t="s">
        <v>158</v>
      </c>
      <c r="M93" s="28" t="s">
        <v>159</v>
      </c>
      <c r="N93" s="38"/>
      <c r="O93" s="34"/>
      <c r="P93" s="34"/>
      <c r="Q93" s="35" t="s">
        <v>78</v>
      </c>
      <c r="R93" s="35" t="s">
        <v>79</v>
      </c>
      <c r="S93" s="35" t="s">
        <v>61</v>
      </c>
      <c r="T93" s="35" t="s">
        <v>62</v>
      </c>
      <c r="U93" s="36" t="s">
        <v>80</v>
      </c>
    </row>
    <row r="94" spans="1:21" ht="15.75" customHeight="1" x14ac:dyDescent="0.25">
      <c r="A94" s="9" t="s">
        <v>751</v>
      </c>
      <c r="B94" s="10" t="s">
        <v>752</v>
      </c>
      <c r="C94" s="11" t="s">
        <v>753</v>
      </c>
      <c r="D94" s="21" t="s">
        <v>109</v>
      </c>
      <c r="E94" s="11" t="s">
        <v>98</v>
      </c>
      <c r="F94" s="13">
        <v>272</v>
      </c>
      <c r="G94" s="24" t="s">
        <v>85</v>
      </c>
      <c r="H94" s="11" t="s">
        <v>129</v>
      </c>
      <c r="I94" s="15" t="s">
        <v>754</v>
      </c>
      <c r="J94" s="10" t="s">
        <v>755</v>
      </c>
      <c r="K94" s="11"/>
      <c r="L94" s="9"/>
      <c r="M94" s="10"/>
      <c r="N94" s="22"/>
      <c r="O94" s="17"/>
      <c r="P94" s="17"/>
      <c r="Q94" s="18" t="s">
        <v>78</v>
      </c>
      <c r="R94" s="18" t="s">
        <v>79</v>
      </c>
      <c r="S94" s="18" t="s">
        <v>61</v>
      </c>
      <c r="T94" s="18" t="s">
        <v>62</v>
      </c>
      <c r="U94" s="19" t="s">
        <v>80</v>
      </c>
    </row>
    <row r="95" spans="1:21" ht="15.75" customHeight="1" x14ac:dyDescent="0.25">
      <c r="A95" s="27" t="s">
        <v>756</v>
      </c>
      <c r="B95" s="28" t="s">
        <v>757</v>
      </c>
      <c r="C95" s="29" t="s">
        <v>758</v>
      </c>
      <c r="D95" s="30" t="s">
        <v>759</v>
      </c>
      <c r="E95" s="29" t="s">
        <v>98</v>
      </c>
      <c r="F95" s="29" t="s">
        <v>99</v>
      </c>
      <c r="G95" s="20" t="s">
        <v>119</v>
      </c>
      <c r="H95" s="29" t="s">
        <v>100</v>
      </c>
      <c r="I95" s="32" t="s">
        <v>760</v>
      </c>
      <c r="J95" s="28" t="s">
        <v>761</v>
      </c>
      <c r="K95" s="29" t="s">
        <v>762</v>
      </c>
      <c r="L95" s="27" t="s">
        <v>90</v>
      </c>
      <c r="M95" s="28" t="s">
        <v>91</v>
      </c>
      <c r="N95" s="33" t="s">
        <v>75</v>
      </c>
      <c r="O95" s="34" t="s">
        <v>124</v>
      </c>
      <c r="P95" s="34" t="s">
        <v>125</v>
      </c>
      <c r="Q95" s="35" t="s">
        <v>78</v>
      </c>
      <c r="R95" s="35" t="s">
        <v>79</v>
      </c>
      <c r="S95" s="35" t="s">
        <v>61</v>
      </c>
      <c r="T95" s="35" t="s">
        <v>62</v>
      </c>
      <c r="U95" s="36" t="s">
        <v>80</v>
      </c>
    </row>
    <row r="96" spans="1:21" ht="15.75" customHeight="1" x14ac:dyDescent="0.25">
      <c r="A96" s="9" t="s">
        <v>763</v>
      </c>
      <c r="B96" s="10" t="s">
        <v>764</v>
      </c>
      <c r="C96" s="11" t="s">
        <v>765</v>
      </c>
      <c r="D96" s="12" t="s">
        <v>766</v>
      </c>
      <c r="E96" s="11" t="s">
        <v>47</v>
      </c>
      <c r="F96" s="13">
        <v>97</v>
      </c>
      <c r="G96" s="20" t="s">
        <v>119</v>
      </c>
      <c r="H96" s="11" t="s">
        <v>48</v>
      </c>
      <c r="I96" s="15" t="s">
        <v>767</v>
      </c>
      <c r="J96" s="10" t="s">
        <v>768</v>
      </c>
      <c r="K96" s="11" t="s">
        <v>769</v>
      </c>
      <c r="L96" s="9" t="s">
        <v>90</v>
      </c>
      <c r="M96" s="10" t="s">
        <v>91</v>
      </c>
      <c r="N96" s="16" t="s">
        <v>75</v>
      </c>
      <c r="O96" s="17" t="s">
        <v>770</v>
      </c>
      <c r="P96" s="17" t="s">
        <v>771</v>
      </c>
      <c r="Q96" s="18" t="s">
        <v>78</v>
      </c>
      <c r="R96" s="18" t="s">
        <v>79</v>
      </c>
      <c r="S96" s="18" t="s">
        <v>61</v>
      </c>
      <c r="T96" s="18" t="s">
        <v>62</v>
      </c>
      <c r="U96" s="19" t="s">
        <v>80</v>
      </c>
    </row>
    <row r="97" spans="1:21" ht="15.75" customHeight="1" x14ac:dyDescent="0.25">
      <c r="A97" s="27" t="s">
        <v>772</v>
      </c>
      <c r="B97" s="28" t="s">
        <v>773</v>
      </c>
      <c r="C97" s="29" t="s">
        <v>774</v>
      </c>
      <c r="D97" s="30" t="s">
        <v>775</v>
      </c>
      <c r="E97" s="29" t="s">
        <v>47</v>
      </c>
      <c r="F97" s="31">
        <v>154</v>
      </c>
      <c r="G97" s="20" t="s">
        <v>85</v>
      </c>
      <c r="H97" s="29" t="s">
        <v>86</v>
      </c>
      <c r="I97" s="32" t="s">
        <v>776</v>
      </c>
      <c r="J97" s="28" t="s">
        <v>777</v>
      </c>
      <c r="K97" s="29" t="s">
        <v>778</v>
      </c>
      <c r="L97" s="27" t="s">
        <v>158</v>
      </c>
      <c r="M97" s="28" t="s">
        <v>159</v>
      </c>
      <c r="N97" s="33" t="s">
        <v>75</v>
      </c>
      <c r="O97" s="34" t="s">
        <v>779</v>
      </c>
      <c r="P97" s="34" t="s">
        <v>780</v>
      </c>
      <c r="Q97" s="35" t="s">
        <v>78</v>
      </c>
      <c r="R97" s="35" t="s">
        <v>79</v>
      </c>
      <c r="S97" s="35" t="s">
        <v>61</v>
      </c>
      <c r="T97" s="35" t="s">
        <v>62</v>
      </c>
      <c r="U97" s="36" t="s">
        <v>80</v>
      </c>
    </row>
    <row r="98" spans="1:21" ht="15.75" customHeight="1" x14ac:dyDescent="0.25">
      <c r="A98" s="9" t="s">
        <v>781</v>
      </c>
      <c r="B98" s="10" t="s">
        <v>782</v>
      </c>
      <c r="C98" s="11" t="s">
        <v>783</v>
      </c>
      <c r="D98" s="12" t="s">
        <v>784</v>
      </c>
      <c r="E98" s="11" t="s">
        <v>98</v>
      </c>
      <c r="F98" s="11"/>
      <c r="G98" s="20" t="s">
        <v>119</v>
      </c>
      <c r="H98" s="11" t="s">
        <v>100</v>
      </c>
      <c r="I98" s="15" t="s">
        <v>785</v>
      </c>
      <c r="J98" s="10" t="s">
        <v>786</v>
      </c>
      <c r="K98" s="11" t="s">
        <v>762</v>
      </c>
      <c r="L98" s="9" t="s">
        <v>90</v>
      </c>
      <c r="M98" s="10" t="s">
        <v>91</v>
      </c>
      <c r="N98" s="16" t="s">
        <v>75</v>
      </c>
      <c r="O98" s="17" t="s">
        <v>124</v>
      </c>
      <c r="P98" s="17" t="s">
        <v>125</v>
      </c>
      <c r="Q98" s="18" t="s">
        <v>78</v>
      </c>
      <c r="R98" s="18" t="s">
        <v>79</v>
      </c>
      <c r="S98" s="18" t="s">
        <v>61</v>
      </c>
      <c r="T98" s="18" t="s">
        <v>62</v>
      </c>
      <c r="U98" s="19" t="s">
        <v>80</v>
      </c>
    </row>
    <row r="99" spans="1:21" ht="15.75" customHeight="1" x14ac:dyDescent="0.25">
      <c r="A99" s="27" t="s">
        <v>787</v>
      </c>
      <c r="B99" s="28" t="s">
        <v>788</v>
      </c>
      <c r="C99" s="29" t="s">
        <v>789</v>
      </c>
      <c r="D99" s="30" t="s">
        <v>790</v>
      </c>
      <c r="E99" s="29" t="s">
        <v>98</v>
      </c>
      <c r="F99" s="29"/>
      <c r="G99" s="20" t="s">
        <v>119</v>
      </c>
      <c r="H99" s="29" t="s">
        <v>100</v>
      </c>
      <c r="I99" s="32" t="s">
        <v>791</v>
      </c>
      <c r="J99" s="28" t="s">
        <v>792</v>
      </c>
      <c r="K99" s="29"/>
      <c r="L99" s="27"/>
      <c r="M99" s="28"/>
      <c r="N99" s="33" t="s">
        <v>75</v>
      </c>
      <c r="O99" s="34" t="s">
        <v>292</v>
      </c>
      <c r="P99" s="34" t="s">
        <v>293</v>
      </c>
      <c r="Q99" s="35" t="s">
        <v>78</v>
      </c>
      <c r="R99" s="35" t="s">
        <v>79</v>
      </c>
      <c r="S99" s="35" t="s">
        <v>61</v>
      </c>
      <c r="T99" s="35" t="s">
        <v>62</v>
      </c>
      <c r="U99" s="36" t="s">
        <v>80</v>
      </c>
    </row>
    <row r="100" spans="1:21" ht="15.75" customHeight="1" x14ac:dyDescent="0.25">
      <c r="A100" s="9" t="s">
        <v>793</v>
      </c>
      <c r="B100" s="10" t="s">
        <v>794</v>
      </c>
      <c r="C100" s="11" t="s">
        <v>795</v>
      </c>
      <c r="D100" s="12" t="s">
        <v>796</v>
      </c>
      <c r="E100" s="11" t="s">
        <v>98</v>
      </c>
      <c r="F100" s="13">
        <v>173</v>
      </c>
      <c r="G100" s="20" t="s">
        <v>119</v>
      </c>
      <c r="H100" s="11" t="s">
        <v>86</v>
      </c>
      <c r="I100" s="15" t="s">
        <v>797</v>
      </c>
      <c r="J100" s="10" t="s">
        <v>798</v>
      </c>
      <c r="K100" s="11"/>
      <c r="L100" s="9"/>
      <c r="M100" s="10"/>
      <c r="N100" s="23" t="s">
        <v>179</v>
      </c>
      <c r="O100" s="17" t="s">
        <v>292</v>
      </c>
      <c r="P100" s="17" t="s">
        <v>293</v>
      </c>
      <c r="Q100" s="18" t="s">
        <v>78</v>
      </c>
      <c r="R100" s="18" t="s">
        <v>79</v>
      </c>
      <c r="S100" s="18" t="s">
        <v>61</v>
      </c>
      <c r="T100" s="18" t="s">
        <v>62</v>
      </c>
      <c r="U100" s="19" t="s">
        <v>80</v>
      </c>
    </row>
    <row r="101" spans="1:21" ht="15.75" customHeight="1" x14ac:dyDescent="0.25">
      <c r="A101" s="27" t="s">
        <v>799</v>
      </c>
      <c r="B101" s="28" t="s">
        <v>800</v>
      </c>
      <c r="C101" s="29" t="s">
        <v>801</v>
      </c>
      <c r="D101" s="37" t="s">
        <v>109</v>
      </c>
      <c r="E101" s="29" t="s">
        <v>47</v>
      </c>
      <c r="F101" s="31">
        <v>56</v>
      </c>
      <c r="G101" s="25" t="s">
        <v>110</v>
      </c>
      <c r="H101" s="29" t="s">
        <v>48</v>
      </c>
      <c r="I101" s="32" t="s">
        <v>802</v>
      </c>
      <c r="J101" s="28" t="s">
        <v>803</v>
      </c>
      <c r="K101" s="29" t="s">
        <v>804</v>
      </c>
      <c r="L101" s="27" t="s">
        <v>90</v>
      </c>
      <c r="M101" s="28" t="s">
        <v>91</v>
      </c>
      <c r="N101" s="38"/>
      <c r="O101" s="34"/>
      <c r="P101" s="34"/>
      <c r="Q101" s="35" t="s">
        <v>78</v>
      </c>
      <c r="R101" s="35" t="s">
        <v>79</v>
      </c>
      <c r="S101" s="35" t="s">
        <v>61</v>
      </c>
      <c r="T101" s="35" t="s">
        <v>62</v>
      </c>
      <c r="U101" s="36" t="s">
        <v>80</v>
      </c>
    </row>
    <row r="102" spans="1:21" ht="15.75" customHeight="1" x14ac:dyDescent="0.25">
      <c r="A102" s="9" t="s">
        <v>805</v>
      </c>
      <c r="B102" s="10" t="s">
        <v>806</v>
      </c>
      <c r="C102" s="11" t="s">
        <v>807</v>
      </c>
      <c r="D102" s="21" t="s">
        <v>109</v>
      </c>
      <c r="E102" s="11" t="s">
        <v>47</v>
      </c>
      <c r="F102" s="13">
        <v>205</v>
      </c>
      <c r="G102" s="25" t="s">
        <v>110</v>
      </c>
      <c r="H102" s="11" t="s">
        <v>129</v>
      </c>
      <c r="I102" s="15" t="s">
        <v>808</v>
      </c>
      <c r="J102" s="10" t="s">
        <v>809</v>
      </c>
      <c r="K102" s="11" t="s">
        <v>810</v>
      </c>
      <c r="L102" s="9" t="s">
        <v>90</v>
      </c>
      <c r="M102" s="10" t="s">
        <v>91</v>
      </c>
      <c r="N102" s="22"/>
      <c r="O102" s="17"/>
      <c r="P102" s="17"/>
      <c r="Q102" s="18" t="s">
        <v>78</v>
      </c>
      <c r="R102" s="18" t="s">
        <v>79</v>
      </c>
      <c r="S102" s="18" t="s">
        <v>61</v>
      </c>
      <c r="T102" s="18" t="s">
        <v>62</v>
      </c>
      <c r="U102" s="19" t="s">
        <v>80</v>
      </c>
    </row>
    <row r="103" spans="1:21" ht="15.75" customHeight="1" x14ac:dyDescent="0.25">
      <c r="A103" s="27" t="s">
        <v>811</v>
      </c>
      <c r="B103" s="28" t="s">
        <v>812</v>
      </c>
      <c r="C103" s="29" t="s">
        <v>813</v>
      </c>
      <c r="D103" s="30" t="s">
        <v>814</v>
      </c>
      <c r="E103" s="29" t="s">
        <v>47</v>
      </c>
      <c r="F103" s="31">
        <v>179</v>
      </c>
      <c r="G103" s="14" t="s">
        <v>119</v>
      </c>
      <c r="H103" s="29" t="s">
        <v>86</v>
      </c>
      <c r="I103" s="32" t="s">
        <v>815</v>
      </c>
      <c r="J103" s="28" t="s">
        <v>816</v>
      </c>
      <c r="K103" s="29" t="s">
        <v>817</v>
      </c>
      <c r="L103" s="27" t="s">
        <v>197</v>
      </c>
      <c r="M103" s="28" t="s">
        <v>198</v>
      </c>
      <c r="N103" s="39" t="s">
        <v>179</v>
      </c>
      <c r="O103" s="34" t="s">
        <v>712</v>
      </c>
      <c r="P103" s="34" t="s">
        <v>713</v>
      </c>
      <c r="Q103" s="35" t="s">
        <v>78</v>
      </c>
      <c r="R103" s="35" t="s">
        <v>79</v>
      </c>
      <c r="S103" s="35" t="s">
        <v>61</v>
      </c>
      <c r="T103" s="35" t="s">
        <v>62</v>
      </c>
      <c r="U103" s="36" t="s">
        <v>80</v>
      </c>
    </row>
    <row r="104" spans="1:21" ht="15.75" customHeight="1" x14ac:dyDescent="0.25">
      <c r="A104" s="9" t="s">
        <v>818</v>
      </c>
      <c r="B104" s="10" t="s">
        <v>819</v>
      </c>
      <c r="C104" s="11" t="s">
        <v>820</v>
      </c>
      <c r="D104" s="12" t="s">
        <v>821</v>
      </c>
      <c r="E104" s="11" t="s">
        <v>98</v>
      </c>
      <c r="F104" s="13">
        <v>249</v>
      </c>
      <c r="G104" s="20" t="s">
        <v>708</v>
      </c>
      <c r="H104" s="11" t="s">
        <v>129</v>
      </c>
      <c r="I104" s="15" t="s">
        <v>822</v>
      </c>
      <c r="J104" s="10" t="s">
        <v>823</v>
      </c>
      <c r="K104" s="11"/>
      <c r="L104" s="9"/>
      <c r="M104" s="10"/>
      <c r="N104" s="23" t="s">
        <v>179</v>
      </c>
      <c r="O104" s="17" t="s">
        <v>292</v>
      </c>
      <c r="P104" s="17" t="s">
        <v>293</v>
      </c>
      <c r="Q104" s="18" t="s">
        <v>78</v>
      </c>
      <c r="R104" s="18" t="s">
        <v>79</v>
      </c>
      <c r="S104" s="18" t="s">
        <v>61</v>
      </c>
      <c r="T104" s="18" t="s">
        <v>62</v>
      </c>
      <c r="U104" s="19" t="s">
        <v>80</v>
      </c>
    </row>
    <row r="105" spans="1:21" ht="15.75" customHeight="1" x14ac:dyDescent="0.25">
      <c r="A105" s="27" t="s">
        <v>824</v>
      </c>
      <c r="B105" s="28" t="s">
        <v>825</v>
      </c>
      <c r="C105" s="29" t="s">
        <v>826</v>
      </c>
      <c r="D105" s="30" t="s">
        <v>827</v>
      </c>
      <c r="E105" s="29" t="s">
        <v>98</v>
      </c>
      <c r="F105" s="31">
        <v>496</v>
      </c>
      <c r="G105" s="20" t="s">
        <v>85</v>
      </c>
      <c r="H105" s="29" t="s">
        <v>129</v>
      </c>
      <c r="I105" s="32" t="s">
        <v>828</v>
      </c>
      <c r="J105" s="28" t="s">
        <v>829</v>
      </c>
      <c r="K105" s="29" t="s">
        <v>332</v>
      </c>
      <c r="L105" s="27" t="s">
        <v>197</v>
      </c>
      <c r="M105" s="28" t="s">
        <v>198</v>
      </c>
      <c r="N105" s="33" t="s">
        <v>75</v>
      </c>
      <c r="O105" s="34" t="s">
        <v>355</v>
      </c>
      <c r="P105" s="34" t="s">
        <v>356</v>
      </c>
      <c r="Q105" s="35" t="s">
        <v>78</v>
      </c>
      <c r="R105" s="35" t="s">
        <v>79</v>
      </c>
      <c r="S105" s="35" t="s">
        <v>61</v>
      </c>
      <c r="T105" s="35" t="s">
        <v>62</v>
      </c>
      <c r="U105" s="36" t="s">
        <v>80</v>
      </c>
    </row>
    <row r="106" spans="1:21" ht="15.75" customHeight="1" x14ac:dyDescent="0.25">
      <c r="A106" s="9" t="s">
        <v>830</v>
      </c>
      <c r="B106" s="10" t="s">
        <v>831</v>
      </c>
      <c r="C106" s="11" t="s">
        <v>832</v>
      </c>
      <c r="D106" s="12" t="s">
        <v>833</v>
      </c>
      <c r="E106" s="11" t="s">
        <v>47</v>
      </c>
      <c r="F106" s="13">
        <v>221</v>
      </c>
      <c r="G106" s="20" t="s">
        <v>85</v>
      </c>
      <c r="H106" s="11" t="s">
        <v>129</v>
      </c>
      <c r="I106" s="15" t="s">
        <v>834</v>
      </c>
      <c r="J106" s="10" t="s">
        <v>835</v>
      </c>
      <c r="K106" s="11" t="s">
        <v>836</v>
      </c>
      <c r="L106" s="9" t="s">
        <v>481</v>
      </c>
      <c r="M106" s="10" t="s">
        <v>482</v>
      </c>
      <c r="N106" s="16" t="s">
        <v>75</v>
      </c>
      <c r="O106" s="17" t="s">
        <v>92</v>
      </c>
      <c r="P106" s="17" t="s">
        <v>93</v>
      </c>
      <c r="Q106" s="18" t="s">
        <v>78</v>
      </c>
      <c r="R106" s="18" t="s">
        <v>79</v>
      </c>
      <c r="S106" s="18" t="s">
        <v>61</v>
      </c>
      <c r="T106" s="18" t="s">
        <v>62</v>
      </c>
      <c r="U106" s="19" t="s">
        <v>80</v>
      </c>
    </row>
    <row r="107" spans="1:21" ht="15.75" customHeight="1" x14ac:dyDescent="0.25">
      <c r="A107" s="27" t="s">
        <v>837</v>
      </c>
      <c r="B107" s="28" t="s">
        <v>838</v>
      </c>
      <c r="C107" s="29" t="s">
        <v>839</v>
      </c>
      <c r="D107" s="30" t="s">
        <v>840</v>
      </c>
      <c r="E107" s="29" t="s">
        <v>98</v>
      </c>
      <c r="F107" s="31">
        <v>256</v>
      </c>
      <c r="G107" s="20" t="s">
        <v>119</v>
      </c>
      <c r="H107" s="29" t="s">
        <v>129</v>
      </c>
      <c r="I107" s="32" t="s">
        <v>841</v>
      </c>
      <c r="J107" s="28" t="s">
        <v>842</v>
      </c>
      <c r="K107" s="29" t="s">
        <v>332</v>
      </c>
      <c r="L107" s="27" t="s">
        <v>197</v>
      </c>
      <c r="M107" s="28" t="s">
        <v>198</v>
      </c>
      <c r="N107" s="39" t="s">
        <v>179</v>
      </c>
      <c r="O107" s="34" t="s">
        <v>104</v>
      </c>
      <c r="P107" s="34" t="s">
        <v>105</v>
      </c>
      <c r="Q107" s="35" t="s">
        <v>78</v>
      </c>
      <c r="R107" s="35" t="s">
        <v>79</v>
      </c>
      <c r="S107" s="35" t="s">
        <v>61</v>
      </c>
      <c r="T107" s="35" t="s">
        <v>62</v>
      </c>
      <c r="U107" s="36" t="s">
        <v>80</v>
      </c>
    </row>
    <row r="108" spans="1:21" ht="15.75" customHeight="1" x14ac:dyDescent="0.25">
      <c r="A108" s="9" t="s">
        <v>843</v>
      </c>
      <c r="B108" s="10" t="s">
        <v>844</v>
      </c>
      <c r="C108" s="11" t="s">
        <v>845</v>
      </c>
      <c r="D108" s="12" t="s">
        <v>846</v>
      </c>
      <c r="E108" s="11" t="s">
        <v>47</v>
      </c>
      <c r="F108" s="13">
        <v>58.8</v>
      </c>
      <c r="G108" s="20" t="s">
        <v>119</v>
      </c>
      <c r="H108" s="11" t="s">
        <v>48</v>
      </c>
      <c r="I108" s="15" t="s">
        <v>847</v>
      </c>
      <c r="J108" s="10" t="s">
        <v>848</v>
      </c>
      <c r="K108" s="11" t="s">
        <v>849</v>
      </c>
      <c r="L108" s="9" t="s">
        <v>481</v>
      </c>
      <c r="M108" s="10" t="s">
        <v>482</v>
      </c>
      <c r="N108" s="16" t="s">
        <v>75</v>
      </c>
      <c r="O108" s="17" t="s">
        <v>483</v>
      </c>
      <c r="P108" s="17" t="s">
        <v>484</v>
      </c>
      <c r="Q108" s="18" t="s">
        <v>78</v>
      </c>
      <c r="R108" s="18" t="s">
        <v>79</v>
      </c>
      <c r="S108" s="18" t="s">
        <v>61</v>
      </c>
      <c r="T108" s="18" t="s">
        <v>62</v>
      </c>
      <c r="U108" s="19" t="s">
        <v>80</v>
      </c>
    </row>
    <row r="109" spans="1:21" ht="15.75" customHeight="1" x14ac:dyDescent="0.25">
      <c r="A109" s="27" t="s">
        <v>850</v>
      </c>
      <c r="B109" s="28" t="s">
        <v>851</v>
      </c>
      <c r="C109" s="29" t="s">
        <v>852</v>
      </c>
      <c r="D109" s="30" t="s">
        <v>853</v>
      </c>
      <c r="E109" s="29" t="s">
        <v>47</v>
      </c>
      <c r="F109" s="31">
        <v>149.5</v>
      </c>
      <c r="G109" s="20" t="s">
        <v>119</v>
      </c>
      <c r="H109" s="29" t="s">
        <v>330</v>
      </c>
      <c r="I109" s="32" t="s">
        <v>854</v>
      </c>
      <c r="J109" s="28" t="s">
        <v>851</v>
      </c>
      <c r="K109" s="29" t="s">
        <v>855</v>
      </c>
      <c r="L109" s="27" t="s">
        <v>90</v>
      </c>
      <c r="M109" s="28" t="s">
        <v>91</v>
      </c>
      <c r="N109" s="39" t="s">
        <v>179</v>
      </c>
      <c r="O109" s="34" t="s">
        <v>292</v>
      </c>
      <c r="P109" s="34" t="s">
        <v>293</v>
      </c>
      <c r="Q109" s="35" t="s">
        <v>78</v>
      </c>
      <c r="R109" s="35" t="s">
        <v>79</v>
      </c>
      <c r="S109" s="35" t="s">
        <v>61</v>
      </c>
      <c r="T109" s="35" t="s">
        <v>62</v>
      </c>
      <c r="U109" s="36" t="s">
        <v>80</v>
      </c>
    </row>
    <row r="110" spans="1:21" ht="15.75" customHeight="1" x14ac:dyDescent="0.25">
      <c r="A110" s="9" t="s">
        <v>856</v>
      </c>
      <c r="B110" s="10" t="s">
        <v>857</v>
      </c>
      <c r="C110" s="11" t="s">
        <v>858</v>
      </c>
      <c r="D110" s="12" t="s">
        <v>859</v>
      </c>
      <c r="E110" s="11" t="s">
        <v>67</v>
      </c>
      <c r="F110" s="13">
        <v>4</v>
      </c>
      <c r="G110" s="20" t="s">
        <v>119</v>
      </c>
      <c r="H110" s="11" t="s">
        <v>69</v>
      </c>
      <c r="I110" s="15" t="s">
        <v>860</v>
      </c>
      <c r="J110" s="10" t="s">
        <v>861</v>
      </c>
      <c r="K110" s="11" t="s">
        <v>862</v>
      </c>
      <c r="L110" s="9" t="s">
        <v>140</v>
      </c>
      <c r="M110" s="10" t="s">
        <v>141</v>
      </c>
      <c r="N110" s="16" t="s">
        <v>75</v>
      </c>
      <c r="O110" s="17" t="s">
        <v>142</v>
      </c>
      <c r="P110" s="17" t="s">
        <v>143</v>
      </c>
      <c r="Q110" s="18" t="s">
        <v>78</v>
      </c>
      <c r="R110" s="18" t="s">
        <v>79</v>
      </c>
      <c r="S110" s="18" t="s">
        <v>61</v>
      </c>
      <c r="T110" s="18" t="s">
        <v>62</v>
      </c>
      <c r="U110" s="19" t="s">
        <v>80</v>
      </c>
    </row>
    <row r="111" spans="1:21" ht="15.75" customHeight="1" x14ac:dyDescent="0.25">
      <c r="A111" s="27" t="s">
        <v>863</v>
      </c>
      <c r="B111" s="28" t="s">
        <v>864</v>
      </c>
      <c r="C111" s="29" t="s">
        <v>865</v>
      </c>
      <c r="D111" s="30" t="s">
        <v>866</v>
      </c>
      <c r="E111" s="29" t="s">
        <v>47</v>
      </c>
      <c r="F111" s="31">
        <v>266</v>
      </c>
      <c r="G111" s="14" t="s">
        <v>119</v>
      </c>
      <c r="H111" s="29" t="s">
        <v>129</v>
      </c>
      <c r="I111" s="32" t="s">
        <v>867</v>
      </c>
      <c r="J111" s="28" t="s">
        <v>868</v>
      </c>
      <c r="K111" s="29"/>
      <c r="L111" s="27"/>
      <c r="M111" s="28"/>
      <c r="N111" s="39" t="s">
        <v>179</v>
      </c>
      <c r="O111" s="34" t="s">
        <v>869</v>
      </c>
      <c r="P111" s="34" t="s">
        <v>870</v>
      </c>
      <c r="Q111" s="35" t="s">
        <v>78</v>
      </c>
      <c r="R111" s="35" t="s">
        <v>79</v>
      </c>
      <c r="S111" s="35" t="s">
        <v>61</v>
      </c>
      <c r="T111" s="35" t="s">
        <v>62</v>
      </c>
      <c r="U111" s="36" t="s">
        <v>80</v>
      </c>
    </row>
    <row r="112" spans="1:21" ht="15.75" customHeight="1" x14ac:dyDescent="0.25">
      <c r="A112" s="9" t="s">
        <v>871</v>
      </c>
      <c r="B112" s="10" t="s">
        <v>872</v>
      </c>
      <c r="C112" s="11" t="s">
        <v>873</v>
      </c>
      <c r="D112" s="12" t="s">
        <v>874</v>
      </c>
      <c r="E112" s="11" t="s">
        <v>47</v>
      </c>
      <c r="F112" s="13">
        <v>117</v>
      </c>
      <c r="G112" s="20" t="s">
        <v>119</v>
      </c>
      <c r="H112" s="11" t="s">
        <v>330</v>
      </c>
      <c r="I112" s="15" t="s">
        <v>875</v>
      </c>
      <c r="J112" s="10" t="s">
        <v>876</v>
      </c>
      <c r="K112" s="11" t="s">
        <v>877</v>
      </c>
      <c r="L112" s="9" t="s">
        <v>158</v>
      </c>
      <c r="M112" s="10" t="s">
        <v>159</v>
      </c>
      <c r="N112" s="16" t="s">
        <v>75</v>
      </c>
      <c r="O112" s="17" t="s">
        <v>878</v>
      </c>
      <c r="P112" s="17" t="s">
        <v>879</v>
      </c>
      <c r="Q112" s="18" t="s">
        <v>78</v>
      </c>
      <c r="R112" s="18" t="s">
        <v>79</v>
      </c>
      <c r="S112" s="18" t="s">
        <v>61</v>
      </c>
      <c r="T112" s="18" t="s">
        <v>62</v>
      </c>
      <c r="U112" s="19" t="s">
        <v>80</v>
      </c>
    </row>
    <row r="113" spans="1:21" ht="15.75" customHeight="1" x14ac:dyDescent="0.25">
      <c r="A113" s="27" t="s">
        <v>880</v>
      </c>
      <c r="B113" s="28" t="s">
        <v>881</v>
      </c>
      <c r="C113" s="29" t="s">
        <v>882</v>
      </c>
      <c r="D113" s="30" t="s">
        <v>883</v>
      </c>
      <c r="E113" s="29" t="s">
        <v>47</v>
      </c>
      <c r="F113" s="31">
        <v>100</v>
      </c>
      <c r="G113" s="20" t="s">
        <v>119</v>
      </c>
      <c r="H113" s="29" t="s">
        <v>330</v>
      </c>
      <c r="I113" s="32" t="s">
        <v>884</v>
      </c>
      <c r="J113" s="28" t="s">
        <v>885</v>
      </c>
      <c r="K113" s="29" t="s">
        <v>877</v>
      </c>
      <c r="L113" s="27" t="s">
        <v>158</v>
      </c>
      <c r="M113" s="28" t="s">
        <v>159</v>
      </c>
      <c r="N113" s="39" t="s">
        <v>179</v>
      </c>
      <c r="O113" s="34" t="s">
        <v>382</v>
      </c>
      <c r="P113" s="34" t="s">
        <v>383</v>
      </c>
      <c r="Q113" s="35" t="s">
        <v>78</v>
      </c>
      <c r="R113" s="35" t="s">
        <v>79</v>
      </c>
      <c r="S113" s="35" t="s">
        <v>61</v>
      </c>
      <c r="T113" s="35" t="s">
        <v>62</v>
      </c>
      <c r="U113" s="36" t="s">
        <v>80</v>
      </c>
    </row>
    <row r="114" spans="1:21" ht="15.75" customHeight="1" x14ac:dyDescent="0.25">
      <c r="A114" s="9" t="s">
        <v>886</v>
      </c>
      <c r="B114" s="10" t="s">
        <v>887</v>
      </c>
      <c r="C114" s="11" t="s">
        <v>888</v>
      </c>
      <c r="D114" s="21" t="s">
        <v>109</v>
      </c>
      <c r="E114" s="11" t="s">
        <v>47</v>
      </c>
      <c r="F114" s="13">
        <v>108</v>
      </c>
      <c r="G114" s="14" t="s">
        <v>119</v>
      </c>
      <c r="H114" s="11" t="s">
        <v>330</v>
      </c>
      <c r="I114" s="15" t="s">
        <v>889</v>
      </c>
      <c r="J114" s="10" t="s">
        <v>890</v>
      </c>
      <c r="K114" s="11" t="s">
        <v>891</v>
      </c>
      <c r="L114" s="9" t="s">
        <v>158</v>
      </c>
      <c r="M114" s="10" t="s">
        <v>159</v>
      </c>
      <c r="N114" s="22"/>
      <c r="O114" s="17"/>
      <c r="P114" s="17"/>
      <c r="Q114" s="18" t="s">
        <v>78</v>
      </c>
      <c r="R114" s="18" t="s">
        <v>79</v>
      </c>
      <c r="S114" s="18" t="s">
        <v>61</v>
      </c>
      <c r="T114" s="18" t="s">
        <v>62</v>
      </c>
      <c r="U114" s="19" t="s">
        <v>80</v>
      </c>
    </row>
    <row r="115" spans="1:21" ht="15.75" customHeight="1" x14ac:dyDescent="0.25">
      <c r="A115" s="27" t="s">
        <v>892</v>
      </c>
      <c r="B115" s="28" t="s">
        <v>893</v>
      </c>
      <c r="C115" s="29" t="s">
        <v>894</v>
      </c>
      <c r="D115" s="30" t="s">
        <v>895</v>
      </c>
      <c r="E115" s="29" t="s">
        <v>47</v>
      </c>
      <c r="F115" s="31">
        <v>83</v>
      </c>
      <c r="G115" s="14" t="s">
        <v>119</v>
      </c>
      <c r="H115" s="29" t="s">
        <v>48</v>
      </c>
      <c r="I115" s="32" t="s">
        <v>896</v>
      </c>
      <c r="J115" s="28" t="s">
        <v>897</v>
      </c>
      <c r="K115" s="29" t="s">
        <v>877</v>
      </c>
      <c r="L115" s="27" t="s">
        <v>158</v>
      </c>
      <c r="M115" s="28" t="s">
        <v>159</v>
      </c>
      <c r="N115" s="33" t="s">
        <v>75</v>
      </c>
      <c r="O115" s="34" t="s">
        <v>712</v>
      </c>
      <c r="P115" s="34" t="s">
        <v>713</v>
      </c>
      <c r="Q115" s="35" t="s">
        <v>78</v>
      </c>
      <c r="R115" s="35" t="s">
        <v>79</v>
      </c>
      <c r="S115" s="35" t="s">
        <v>61</v>
      </c>
      <c r="T115" s="35" t="s">
        <v>62</v>
      </c>
      <c r="U115" s="36" t="s">
        <v>80</v>
      </c>
    </row>
    <row r="116" spans="1:21" ht="15.75" customHeight="1" x14ac:dyDescent="0.25">
      <c r="A116" s="9" t="s">
        <v>898</v>
      </c>
      <c r="B116" s="10" t="s">
        <v>899</v>
      </c>
      <c r="C116" s="11" t="s">
        <v>900</v>
      </c>
      <c r="D116" s="21" t="s">
        <v>109</v>
      </c>
      <c r="E116" s="11" t="s">
        <v>47</v>
      </c>
      <c r="F116" s="13">
        <v>164</v>
      </c>
      <c r="G116" s="14" t="s">
        <v>119</v>
      </c>
      <c r="H116" s="11" t="s">
        <v>86</v>
      </c>
      <c r="I116" s="15" t="s">
        <v>901</v>
      </c>
      <c r="J116" s="10" t="s">
        <v>902</v>
      </c>
      <c r="K116" s="11" t="s">
        <v>903</v>
      </c>
      <c r="L116" s="9" t="s">
        <v>158</v>
      </c>
      <c r="M116" s="10" t="s">
        <v>159</v>
      </c>
      <c r="N116" s="22"/>
      <c r="O116" s="17"/>
      <c r="P116" s="17"/>
      <c r="Q116" s="18" t="s">
        <v>78</v>
      </c>
      <c r="R116" s="18" t="s">
        <v>79</v>
      </c>
      <c r="S116" s="18" t="s">
        <v>61</v>
      </c>
      <c r="T116" s="18" t="s">
        <v>62</v>
      </c>
      <c r="U116" s="19" t="s">
        <v>80</v>
      </c>
    </row>
    <row r="117" spans="1:21" ht="15.75" customHeight="1" x14ac:dyDescent="0.25">
      <c r="A117" s="27" t="s">
        <v>904</v>
      </c>
      <c r="B117" s="28" t="s">
        <v>905</v>
      </c>
      <c r="C117" s="29" t="s">
        <v>906</v>
      </c>
      <c r="D117" s="37" t="s">
        <v>109</v>
      </c>
      <c r="E117" s="29" t="s">
        <v>98</v>
      </c>
      <c r="F117" s="31">
        <v>960</v>
      </c>
      <c r="G117" s="25" t="s">
        <v>110</v>
      </c>
      <c r="H117" s="29" t="s">
        <v>129</v>
      </c>
      <c r="I117" s="32" t="s">
        <v>907</v>
      </c>
      <c r="J117" s="28" t="s">
        <v>908</v>
      </c>
      <c r="K117" s="29" t="s">
        <v>239</v>
      </c>
      <c r="L117" s="27" t="s">
        <v>90</v>
      </c>
      <c r="M117" s="28" t="s">
        <v>91</v>
      </c>
      <c r="N117" s="38"/>
      <c r="O117" s="34"/>
      <c r="P117" s="34"/>
      <c r="Q117" s="35" t="s">
        <v>78</v>
      </c>
      <c r="R117" s="35" t="s">
        <v>79</v>
      </c>
      <c r="S117" s="35" t="s">
        <v>61</v>
      </c>
      <c r="T117" s="35" t="s">
        <v>62</v>
      </c>
      <c r="U117" s="36" t="s">
        <v>80</v>
      </c>
    </row>
    <row r="118" spans="1:21" ht="15.75" customHeight="1" x14ac:dyDescent="0.25">
      <c r="A118" s="9" t="s">
        <v>909</v>
      </c>
      <c r="B118" s="10" t="s">
        <v>910</v>
      </c>
      <c r="C118" s="11" t="s">
        <v>911</v>
      </c>
      <c r="D118" s="21" t="s">
        <v>109</v>
      </c>
      <c r="E118" s="11" t="s">
        <v>98</v>
      </c>
      <c r="F118" s="11" t="s">
        <v>912</v>
      </c>
      <c r="G118" s="25" t="s">
        <v>110</v>
      </c>
      <c r="H118" s="11" t="s">
        <v>100</v>
      </c>
      <c r="I118" s="15" t="s">
        <v>913</v>
      </c>
      <c r="J118" s="10" t="s">
        <v>914</v>
      </c>
      <c r="K118" s="11" t="s">
        <v>239</v>
      </c>
      <c r="L118" s="9" t="s">
        <v>90</v>
      </c>
      <c r="M118" s="10" t="s">
        <v>91</v>
      </c>
      <c r="N118" s="22"/>
      <c r="O118" s="17"/>
      <c r="P118" s="17"/>
      <c r="Q118" s="18" t="s">
        <v>78</v>
      </c>
      <c r="R118" s="18" t="s">
        <v>79</v>
      </c>
      <c r="S118" s="18" t="s">
        <v>61</v>
      </c>
      <c r="T118" s="18" t="s">
        <v>62</v>
      </c>
      <c r="U118" s="19" t="s">
        <v>80</v>
      </c>
    </row>
    <row r="119" spans="1:21" ht="15.75" customHeight="1" x14ac:dyDescent="0.25">
      <c r="A119" s="27" t="s">
        <v>915</v>
      </c>
      <c r="B119" s="28" t="s">
        <v>916</v>
      </c>
      <c r="C119" s="29" t="s">
        <v>917</v>
      </c>
      <c r="D119" s="30" t="s">
        <v>918</v>
      </c>
      <c r="E119" s="29" t="s">
        <v>47</v>
      </c>
      <c r="F119" s="31">
        <v>267</v>
      </c>
      <c r="G119" s="14" t="s">
        <v>119</v>
      </c>
      <c r="H119" s="29" t="s">
        <v>129</v>
      </c>
      <c r="I119" s="32" t="s">
        <v>919</v>
      </c>
      <c r="J119" s="28" t="s">
        <v>920</v>
      </c>
      <c r="K119" s="29"/>
      <c r="L119" s="27"/>
      <c r="M119" s="28"/>
      <c r="N119" s="39" t="s">
        <v>179</v>
      </c>
      <c r="O119" s="34" t="s">
        <v>869</v>
      </c>
      <c r="P119" s="34" t="s">
        <v>870</v>
      </c>
      <c r="Q119" s="35" t="s">
        <v>78</v>
      </c>
      <c r="R119" s="35" t="s">
        <v>79</v>
      </c>
      <c r="S119" s="35" t="s">
        <v>61</v>
      </c>
      <c r="T119" s="35" t="s">
        <v>62</v>
      </c>
      <c r="U119" s="36" t="s">
        <v>80</v>
      </c>
    </row>
    <row r="120" spans="1:21" ht="15.75" customHeight="1" x14ac:dyDescent="0.25">
      <c r="A120" s="9" t="s">
        <v>921</v>
      </c>
      <c r="B120" s="10" t="s">
        <v>922</v>
      </c>
      <c r="C120" s="11" t="s">
        <v>923</v>
      </c>
      <c r="D120" s="12" t="s">
        <v>924</v>
      </c>
      <c r="E120" s="11" t="s">
        <v>98</v>
      </c>
      <c r="F120" s="11" t="s">
        <v>118</v>
      </c>
      <c r="G120" s="20" t="s">
        <v>85</v>
      </c>
      <c r="H120" s="11" t="s">
        <v>100</v>
      </c>
      <c r="I120" s="15" t="s">
        <v>925</v>
      </c>
      <c r="J120" s="10" t="s">
        <v>926</v>
      </c>
      <c r="K120" s="11"/>
      <c r="L120" s="9"/>
      <c r="M120" s="10"/>
      <c r="N120" s="16" t="s">
        <v>75</v>
      </c>
      <c r="O120" s="17" t="s">
        <v>355</v>
      </c>
      <c r="P120" s="17" t="s">
        <v>356</v>
      </c>
      <c r="Q120" s="18" t="s">
        <v>78</v>
      </c>
      <c r="R120" s="18" t="s">
        <v>79</v>
      </c>
      <c r="S120" s="18" t="s">
        <v>61</v>
      </c>
      <c r="T120" s="18" t="s">
        <v>62</v>
      </c>
      <c r="U120" s="19" t="s">
        <v>80</v>
      </c>
    </row>
    <row r="121" spans="1:21" ht="15.75" customHeight="1" x14ac:dyDescent="0.25">
      <c r="A121" s="27" t="s">
        <v>927</v>
      </c>
      <c r="B121" s="28" t="s">
        <v>928</v>
      </c>
      <c r="C121" s="29" t="s">
        <v>929</v>
      </c>
      <c r="D121" s="30" t="s">
        <v>930</v>
      </c>
      <c r="E121" s="29" t="s">
        <v>98</v>
      </c>
      <c r="F121" s="29" t="s">
        <v>99</v>
      </c>
      <c r="G121" s="26" t="s">
        <v>119</v>
      </c>
      <c r="H121" s="29" t="s">
        <v>100</v>
      </c>
      <c r="I121" s="32" t="s">
        <v>931</v>
      </c>
      <c r="J121" s="28" t="s">
        <v>932</v>
      </c>
      <c r="K121" s="29" t="s">
        <v>933</v>
      </c>
      <c r="L121" s="27"/>
      <c r="M121" s="28"/>
      <c r="N121" s="39" t="s">
        <v>179</v>
      </c>
      <c r="O121" s="34" t="s">
        <v>934</v>
      </c>
      <c r="P121" s="34" t="s">
        <v>935</v>
      </c>
      <c r="Q121" s="35" t="s">
        <v>78</v>
      </c>
      <c r="R121" s="35" t="s">
        <v>79</v>
      </c>
      <c r="S121" s="35" t="s">
        <v>61</v>
      </c>
      <c r="T121" s="35" t="s">
        <v>62</v>
      </c>
      <c r="U121" s="36" t="s">
        <v>80</v>
      </c>
    </row>
    <row r="122" spans="1:21" ht="15.75" customHeight="1" x14ac:dyDescent="0.25">
      <c r="A122" s="9" t="s">
        <v>936</v>
      </c>
      <c r="B122" s="10" t="s">
        <v>937</v>
      </c>
      <c r="C122" s="11" t="s">
        <v>938</v>
      </c>
      <c r="D122" s="21" t="s">
        <v>109</v>
      </c>
      <c r="E122" s="11" t="s">
        <v>98</v>
      </c>
      <c r="F122" s="11" t="s">
        <v>118</v>
      </c>
      <c r="G122" s="25" t="s">
        <v>110</v>
      </c>
      <c r="H122" s="11" t="s">
        <v>100</v>
      </c>
      <c r="I122" s="15" t="s">
        <v>939</v>
      </c>
      <c r="J122" s="10" t="s">
        <v>940</v>
      </c>
      <c r="K122" s="11" t="s">
        <v>762</v>
      </c>
      <c r="L122" s="9" t="s">
        <v>90</v>
      </c>
      <c r="M122" s="10" t="s">
        <v>91</v>
      </c>
      <c r="N122" s="22"/>
      <c r="O122" s="17"/>
      <c r="P122" s="17"/>
      <c r="Q122" s="18" t="s">
        <v>78</v>
      </c>
      <c r="R122" s="18" t="s">
        <v>79</v>
      </c>
      <c r="S122" s="18" t="s">
        <v>61</v>
      </c>
      <c r="T122" s="18" t="s">
        <v>62</v>
      </c>
      <c r="U122" s="19" t="s">
        <v>80</v>
      </c>
    </row>
    <row r="123" spans="1:21" ht="15.75" customHeight="1" x14ac:dyDescent="0.25">
      <c r="A123" s="27" t="s">
        <v>941</v>
      </c>
      <c r="B123" s="28" t="s">
        <v>942</v>
      </c>
      <c r="C123" s="29" t="s">
        <v>943</v>
      </c>
      <c r="D123" s="30" t="s">
        <v>759</v>
      </c>
      <c r="E123" s="29" t="s">
        <v>98</v>
      </c>
      <c r="F123" s="29"/>
      <c r="G123" s="20" t="s">
        <v>119</v>
      </c>
      <c r="H123" s="29" t="s">
        <v>100</v>
      </c>
      <c r="I123" s="32" t="s">
        <v>944</v>
      </c>
      <c r="J123" s="28" t="s">
        <v>945</v>
      </c>
      <c r="K123" s="29" t="s">
        <v>762</v>
      </c>
      <c r="L123" s="27" t="s">
        <v>90</v>
      </c>
      <c r="M123" s="28" t="s">
        <v>91</v>
      </c>
      <c r="N123" s="33" t="s">
        <v>75</v>
      </c>
      <c r="O123" s="34" t="s">
        <v>124</v>
      </c>
      <c r="P123" s="34" t="s">
        <v>125</v>
      </c>
      <c r="Q123" s="35" t="s">
        <v>78</v>
      </c>
      <c r="R123" s="35" t="s">
        <v>79</v>
      </c>
      <c r="S123" s="35" t="s">
        <v>61</v>
      </c>
      <c r="T123" s="35" t="s">
        <v>62</v>
      </c>
      <c r="U123" s="36" t="s">
        <v>80</v>
      </c>
    </row>
    <row r="124" spans="1:21" ht="15.75" customHeight="1" x14ac:dyDescent="0.25">
      <c r="A124" s="9" t="s">
        <v>946</v>
      </c>
      <c r="B124" s="10" t="s">
        <v>947</v>
      </c>
      <c r="C124" s="11" t="s">
        <v>948</v>
      </c>
      <c r="D124" s="12" t="s">
        <v>193</v>
      </c>
      <c r="E124" s="11" t="s">
        <v>98</v>
      </c>
      <c r="F124" s="11"/>
      <c r="G124" s="20" t="s">
        <v>85</v>
      </c>
      <c r="H124" s="11" t="s">
        <v>120</v>
      </c>
      <c r="I124" s="15" t="s">
        <v>949</v>
      </c>
      <c r="J124" s="10" t="s">
        <v>950</v>
      </c>
      <c r="K124" s="11"/>
      <c r="L124" s="9"/>
      <c r="M124" s="10"/>
      <c r="N124" s="23" t="s">
        <v>179</v>
      </c>
      <c r="O124" s="17" t="s">
        <v>180</v>
      </c>
      <c r="P124" s="17" t="s">
        <v>181</v>
      </c>
      <c r="Q124" s="18" t="s">
        <v>78</v>
      </c>
      <c r="R124" s="18" t="s">
        <v>79</v>
      </c>
      <c r="S124" s="18" t="s">
        <v>61</v>
      </c>
      <c r="T124" s="18" t="s">
        <v>62</v>
      </c>
      <c r="U124" s="19" t="s">
        <v>80</v>
      </c>
    </row>
    <row r="125" spans="1:21" ht="15.75" customHeight="1" x14ac:dyDescent="0.25">
      <c r="A125" s="27" t="s">
        <v>951</v>
      </c>
      <c r="B125" s="28" t="s">
        <v>952</v>
      </c>
      <c r="C125" s="29" t="s">
        <v>953</v>
      </c>
      <c r="D125" s="30" t="s">
        <v>954</v>
      </c>
      <c r="E125" s="29" t="s">
        <v>98</v>
      </c>
      <c r="F125" s="31">
        <v>164</v>
      </c>
      <c r="G125" s="20" t="s">
        <v>119</v>
      </c>
      <c r="H125" s="29" t="s">
        <v>86</v>
      </c>
      <c r="I125" s="32" t="s">
        <v>955</v>
      </c>
      <c r="J125" s="28" t="s">
        <v>956</v>
      </c>
      <c r="K125" s="29" t="s">
        <v>933</v>
      </c>
      <c r="L125" s="27" t="s">
        <v>90</v>
      </c>
      <c r="M125" s="28" t="s">
        <v>91</v>
      </c>
      <c r="N125" s="33" t="s">
        <v>75</v>
      </c>
      <c r="O125" s="34" t="s">
        <v>92</v>
      </c>
      <c r="P125" s="34" t="s">
        <v>93</v>
      </c>
      <c r="Q125" s="35" t="s">
        <v>78</v>
      </c>
      <c r="R125" s="35" t="s">
        <v>79</v>
      </c>
      <c r="S125" s="35" t="s">
        <v>61</v>
      </c>
      <c r="T125" s="35" t="s">
        <v>62</v>
      </c>
      <c r="U125" s="36" t="s">
        <v>80</v>
      </c>
    </row>
    <row r="126" spans="1:21" ht="15.75" customHeight="1" x14ac:dyDescent="0.25">
      <c r="A126" s="9" t="s">
        <v>957</v>
      </c>
      <c r="B126" s="10" t="s">
        <v>958</v>
      </c>
      <c r="C126" s="11" t="s">
        <v>959</v>
      </c>
      <c r="D126" s="12" t="s">
        <v>960</v>
      </c>
      <c r="E126" s="11" t="s">
        <v>98</v>
      </c>
      <c r="F126" s="11"/>
      <c r="G126" s="20" t="s">
        <v>119</v>
      </c>
      <c r="H126" s="11" t="s">
        <v>100</v>
      </c>
      <c r="I126" s="15" t="s">
        <v>961</v>
      </c>
      <c r="J126" s="10" t="s">
        <v>962</v>
      </c>
      <c r="K126" s="11"/>
      <c r="L126" s="9"/>
      <c r="M126" s="10"/>
      <c r="N126" s="23" t="s">
        <v>179</v>
      </c>
      <c r="O126" s="17" t="s">
        <v>292</v>
      </c>
      <c r="P126" s="17" t="s">
        <v>293</v>
      </c>
      <c r="Q126" s="18" t="s">
        <v>78</v>
      </c>
      <c r="R126" s="18" t="s">
        <v>79</v>
      </c>
      <c r="S126" s="18" t="s">
        <v>61</v>
      </c>
      <c r="T126" s="18" t="s">
        <v>62</v>
      </c>
      <c r="U126" s="19" t="s">
        <v>80</v>
      </c>
    </row>
    <row r="127" spans="1:21" ht="15.75" customHeight="1" x14ac:dyDescent="0.25">
      <c r="A127" s="27" t="s">
        <v>963</v>
      </c>
      <c r="B127" s="28" t="s">
        <v>964</v>
      </c>
      <c r="C127" s="29" t="s">
        <v>965</v>
      </c>
      <c r="D127" s="30" t="s">
        <v>966</v>
      </c>
      <c r="E127" s="29" t="s">
        <v>67</v>
      </c>
      <c r="F127" s="31">
        <v>-34</v>
      </c>
      <c r="G127" s="20" t="s">
        <v>119</v>
      </c>
      <c r="H127" s="29" t="s">
        <v>69</v>
      </c>
      <c r="I127" s="32" t="s">
        <v>967</v>
      </c>
      <c r="J127" s="28" t="s">
        <v>968</v>
      </c>
      <c r="K127" s="29" t="s">
        <v>969</v>
      </c>
      <c r="L127" s="27" t="s">
        <v>140</v>
      </c>
      <c r="M127" s="28" t="s">
        <v>141</v>
      </c>
      <c r="N127" s="33" t="s">
        <v>75</v>
      </c>
      <c r="O127" s="34" t="s">
        <v>970</v>
      </c>
      <c r="P127" s="34" t="s">
        <v>971</v>
      </c>
      <c r="Q127" s="35" t="s">
        <v>78</v>
      </c>
      <c r="R127" s="35" t="s">
        <v>79</v>
      </c>
      <c r="S127" s="35" t="s">
        <v>61</v>
      </c>
      <c r="T127" s="35" t="s">
        <v>62</v>
      </c>
      <c r="U127" s="36" t="s">
        <v>80</v>
      </c>
    </row>
    <row r="128" spans="1:21" ht="15.75" customHeight="1" x14ac:dyDescent="0.25">
      <c r="A128" s="9" t="s">
        <v>972</v>
      </c>
      <c r="B128" s="10" t="s">
        <v>973</v>
      </c>
      <c r="C128" s="11" t="s">
        <v>974</v>
      </c>
      <c r="D128" s="21" t="s">
        <v>109</v>
      </c>
      <c r="E128" s="11" t="s">
        <v>67</v>
      </c>
      <c r="F128" s="13">
        <v>11</v>
      </c>
      <c r="G128" s="24" t="s">
        <v>85</v>
      </c>
      <c r="H128" s="11" t="s">
        <v>421</v>
      </c>
      <c r="I128" s="15" t="s">
        <v>975</v>
      </c>
      <c r="J128" s="10" t="s">
        <v>976</v>
      </c>
      <c r="K128" s="11"/>
      <c r="L128" s="9"/>
      <c r="M128" s="10"/>
      <c r="N128" s="22"/>
      <c r="O128" s="17"/>
      <c r="P128" s="17"/>
      <c r="Q128" s="18" t="s">
        <v>78</v>
      </c>
      <c r="R128" s="18" t="s">
        <v>79</v>
      </c>
      <c r="S128" s="18" t="s">
        <v>61</v>
      </c>
      <c r="T128" s="18" t="s">
        <v>62</v>
      </c>
      <c r="U128" s="19" t="s">
        <v>80</v>
      </c>
    </row>
    <row r="129" spans="1:21" ht="15.75" customHeight="1" x14ac:dyDescent="0.25">
      <c r="A129" s="27" t="s">
        <v>977</v>
      </c>
      <c r="B129" s="28" t="s">
        <v>978</v>
      </c>
      <c r="C129" s="29" t="s">
        <v>979</v>
      </c>
      <c r="D129" s="37" t="s">
        <v>109</v>
      </c>
      <c r="E129" s="29" t="s">
        <v>98</v>
      </c>
      <c r="F129" s="31">
        <v>244</v>
      </c>
      <c r="G129" s="25" t="s">
        <v>110</v>
      </c>
      <c r="H129" s="29" t="s">
        <v>129</v>
      </c>
      <c r="I129" s="32" t="s">
        <v>980</v>
      </c>
      <c r="J129" s="28" t="s">
        <v>981</v>
      </c>
      <c r="K129" s="29" t="s">
        <v>982</v>
      </c>
      <c r="L129" s="27" t="s">
        <v>90</v>
      </c>
      <c r="M129" s="28" t="s">
        <v>91</v>
      </c>
      <c r="N129" s="38"/>
      <c r="O129" s="34"/>
      <c r="P129" s="34"/>
      <c r="Q129" s="35" t="s">
        <v>78</v>
      </c>
      <c r="R129" s="35" t="s">
        <v>79</v>
      </c>
      <c r="S129" s="35" t="s">
        <v>61</v>
      </c>
      <c r="T129" s="35" t="s">
        <v>62</v>
      </c>
      <c r="U129" s="36" t="s">
        <v>80</v>
      </c>
    </row>
    <row r="130" spans="1:21" ht="15.75" customHeight="1" x14ac:dyDescent="0.25">
      <c r="A130" s="9" t="s">
        <v>983</v>
      </c>
      <c r="B130" s="10" t="s">
        <v>984</v>
      </c>
      <c r="C130" s="11" t="s">
        <v>985</v>
      </c>
      <c r="D130" s="21" t="s">
        <v>109</v>
      </c>
      <c r="E130" s="11" t="s">
        <v>47</v>
      </c>
      <c r="F130" s="13">
        <v>209</v>
      </c>
      <c r="G130" s="25" t="s">
        <v>110</v>
      </c>
      <c r="H130" s="11" t="s">
        <v>129</v>
      </c>
      <c r="I130" s="15" t="s">
        <v>986</v>
      </c>
      <c r="J130" s="10" t="s">
        <v>987</v>
      </c>
      <c r="K130" s="11" t="s">
        <v>988</v>
      </c>
      <c r="L130" s="9" t="s">
        <v>90</v>
      </c>
      <c r="M130" s="10" t="s">
        <v>91</v>
      </c>
      <c r="N130" s="22"/>
      <c r="O130" s="17"/>
      <c r="P130" s="17"/>
      <c r="Q130" s="18" t="s">
        <v>78</v>
      </c>
      <c r="R130" s="18" t="s">
        <v>79</v>
      </c>
      <c r="S130" s="18" t="s">
        <v>61</v>
      </c>
      <c r="T130" s="18" t="s">
        <v>62</v>
      </c>
      <c r="U130" s="19" t="s">
        <v>80</v>
      </c>
    </row>
    <row r="131" spans="1:21" ht="15.75" customHeight="1" x14ac:dyDescent="0.25">
      <c r="A131" s="27" t="s">
        <v>989</v>
      </c>
      <c r="B131" s="28" t="s">
        <v>990</v>
      </c>
      <c r="C131" s="29" t="s">
        <v>991</v>
      </c>
      <c r="D131" s="37" t="s">
        <v>109</v>
      </c>
      <c r="E131" s="29" t="s">
        <v>47</v>
      </c>
      <c r="F131" s="29" t="s">
        <v>992</v>
      </c>
      <c r="G131" s="25" t="s">
        <v>110</v>
      </c>
      <c r="H131" s="29" t="s">
        <v>330</v>
      </c>
      <c r="I131" s="32" t="s">
        <v>993</v>
      </c>
      <c r="J131" s="28" t="s">
        <v>994</v>
      </c>
      <c r="K131" s="29" t="s">
        <v>988</v>
      </c>
      <c r="L131" s="27" t="s">
        <v>90</v>
      </c>
      <c r="M131" s="28" t="s">
        <v>91</v>
      </c>
      <c r="N131" s="38"/>
      <c r="O131" s="34"/>
      <c r="P131" s="34"/>
      <c r="Q131" s="35" t="s">
        <v>78</v>
      </c>
      <c r="R131" s="35" t="s">
        <v>79</v>
      </c>
      <c r="S131" s="35" t="s">
        <v>61</v>
      </c>
      <c r="T131" s="35" t="s">
        <v>62</v>
      </c>
      <c r="U131" s="36" t="s">
        <v>80</v>
      </c>
    </row>
    <row r="132" spans="1:21" ht="15.75" customHeight="1" x14ac:dyDescent="0.25">
      <c r="A132" s="9" t="s">
        <v>995</v>
      </c>
      <c r="B132" s="10" t="s">
        <v>996</v>
      </c>
      <c r="C132" s="11" t="s">
        <v>997</v>
      </c>
      <c r="D132" s="21" t="s">
        <v>109</v>
      </c>
      <c r="E132" s="11" t="s">
        <v>98</v>
      </c>
      <c r="F132" s="13">
        <v>235</v>
      </c>
      <c r="G132" s="25" t="s">
        <v>110</v>
      </c>
      <c r="H132" s="11" t="s">
        <v>129</v>
      </c>
      <c r="I132" s="15" t="s">
        <v>998</v>
      </c>
      <c r="J132" s="10" t="s">
        <v>999</v>
      </c>
      <c r="K132" s="11" t="s">
        <v>1000</v>
      </c>
      <c r="L132" s="9" t="s">
        <v>90</v>
      </c>
      <c r="M132" s="10" t="s">
        <v>91</v>
      </c>
      <c r="N132" s="22"/>
      <c r="O132" s="17"/>
      <c r="P132" s="17"/>
      <c r="Q132" s="18" t="s">
        <v>78</v>
      </c>
      <c r="R132" s="18" t="s">
        <v>79</v>
      </c>
      <c r="S132" s="18" t="s">
        <v>61</v>
      </c>
      <c r="T132" s="18" t="s">
        <v>62</v>
      </c>
      <c r="U132" s="19" t="s">
        <v>80</v>
      </c>
    </row>
    <row r="133" spans="1:21" ht="15.75" customHeight="1" x14ac:dyDescent="0.25">
      <c r="A133" s="27" t="s">
        <v>1001</v>
      </c>
      <c r="B133" s="28" t="s">
        <v>1002</v>
      </c>
      <c r="C133" s="29" t="s">
        <v>1003</v>
      </c>
      <c r="D133" s="37" t="s">
        <v>109</v>
      </c>
      <c r="E133" s="29" t="s">
        <v>47</v>
      </c>
      <c r="F133" s="31">
        <v>12.5</v>
      </c>
      <c r="G133" s="14" t="s">
        <v>119</v>
      </c>
      <c r="H133" s="29" t="s">
        <v>69</v>
      </c>
      <c r="I133" s="32" t="s">
        <v>1004</v>
      </c>
      <c r="J133" s="28" t="s">
        <v>1005</v>
      </c>
      <c r="K133" s="29" t="s">
        <v>1006</v>
      </c>
      <c r="L133" s="27" t="s">
        <v>73</v>
      </c>
      <c r="M133" s="28" t="s">
        <v>74</v>
      </c>
      <c r="N133" s="38"/>
      <c r="O133" s="34"/>
      <c r="P133" s="34"/>
      <c r="Q133" s="35" t="s">
        <v>78</v>
      </c>
      <c r="R133" s="35" t="s">
        <v>79</v>
      </c>
      <c r="S133" s="35" t="s">
        <v>61</v>
      </c>
      <c r="T133" s="35" t="s">
        <v>62</v>
      </c>
      <c r="U133" s="36" t="s">
        <v>80</v>
      </c>
    </row>
    <row r="134" spans="1:21" ht="15.75" customHeight="1" x14ac:dyDescent="0.25">
      <c r="A134" s="9" t="s">
        <v>1007</v>
      </c>
      <c r="B134" s="10" t="s">
        <v>1008</v>
      </c>
      <c r="C134" s="11" t="s">
        <v>1009</v>
      </c>
      <c r="D134" s="12" t="s">
        <v>1010</v>
      </c>
      <c r="E134" s="11" t="s">
        <v>47</v>
      </c>
      <c r="F134" s="13">
        <v>59.4</v>
      </c>
      <c r="G134" s="20" t="s">
        <v>85</v>
      </c>
      <c r="H134" s="11" t="s">
        <v>48</v>
      </c>
      <c r="I134" s="15" t="s">
        <v>1011</v>
      </c>
      <c r="J134" s="10" t="s">
        <v>1012</v>
      </c>
      <c r="K134" s="11" t="s">
        <v>1013</v>
      </c>
      <c r="L134" s="9" t="s">
        <v>158</v>
      </c>
      <c r="M134" s="10" t="s">
        <v>159</v>
      </c>
      <c r="N134" s="16" t="s">
        <v>75</v>
      </c>
      <c r="O134" s="17" t="s">
        <v>492</v>
      </c>
      <c r="P134" s="17" t="s">
        <v>493</v>
      </c>
      <c r="Q134" s="18" t="s">
        <v>78</v>
      </c>
      <c r="R134" s="18" t="s">
        <v>79</v>
      </c>
      <c r="S134" s="18" t="s">
        <v>61</v>
      </c>
      <c r="T134" s="18" t="s">
        <v>62</v>
      </c>
      <c r="U134" s="19" t="s">
        <v>80</v>
      </c>
    </row>
    <row r="135" spans="1:21" ht="15.75" customHeight="1" x14ac:dyDescent="0.25">
      <c r="A135" s="27" t="s">
        <v>1014</v>
      </c>
      <c r="B135" s="28" t="s">
        <v>1015</v>
      </c>
      <c r="C135" s="29" t="s">
        <v>1016</v>
      </c>
      <c r="D135" s="30" t="s">
        <v>1017</v>
      </c>
      <c r="E135" s="29" t="s">
        <v>98</v>
      </c>
      <c r="F135" s="31">
        <v>350</v>
      </c>
      <c r="G135" s="20" t="s">
        <v>119</v>
      </c>
      <c r="H135" s="29" t="s">
        <v>129</v>
      </c>
      <c r="I135" s="32" t="s">
        <v>1018</v>
      </c>
      <c r="J135" s="28" t="s">
        <v>1019</v>
      </c>
      <c r="K135" s="29" t="s">
        <v>933</v>
      </c>
      <c r="L135" s="27" t="s">
        <v>90</v>
      </c>
      <c r="M135" s="28" t="s">
        <v>91</v>
      </c>
      <c r="N135" s="33" t="s">
        <v>75</v>
      </c>
      <c r="O135" s="34" t="s">
        <v>1020</v>
      </c>
      <c r="P135" s="34" t="s">
        <v>1021</v>
      </c>
      <c r="Q135" s="35" t="s">
        <v>78</v>
      </c>
      <c r="R135" s="35" t="s">
        <v>79</v>
      </c>
      <c r="S135" s="35" t="s">
        <v>61</v>
      </c>
      <c r="T135" s="35" t="s">
        <v>62</v>
      </c>
      <c r="U135" s="36" t="s">
        <v>80</v>
      </c>
    </row>
    <row r="136" spans="1:21" ht="15.75" customHeight="1" x14ac:dyDescent="0.25">
      <c r="A136" s="9" t="s">
        <v>1022</v>
      </c>
      <c r="B136" s="10" t="s">
        <v>1023</v>
      </c>
      <c r="C136" s="11" t="s">
        <v>1024</v>
      </c>
      <c r="D136" s="21" t="s">
        <v>109</v>
      </c>
      <c r="E136" s="11" t="s">
        <v>47</v>
      </c>
      <c r="F136" s="13">
        <v>109</v>
      </c>
      <c r="G136" s="24" t="s">
        <v>85</v>
      </c>
      <c r="H136" s="11" t="s">
        <v>330</v>
      </c>
      <c r="I136" s="15" t="s">
        <v>1025</v>
      </c>
      <c r="J136" s="10" t="s">
        <v>1026</v>
      </c>
      <c r="K136" s="11"/>
      <c r="L136" s="9"/>
      <c r="M136" s="10"/>
      <c r="N136" s="22"/>
      <c r="O136" s="17"/>
      <c r="P136" s="17"/>
      <c r="Q136" s="18" t="s">
        <v>78</v>
      </c>
      <c r="R136" s="18" t="s">
        <v>79</v>
      </c>
      <c r="S136" s="18" t="s">
        <v>61</v>
      </c>
      <c r="T136" s="18" t="s">
        <v>62</v>
      </c>
      <c r="U136" s="19" t="s">
        <v>80</v>
      </c>
    </row>
    <row r="137" spans="1:21" ht="15.75" customHeight="1" x14ac:dyDescent="0.25">
      <c r="A137" s="27" t="s">
        <v>1027</v>
      </c>
      <c r="B137" s="28" t="s">
        <v>1028</v>
      </c>
      <c r="C137" s="29" t="s">
        <v>1029</v>
      </c>
      <c r="D137" s="37" t="s">
        <v>109</v>
      </c>
      <c r="E137" s="29" t="s">
        <v>98</v>
      </c>
      <c r="F137" s="31">
        <v>61</v>
      </c>
      <c r="G137" s="25" t="s">
        <v>110</v>
      </c>
      <c r="H137" s="29" t="s">
        <v>48</v>
      </c>
      <c r="I137" s="32" t="s">
        <v>1030</v>
      </c>
      <c r="J137" s="28" t="s">
        <v>1031</v>
      </c>
      <c r="K137" s="29" t="s">
        <v>1032</v>
      </c>
      <c r="L137" s="27" t="s">
        <v>90</v>
      </c>
      <c r="M137" s="28" t="s">
        <v>91</v>
      </c>
      <c r="N137" s="38"/>
      <c r="O137" s="34"/>
      <c r="P137" s="34"/>
      <c r="Q137" s="35" t="s">
        <v>78</v>
      </c>
      <c r="R137" s="35" t="s">
        <v>79</v>
      </c>
      <c r="S137" s="35" t="s">
        <v>61</v>
      </c>
      <c r="T137" s="35" t="s">
        <v>62</v>
      </c>
      <c r="U137" s="36" t="s">
        <v>80</v>
      </c>
    </row>
    <row r="138" spans="1:21" ht="15.75" customHeight="1" x14ac:dyDescent="0.25">
      <c r="A138" s="9" t="s">
        <v>1033</v>
      </c>
      <c r="B138" s="10" t="s">
        <v>1034</v>
      </c>
      <c r="C138" s="11" t="s">
        <v>1035</v>
      </c>
      <c r="D138" s="12" t="s">
        <v>459</v>
      </c>
      <c r="E138" s="11" t="s">
        <v>47</v>
      </c>
      <c r="F138" s="11" t="s">
        <v>1036</v>
      </c>
      <c r="G138" s="20" t="s">
        <v>85</v>
      </c>
      <c r="H138" s="11" t="s">
        <v>330</v>
      </c>
      <c r="I138" s="15" t="s">
        <v>1037</v>
      </c>
      <c r="J138" s="10" t="s">
        <v>1038</v>
      </c>
      <c r="K138" s="11" t="s">
        <v>132</v>
      </c>
      <c r="L138" s="9" t="s">
        <v>90</v>
      </c>
      <c r="M138" s="10" t="s">
        <v>91</v>
      </c>
      <c r="N138" s="16" t="s">
        <v>75</v>
      </c>
      <c r="O138" s="17" t="s">
        <v>124</v>
      </c>
      <c r="P138" s="17" t="s">
        <v>125</v>
      </c>
      <c r="Q138" s="18" t="s">
        <v>78</v>
      </c>
      <c r="R138" s="18" t="s">
        <v>79</v>
      </c>
      <c r="S138" s="18" t="s">
        <v>61</v>
      </c>
      <c r="T138" s="18" t="s">
        <v>62</v>
      </c>
      <c r="U138" s="19" t="s">
        <v>80</v>
      </c>
    </row>
    <row r="139" spans="1:21" ht="15.75" customHeight="1" x14ac:dyDescent="0.25">
      <c r="A139" s="27" t="s">
        <v>1039</v>
      </c>
      <c r="B139" s="28" t="s">
        <v>1040</v>
      </c>
      <c r="C139" s="29" t="s">
        <v>1041</v>
      </c>
      <c r="D139" s="37" t="s">
        <v>109</v>
      </c>
      <c r="E139" s="29" t="s">
        <v>67</v>
      </c>
      <c r="F139" s="31">
        <v>-183</v>
      </c>
      <c r="G139" s="24" t="s">
        <v>85</v>
      </c>
      <c r="H139" s="29" t="s">
        <v>69</v>
      </c>
      <c r="I139" s="32" t="s">
        <v>1042</v>
      </c>
      <c r="J139" s="28" t="s">
        <v>1043</v>
      </c>
      <c r="K139" s="29" t="s">
        <v>1044</v>
      </c>
      <c r="L139" s="27" t="s">
        <v>248</v>
      </c>
      <c r="M139" s="28" t="s">
        <v>249</v>
      </c>
      <c r="N139" s="38"/>
      <c r="O139" s="34"/>
      <c r="P139" s="34"/>
      <c r="Q139" s="35" t="s">
        <v>78</v>
      </c>
      <c r="R139" s="35" t="s">
        <v>79</v>
      </c>
      <c r="S139" s="35" t="s">
        <v>61</v>
      </c>
      <c r="T139" s="35" t="s">
        <v>62</v>
      </c>
      <c r="U139" s="36" t="s">
        <v>80</v>
      </c>
    </row>
    <row r="140" spans="1:21" ht="15.75" customHeight="1" x14ac:dyDescent="0.25">
      <c r="A140" s="9" t="s">
        <v>1045</v>
      </c>
      <c r="B140" s="10" t="s">
        <v>1046</v>
      </c>
      <c r="C140" s="11" t="s">
        <v>1047</v>
      </c>
      <c r="D140" s="21" t="s">
        <v>109</v>
      </c>
      <c r="E140" s="11" t="s">
        <v>98</v>
      </c>
      <c r="F140" s="11" t="s">
        <v>1048</v>
      </c>
      <c r="G140" s="24" t="s">
        <v>85</v>
      </c>
      <c r="H140" s="11" t="s">
        <v>100</v>
      </c>
      <c r="I140" s="15" t="s">
        <v>1049</v>
      </c>
      <c r="J140" s="10" t="s">
        <v>1050</v>
      </c>
      <c r="K140" s="11"/>
      <c r="L140" s="9"/>
      <c r="M140" s="10"/>
      <c r="N140" s="22"/>
      <c r="O140" s="17"/>
      <c r="P140" s="17"/>
      <c r="Q140" s="18" t="s">
        <v>78</v>
      </c>
      <c r="R140" s="18" t="s">
        <v>79</v>
      </c>
      <c r="S140" s="18" t="s">
        <v>61</v>
      </c>
      <c r="T140" s="18" t="s">
        <v>62</v>
      </c>
      <c r="U140" s="19" t="s">
        <v>80</v>
      </c>
    </row>
    <row r="141" spans="1:21" ht="15.75" customHeight="1" x14ac:dyDescent="0.25">
      <c r="A141" s="27" t="s">
        <v>1051</v>
      </c>
      <c r="B141" s="28" t="s">
        <v>1052</v>
      </c>
      <c r="C141" s="29" t="s">
        <v>1053</v>
      </c>
      <c r="D141" s="37" t="s">
        <v>109</v>
      </c>
      <c r="E141" s="29" t="s">
        <v>98</v>
      </c>
      <c r="F141" s="31">
        <v>252</v>
      </c>
      <c r="G141" s="25" t="s">
        <v>110</v>
      </c>
      <c r="H141" s="29" t="s">
        <v>129</v>
      </c>
      <c r="I141" s="32" t="s">
        <v>1054</v>
      </c>
      <c r="J141" s="28" t="s">
        <v>1055</v>
      </c>
      <c r="K141" s="29" t="s">
        <v>1056</v>
      </c>
      <c r="L141" s="27" t="s">
        <v>90</v>
      </c>
      <c r="M141" s="28" t="s">
        <v>91</v>
      </c>
      <c r="N141" s="38"/>
      <c r="O141" s="34"/>
      <c r="P141" s="34"/>
      <c r="Q141" s="35" t="s">
        <v>78</v>
      </c>
      <c r="R141" s="35" t="s">
        <v>79</v>
      </c>
      <c r="S141" s="35" t="s">
        <v>61</v>
      </c>
      <c r="T141" s="35" t="s">
        <v>62</v>
      </c>
      <c r="U141" s="36" t="s">
        <v>80</v>
      </c>
    </row>
    <row r="142" spans="1:21" ht="15.75" customHeight="1" x14ac:dyDescent="0.25">
      <c r="A142" s="9" t="s">
        <v>1057</v>
      </c>
      <c r="B142" s="10" t="s">
        <v>1058</v>
      </c>
      <c r="C142" s="11" t="s">
        <v>1059</v>
      </c>
      <c r="D142" s="21" t="s">
        <v>109</v>
      </c>
      <c r="E142" s="11" t="s">
        <v>98</v>
      </c>
      <c r="F142" s="13">
        <v>245</v>
      </c>
      <c r="G142" s="25" t="s">
        <v>110</v>
      </c>
      <c r="H142" s="11" t="s">
        <v>129</v>
      </c>
      <c r="I142" s="15" t="s">
        <v>1060</v>
      </c>
      <c r="J142" s="10" t="s">
        <v>1061</v>
      </c>
      <c r="K142" s="11" t="s">
        <v>1056</v>
      </c>
      <c r="L142" s="9" t="s">
        <v>90</v>
      </c>
      <c r="M142" s="10" t="s">
        <v>91</v>
      </c>
      <c r="N142" s="22"/>
      <c r="O142" s="17"/>
      <c r="P142" s="17"/>
      <c r="Q142" s="18" t="s">
        <v>78</v>
      </c>
      <c r="R142" s="18" t="s">
        <v>79</v>
      </c>
      <c r="S142" s="18" t="s">
        <v>61</v>
      </c>
      <c r="T142" s="18" t="s">
        <v>62</v>
      </c>
      <c r="U142" s="19" t="s">
        <v>80</v>
      </c>
    </row>
    <row r="143" spans="1:21" ht="15.75" customHeight="1" x14ac:dyDescent="0.25">
      <c r="A143" s="27" t="s">
        <v>1062</v>
      </c>
      <c r="B143" s="28" t="s">
        <v>1063</v>
      </c>
      <c r="C143" s="29" t="s">
        <v>1064</v>
      </c>
      <c r="D143" s="37" t="s">
        <v>109</v>
      </c>
      <c r="E143" s="29" t="s">
        <v>98</v>
      </c>
      <c r="F143" s="31">
        <v>251</v>
      </c>
      <c r="G143" s="25" t="s">
        <v>110</v>
      </c>
      <c r="H143" s="29" t="s">
        <v>129</v>
      </c>
      <c r="I143" s="32" t="s">
        <v>1065</v>
      </c>
      <c r="J143" s="28" t="s">
        <v>1066</v>
      </c>
      <c r="K143" s="29" t="s">
        <v>1056</v>
      </c>
      <c r="L143" s="27" t="s">
        <v>90</v>
      </c>
      <c r="M143" s="28" t="s">
        <v>91</v>
      </c>
      <c r="N143" s="38"/>
      <c r="O143" s="34"/>
      <c r="P143" s="34"/>
      <c r="Q143" s="35" t="s">
        <v>78</v>
      </c>
      <c r="R143" s="35" t="s">
        <v>79</v>
      </c>
      <c r="S143" s="35" t="s">
        <v>61</v>
      </c>
      <c r="T143" s="35" t="s">
        <v>62</v>
      </c>
      <c r="U143" s="36" t="s">
        <v>80</v>
      </c>
    </row>
    <row r="144" spans="1:21" ht="15.75" customHeight="1" x14ac:dyDescent="0.25">
      <c r="A144" s="9" t="s">
        <v>1067</v>
      </c>
      <c r="B144" s="10" t="s">
        <v>1068</v>
      </c>
      <c r="C144" s="11" t="s">
        <v>1069</v>
      </c>
      <c r="D144" s="21" t="s">
        <v>109</v>
      </c>
      <c r="E144" s="11" t="s">
        <v>98</v>
      </c>
      <c r="F144" s="13">
        <v>97</v>
      </c>
      <c r="G144" s="25" t="s">
        <v>110</v>
      </c>
      <c r="H144" s="11" t="s">
        <v>48</v>
      </c>
      <c r="I144" s="15" t="s">
        <v>1070</v>
      </c>
      <c r="J144" s="10" t="s">
        <v>1071</v>
      </c>
      <c r="K144" s="11" t="s">
        <v>1056</v>
      </c>
      <c r="L144" s="9" t="s">
        <v>90</v>
      </c>
      <c r="M144" s="10" t="s">
        <v>91</v>
      </c>
      <c r="N144" s="22"/>
      <c r="O144" s="17"/>
      <c r="P144" s="17"/>
      <c r="Q144" s="18" t="s">
        <v>78</v>
      </c>
      <c r="R144" s="18" t="s">
        <v>79</v>
      </c>
      <c r="S144" s="18" t="s">
        <v>61</v>
      </c>
      <c r="T144" s="18" t="s">
        <v>62</v>
      </c>
      <c r="U144" s="19" t="s">
        <v>80</v>
      </c>
    </row>
    <row r="145" spans="1:21" ht="15.75" customHeight="1" x14ac:dyDescent="0.25">
      <c r="A145" s="27" t="s">
        <v>1072</v>
      </c>
      <c r="B145" s="28" t="s">
        <v>1073</v>
      </c>
      <c r="C145" s="29" t="s">
        <v>1074</v>
      </c>
      <c r="D145" s="37" t="s">
        <v>109</v>
      </c>
      <c r="E145" s="29" t="s">
        <v>98</v>
      </c>
      <c r="F145" s="31">
        <v>272</v>
      </c>
      <c r="G145" s="25" t="s">
        <v>110</v>
      </c>
      <c r="H145" s="29" t="s">
        <v>129</v>
      </c>
      <c r="I145" s="32" t="s">
        <v>1075</v>
      </c>
      <c r="J145" s="28" t="s">
        <v>1076</v>
      </c>
      <c r="K145" s="29" t="s">
        <v>1056</v>
      </c>
      <c r="L145" s="27" t="s">
        <v>90</v>
      </c>
      <c r="M145" s="28" t="s">
        <v>91</v>
      </c>
      <c r="N145" s="38"/>
      <c r="O145" s="34"/>
      <c r="P145" s="34"/>
      <c r="Q145" s="35" t="s">
        <v>78</v>
      </c>
      <c r="R145" s="35" t="s">
        <v>79</v>
      </c>
      <c r="S145" s="35" t="s">
        <v>61</v>
      </c>
      <c r="T145" s="35" t="s">
        <v>62</v>
      </c>
      <c r="U145" s="36" t="s">
        <v>80</v>
      </c>
    </row>
    <row r="146" spans="1:21" ht="15.75" customHeight="1" x14ac:dyDescent="0.25">
      <c r="A146" s="9" t="s">
        <v>1077</v>
      </c>
      <c r="B146" s="10" t="s">
        <v>1078</v>
      </c>
      <c r="C146" s="11" t="s">
        <v>1079</v>
      </c>
      <c r="D146" s="21" t="s">
        <v>109</v>
      </c>
      <c r="E146" s="11" t="s">
        <v>47</v>
      </c>
      <c r="F146" s="13">
        <v>260</v>
      </c>
      <c r="G146" s="24" t="s">
        <v>85</v>
      </c>
      <c r="H146" s="11" t="s">
        <v>129</v>
      </c>
      <c r="I146" s="15" t="s">
        <v>1080</v>
      </c>
      <c r="J146" s="10" t="s">
        <v>1081</v>
      </c>
      <c r="K146" s="11"/>
      <c r="L146" s="9"/>
      <c r="M146" s="10"/>
      <c r="N146" s="22"/>
      <c r="O146" s="17"/>
      <c r="P146" s="17"/>
      <c r="Q146" s="18" t="s">
        <v>78</v>
      </c>
      <c r="R146" s="18" t="s">
        <v>79</v>
      </c>
      <c r="S146" s="18" t="s">
        <v>61</v>
      </c>
      <c r="T146" s="18" t="s">
        <v>62</v>
      </c>
      <c r="U146" s="19" t="s">
        <v>80</v>
      </c>
    </row>
    <row r="147" spans="1:21" ht="15.75" customHeight="1" x14ac:dyDescent="0.25">
      <c r="A147" s="27" t="s">
        <v>1082</v>
      </c>
      <c r="B147" s="28" t="s">
        <v>1083</v>
      </c>
      <c r="C147" s="29" t="s">
        <v>1084</v>
      </c>
      <c r="D147" s="37" t="s">
        <v>109</v>
      </c>
      <c r="E147" s="29" t="s">
        <v>47</v>
      </c>
      <c r="F147" s="29"/>
      <c r="G147" s="24" t="s">
        <v>85</v>
      </c>
      <c r="H147" s="29" t="s">
        <v>120</v>
      </c>
      <c r="I147" s="32" t="s">
        <v>1085</v>
      </c>
      <c r="J147" s="28" t="s">
        <v>1086</v>
      </c>
      <c r="K147" s="29"/>
      <c r="L147" s="27"/>
      <c r="M147" s="28"/>
      <c r="N147" s="38"/>
      <c r="O147" s="34"/>
      <c r="P147" s="34"/>
      <c r="Q147" s="35" t="s">
        <v>78</v>
      </c>
      <c r="R147" s="35" t="s">
        <v>79</v>
      </c>
      <c r="S147" s="35" t="s">
        <v>61</v>
      </c>
      <c r="T147" s="35" t="s">
        <v>62</v>
      </c>
      <c r="U147" s="36" t="s">
        <v>80</v>
      </c>
    </row>
    <row r="148" spans="1:21" ht="15.75" customHeight="1" x14ac:dyDescent="0.25">
      <c r="A148" s="9" t="s">
        <v>1087</v>
      </c>
      <c r="B148" s="10" t="s">
        <v>1088</v>
      </c>
      <c r="C148" s="11" t="s">
        <v>1089</v>
      </c>
      <c r="D148" s="12" t="s">
        <v>1090</v>
      </c>
      <c r="E148" s="11" t="s">
        <v>47</v>
      </c>
      <c r="F148" s="13">
        <v>64</v>
      </c>
      <c r="G148" s="20" t="s">
        <v>85</v>
      </c>
      <c r="H148" s="11" t="s">
        <v>48</v>
      </c>
      <c r="I148" s="15" t="s">
        <v>1091</v>
      </c>
      <c r="J148" s="10" t="s">
        <v>1092</v>
      </c>
      <c r="K148" s="11" t="s">
        <v>1093</v>
      </c>
      <c r="L148" s="9" t="s">
        <v>90</v>
      </c>
      <c r="M148" s="10" t="s">
        <v>91</v>
      </c>
      <c r="N148" s="16" t="s">
        <v>75</v>
      </c>
      <c r="O148" s="17" t="s">
        <v>492</v>
      </c>
      <c r="P148" s="17" t="s">
        <v>493</v>
      </c>
      <c r="Q148" s="18" t="s">
        <v>78</v>
      </c>
      <c r="R148" s="18" t="s">
        <v>79</v>
      </c>
      <c r="S148" s="18" t="s">
        <v>61</v>
      </c>
      <c r="T148" s="18" t="s">
        <v>62</v>
      </c>
      <c r="U148" s="19" t="s">
        <v>80</v>
      </c>
    </row>
    <row r="149" spans="1:21" ht="15.75" customHeight="1" x14ac:dyDescent="0.25">
      <c r="A149" s="27" t="s">
        <v>1094</v>
      </c>
      <c r="B149" s="28" t="s">
        <v>1095</v>
      </c>
      <c r="C149" s="29" t="s">
        <v>1096</v>
      </c>
      <c r="D149" s="30" t="s">
        <v>1097</v>
      </c>
      <c r="E149" s="29" t="s">
        <v>47</v>
      </c>
      <c r="F149" s="29" t="s">
        <v>1098</v>
      </c>
      <c r="G149" s="20" t="s">
        <v>85</v>
      </c>
      <c r="H149" s="29" t="s">
        <v>330</v>
      </c>
      <c r="I149" s="32" t="s">
        <v>1099</v>
      </c>
      <c r="J149" s="28" t="s">
        <v>1100</v>
      </c>
      <c r="K149" s="29" t="s">
        <v>1101</v>
      </c>
      <c r="L149" s="27" t="s">
        <v>90</v>
      </c>
      <c r="M149" s="28" t="s">
        <v>91</v>
      </c>
      <c r="N149" s="33" t="s">
        <v>75</v>
      </c>
      <c r="O149" s="34" t="s">
        <v>313</v>
      </c>
      <c r="P149" s="34" t="s">
        <v>314</v>
      </c>
      <c r="Q149" s="35" t="s">
        <v>78</v>
      </c>
      <c r="R149" s="35" t="s">
        <v>79</v>
      </c>
      <c r="S149" s="35" t="s">
        <v>61</v>
      </c>
      <c r="T149" s="35" t="s">
        <v>62</v>
      </c>
      <c r="U149" s="36" t="s">
        <v>80</v>
      </c>
    </row>
    <row r="150" spans="1:21" ht="15.75" customHeight="1" x14ac:dyDescent="0.25">
      <c r="A150" s="9" t="s">
        <v>1102</v>
      </c>
      <c r="B150" s="10" t="s">
        <v>1103</v>
      </c>
      <c r="C150" s="11" t="s">
        <v>1104</v>
      </c>
      <c r="D150" s="12" t="s">
        <v>1105</v>
      </c>
      <c r="E150" s="11" t="s">
        <v>98</v>
      </c>
      <c r="F150" s="13">
        <v>332</v>
      </c>
      <c r="G150" s="20" t="s">
        <v>85</v>
      </c>
      <c r="H150" s="11" t="s">
        <v>129</v>
      </c>
      <c r="I150" s="15" t="s">
        <v>1106</v>
      </c>
      <c r="J150" s="10" t="s">
        <v>1107</v>
      </c>
      <c r="K150" s="11" t="s">
        <v>1108</v>
      </c>
      <c r="L150" s="9" t="s">
        <v>90</v>
      </c>
      <c r="M150" s="10" t="s">
        <v>91</v>
      </c>
      <c r="N150" s="16" t="s">
        <v>75</v>
      </c>
      <c r="O150" s="17" t="s">
        <v>124</v>
      </c>
      <c r="P150" s="17" t="s">
        <v>125</v>
      </c>
      <c r="Q150" s="18" t="s">
        <v>78</v>
      </c>
      <c r="R150" s="18" t="s">
        <v>79</v>
      </c>
      <c r="S150" s="18" t="s">
        <v>61</v>
      </c>
      <c r="T150" s="18" t="s">
        <v>62</v>
      </c>
      <c r="U150" s="19" t="s">
        <v>80</v>
      </c>
    </row>
    <row r="151" spans="1:21" ht="15.75" customHeight="1" x14ac:dyDescent="0.25">
      <c r="A151" s="27" t="s">
        <v>1109</v>
      </c>
      <c r="B151" s="28" t="s">
        <v>1110</v>
      </c>
      <c r="C151" s="29" t="s">
        <v>1111</v>
      </c>
      <c r="D151" s="37" t="s">
        <v>109</v>
      </c>
      <c r="E151" s="29" t="s">
        <v>98</v>
      </c>
      <c r="F151" s="31">
        <v>214</v>
      </c>
      <c r="G151" s="25" t="s">
        <v>110</v>
      </c>
      <c r="H151" s="29" t="s">
        <v>129</v>
      </c>
      <c r="I151" s="32" t="s">
        <v>1112</v>
      </c>
      <c r="J151" s="28" t="s">
        <v>1113</v>
      </c>
      <c r="K151" s="29" t="s">
        <v>1114</v>
      </c>
      <c r="L151" s="27" t="s">
        <v>90</v>
      </c>
      <c r="M151" s="28" t="s">
        <v>91</v>
      </c>
      <c r="N151" s="38"/>
      <c r="O151" s="34"/>
      <c r="P151" s="34"/>
      <c r="Q151" s="35" t="s">
        <v>78</v>
      </c>
      <c r="R151" s="35" t="s">
        <v>79</v>
      </c>
      <c r="S151" s="35" t="s">
        <v>61</v>
      </c>
      <c r="T151" s="35" t="s">
        <v>62</v>
      </c>
      <c r="U151" s="36" t="s">
        <v>80</v>
      </c>
    </row>
    <row r="152" spans="1:21" ht="15.75" customHeight="1" x14ac:dyDescent="0.25">
      <c r="A152" s="9" t="s">
        <v>1115</v>
      </c>
      <c r="B152" s="10" t="s">
        <v>1116</v>
      </c>
      <c r="C152" s="11" t="s">
        <v>1117</v>
      </c>
      <c r="D152" s="21" t="s">
        <v>109</v>
      </c>
      <c r="E152" s="11" t="s">
        <v>47</v>
      </c>
      <c r="F152" s="11" t="s">
        <v>99</v>
      </c>
      <c r="G152" s="24" t="s">
        <v>85</v>
      </c>
      <c r="H152" s="11" t="s">
        <v>120</v>
      </c>
      <c r="I152" s="15" t="s">
        <v>1118</v>
      </c>
      <c r="J152" s="10" t="s">
        <v>1119</v>
      </c>
      <c r="K152" s="11"/>
      <c r="L152" s="9"/>
      <c r="M152" s="10"/>
      <c r="N152" s="22"/>
      <c r="O152" s="17"/>
      <c r="P152" s="17"/>
      <c r="Q152" s="18" t="s">
        <v>78</v>
      </c>
      <c r="R152" s="18" t="s">
        <v>79</v>
      </c>
      <c r="S152" s="18" t="s">
        <v>61</v>
      </c>
      <c r="T152" s="18" t="s">
        <v>62</v>
      </c>
      <c r="U152" s="19" t="s">
        <v>80</v>
      </c>
    </row>
    <row r="153" spans="1:21" ht="15.75" customHeight="1" x14ac:dyDescent="0.25">
      <c r="A153" s="27" t="s">
        <v>1120</v>
      </c>
      <c r="B153" s="28" t="s">
        <v>1121</v>
      </c>
      <c r="C153" s="29" t="s">
        <v>1122</v>
      </c>
      <c r="D153" s="30" t="s">
        <v>1123</v>
      </c>
      <c r="E153" s="29" t="s">
        <v>47</v>
      </c>
      <c r="F153" s="31">
        <v>171</v>
      </c>
      <c r="G153" s="25" t="s">
        <v>119</v>
      </c>
      <c r="H153" s="29" t="s">
        <v>86</v>
      </c>
      <c r="I153" s="32" t="s">
        <v>1124</v>
      </c>
      <c r="J153" s="28" t="s">
        <v>1125</v>
      </c>
      <c r="K153" s="29" t="s">
        <v>1126</v>
      </c>
      <c r="L153" s="27" t="s">
        <v>481</v>
      </c>
      <c r="M153" s="28" t="s">
        <v>482</v>
      </c>
      <c r="N153" s="33" t="s">
        <v>75</v>
      </c>
      <c r="O153" s="34" t="s">
        <v>1127</v>
      </c>
      <c r="P153" s="34" t="s">
        <v>1128</v>
      </c>
      <c r="Q153" s="35" t="s">
        <v>78</v>
      </c>
      <c r="R153" s="35" t="s">
        <v>79</v>
      </c>
      <c r="S153" s="35" t="s">
        <v>61</v>
      </c>
      <c r="T153" s="35" t="s">
        <v>62</v>
      </c>
      <c r="U153" s="36" t="s">
        <v>80</v>
      </c>
    </row>
    <row r="154" spans="1:21" ht="15.75" customHeight="1" x14ac:dyDescent="0.25">
      <c r="A154" s="9" t="s">
        <v>1129</v>
      </c>
      <c r="B154" s="10" t="s">
        <v>1130</v>
      </c>
      <c r="C154" s="11" t="s">
        <v>1131</v>
      </c>
      <c r="D154" s="21" t="s">
        <v>109</v>
      </c>
      <c r="E154" s="11" t="s">
        <v>67</v>
      </c>
      <c r="F154" s="13">
        <v>16.600000000000001</v>
      </c>
      <c r="G154" s="14" t="s">
        <v>119</v>
      </c>
      <c r="H154" s="11" t="s">
        <v>69</v>
      </c>
      <c r="I154" s="15" t="s">
        <v>1132</v>
      </c>
      <c r="J154" s="10" t="s">
        <v>1133</v>
      </c>
      <c r="K154" s="11" t="s">
        <v>1134</v>
      </c>
      <c r="L154" s="9" t="s">
        <v>73</v>
      </c>
      <c r="M154" s="10" t="s">
        <v>74</v>
      </c>
      <c r="N154" s="22"/>
      <c r="O154" s="17"/>
      <c r="P154" s="17"/>
      <c r="Q154" s="18" t="s">
        <v>78</v>
      </c>
      <c r="R154" s="18" t="s">
        <v>79</v>
      </c>
      <c r="S154" s="18" t="s">
        <v>61</v>
      </c>
      <c r="T154" s="18" t="s">
        <v>62</v>
      </c>
      <c r="U154" s="19" t="s">
        <v>80</v>
      </c>
    </row>
    <row r="155" spans="1:21" ht="15.75" customHeight="1" x14ac:dyDescent="0.25">
      <c r="A155" s="27" t="s">
        <v>1135</v>
      </c>
      <c r="B155" s="28" t="s">
        <v>1136</v>
      </c>
      <c r="C155" s="29" t="s">
        <v>1137</v>
      </c>
      <c r="D155" s="37" t="s">
        <v>109</v>
      </c>
      <c r="E155" s="29" t="s">
        <v>67</v>
      </c>
      <c r="F155" s="31">
        <v>-185.9</v>
      </c>
      <c r="G155" s="24" t="s">
        <v>85</v>
      </c>
      <c r="H155" s="29" t="s">
        <v>69</v>
      </c>
      <c r="I155" s="32" t="s">
        <v>1138</v>
      </c>
      <c r="J155" s="28" t="s">
        <v>1136</v>
      </c>
      <c r="K155" s="29" t="s">
        <v>1139</v>
      </c>
      <c r="L155" s="27" t="s">
        <v>248</v>
      </c>
      <c r="M155" s="28" t="s">
        <v>249</v>
      </c>
      <c r="N155" s="38"/>
      <c r="O155" s="34"/>
      <c r="P155" s="34"/>
      <c r="Q155" s="35" t="s">
        <v>78</v>
      </c>
      <c r="R155" s="35" t="s">
        <v>79</v>
      </c>
      <c r="S155" s="35" t="s">
        <v>61</v>
      </c>
      <c r="T155" s="35" t="s">
        <v>62</v>
      </c>
      <c r="U155" s="36" t="s">
        <v>80</v>
      </c>
    </row>
    <row r="156" spans="1:21" ht="15.75" customHeight="1" x14ac:dyDescent="0.25">
      <c r="A156" s="9" t="s">
        <v>1140</v>
      </c>
      <c r="B156" s="10" t="s">
        <v>1141</v>
      </c>
      <c r="C156" s="11" t="s">
        <v>1142</v>
      </c>
      <c r="D156" s="12" t="s">
        <v>1143</v>
      </c>
      <c r="E156" s="11" t="s">
        <v>67</v>
      </c>
      <c r="F156" s="13">
        <v>11</v>
      </c>
      <c r="G156" s="20" t="s">
        <v>85</v>
      </c>
      <c r="H156" s="11" t="s">
        <v>69</v>
      </c>
      <c r="I156" s="15" t="s">
        <v>1144</v>
      </c>
      <c r="J156" s="10" t="s">
        <v>1145</v>
      </c>
      <c r="K156" s="11" t="s">
        <v>1146</v>
      </c>
      <c r="L156" s="9" t="s">
        <v>140</v>
      </c>
      <c r="M156" s="10" t="s">
        <v>141</v>
      </c>
      <c r="N156" s="16" t="s">
        <v>75</v>
      </c>
      <c r="O156" s="17" t="s">
        <v>265</v>
      </c>
      <c r="P156" s="17" t="s">
        <v>266</v>
      </c>
      <c r="Q156" s="18" t="s">
        <v>78</v>
      </c>
      <c r="R156" s="18" t="s">
        <v>79</v>
      </c>
      <c r="S156" s="18" t="s">
        <v>61</v>
      </c>
      <c r="T156" s="18" t="s">
        <v>62</v>
      </c>
      <c r="U156" s="19" t="s">
        <v>80</v>
      </c>
    </row>
    <row r="157" spans="1:21" ht="15.75" customHeight="1" x14ac:dyDescent="0.25">
      <c r="A157" s="27" t="s">
        <v>1147</v>
      </c>
      <c r="B157" s="28" t="s">
        <v>1148</v>
      </c>
      <c r="C157" s="29" t="s">
        <v>1149</v>
      </c>
      <c r="D157" s="30" t="s">
        <v>1150</v>
      </c>
      <c r="E157" s="29" t="s">
        <v>98</v>
      </c>
      <c r="F157" s="29"/>
      <c r="G157" s="20" t="s">
        <v>119</v>
      </c>
      <c r="H157" s="29" t="s">
        <v>100</v>
      </c>
      <c r="I157" s="32" t="s">
        <v>1151</v>
      </c>
      <c r="J157" s="28" t="s">
        <v>1148</v>
      </c>
      <c r="K157" s="29" t="s">
        <v>332</v>
      </c>
      <c r="L157" s="27" t="s">
        <v>197</v>
      </c>
      <c r="M157" s="28" t="s">
        <v>198</v>
      </c>
      <c r="N157" s="33" t="s">
        <v>75</v>
      </c>
      <c r="O157" s="34" t="s">
        <v>448</v>
      </c>
      <c r="P157" s="34" t="s">
        <v>449</v>
      </c>
      <c r="Q157" s="35" t="s">
        <v>78</v>
      </c>
      <c r="R157" s="35" t="s">
        <v>79</v>
      </c>
      <c r="S157" s="35" t="s">
        <v>61</v>
      </c>
      <c r="T157" s="35" t="s">
        <v>62</v>
      </c>
      <c r="U157" s="36" t="s">
        <v>80</v>
      </c>
    </row>
    <row r="158" spans="1:21" ht="15.75" customHeight="1" x14ac:dyDescent="0.25">
      <c r="A158" s="9" t="s">
        <v>1152</v>
      </c>
      <c r="B158" s="10" t="s">
        <v>1153</v>
      </c>
      <c r="C158" s="11"/>
      <c r="D158" s="21" t="s">
        <v>109</v>
      </c>
      <c r="E158" s="11"/>
      <c r="F158" s="11"/>
      <c r="G158" s="24" t="s">
        <v>85</v>
      </c>
      <c r="H158" s="11" t="s">
        <v>120</v>
      </c>
      <c r="I158" s="15" t="s">
        <v>1154</v>
      </c>
      <c r="J158" s="10" t="s">
        <v>1155</v>
      </c>
      <c r="K158" s="11"/>
      <c r="L158" s="9"/>
      <c r="M158" s="10"/>
      <c r="N158" s="22"/>
      <c r="O158" s="17"/>
      <c r="P158" s="17"/>
      <c r="Q158" s="18" t="s">
        <v>78</v>
      </c>
      <c r="R158" s="18" t="s">
        <v>79</v>
      </c>
      <c r="S158" s="18" t="s">
        <v>61</v>
      </c>
      <c r="T158" s="18" t="s">
        <v>62</v>
      </c>
      <c r="U158" s="19" t="s">
        <v>80</v>
      </c>
    </row>
    <row r="159" spans="1:21" ht="15.75" customHeight="1" x14ac:dyDescent="0.25">
      <c r="A159" s="27" t="s">
        <v>1156</v>
      </c>
      <c r="B159" s="28" t="s">
        <v>1157</v>
      </c>
      <c r="C159" s="29" t="s">
        <v>1158</v>
      </c>
      <c r="D159" s="30" t="s">
        <v>1159</v>
      </c>
      <c r="E159" s="29" t="s">
        <v>47</v>
      </c>
      <c r="F159" s="29" t="s">
        <v>1160</v>
      </c>
      <c r="G159" s="20" t="s">
        <v>119</v>
      </c>
      <c r="H159" s="29" t="s">
        <v>330</v>
      </c>
      <c r="I159" s="32" t="s">
        <v>1161</v>
      </c>
      <c r="J159" s="28" t="s">
        <v>1162</v>
      </c>
      <c r="K159" s="29" t="s">
        <v>507</v>
      </c>
      <c r="L159" s="27" t="s">
        <v>90</v>
      </c>
      <c r="M159" s="28" t="s">
        <v>91</v>
      </c>
      <c r="N159" s="33" t="s">
        <v>75</v>
      </c>
      <c r="O159" s="34" t="s">
        <v>124</v>
      </c>
      <c r="P159" s="34" t="s">
        <v>125</v>
      </c>
      <c r="Q159" s="35" t="s">
        <v>78</v>
      </c>
      <c r="R159" s="35" t="s">
        <v>79</v>
      </c>
      <c r="S159" s="35" t="s">
        <v>61</v>
      </c>
      <c r="T159" s="35" t="s">
        <v>62</v>
      </c>
      <c r="U159" s="36" t="s">
        <v>80</v>
      </c>
    </row>
    <row r="160" spans="1:21" ht="15.75" customHeight="1" x14ac:dyDescent="0.25">
      <c r="A160" s="9" t="s">
        <v>1163</v>
      </c>
      <c r="B160" s="10" t="s">
        <v>1164</v>
      </c>
      <c r="C160" s="11" t="s">
        <v>1165</v>
      </c>
      <c r="D160" s="21" t="s">
        <v>109</v>
      </c>
      <c r="E160" s="11" t="s">
        <v>47</v>
      </c>
      <c r="F160" s="11" t="s">
        <v>1166</v>
      </c>
      <c r="G160" s="25" t="s">
        <v>110</v>
      </c>
      <c r="H160" s="11" t="s">
        <v>120</v>
      </c>
      <c r="I160" s="15" t="s">
        <v>1167</v>
      </c>
      <c r="J160" s="10" t="s">
        <v>1168</v>
      </c>
      <c r="K160" s="11" t="s">
        <v>507</v>
      </c>
      <c r="L160" s="9" t="s">
        <v>90</v>
      </c>
      <c r="M160" s="10" t="s">
        <v>91</v>
      </c>
      <c r="N160" s="22"/>
      <c r="O160" s="17"/>
      <c r="P160" s="17"/>
      <c r="Q160" s="18" t="s">
        <v>78</v>
      </c>
      <c r="R160" s="18" t="s">
        <v>79</v>
      </c>
      <c r="S160" s="18" t="s">
        <v>61</v>
      </c>
      <c r="T160" s="18" t="s">
        <v>62</v>
      </c>
      <c r="U160" s="19" t="s">
        <v>80</v>
      </c>
    </row>
    <row r="161" spans="1:21" ht="15.75" customHeight="1" x14ac:dyDescent="0.25">
      <c r="A161" s="27" t="s">
        <v>1169</v>
      </c>
      <c r="B161" s="28" t="s">
        <v>1170</v>
      </c>
      <c r="C161" s="29" t="s">
        <v>1171</v>
      </c>
      <c r="D161" s="37" t="s">
        <v>109</v>
      </c>
      <c r="E161" s="29" t="s">
        <v>98</v>
      </c>
      <c r="F161" s="29"/>
      <c r="G161" s="24" t="s">
        <v>85</v>
      </c>
      <c r="H161" s="29" t="s">
        <v>100</v>
      </c>
      <c r="I161" s="32" t="s">
        <v>1172</v>
      </c>
      <c r="J161" s="28" t="s">
        <v>1173</v>
      </c>
      <c r="K161" s="29"/>
      <c r="L161" s="27"/>
      <c r="M161" s="28"/>
      <c r="N161" s="38"/>
      <c r="O161" s="34"/>
      <c r="P161" s="34"/>
      <c r="Q161" s="35" t="s">
        <v>78</v>
      </c>
      <c r="R161" s="35" t="s">
        <v>79</v>
      </c>
      <c r="S161" s="35" t="s">
        <v>61</v>
      </c>
      <c r="T161" s="35" t="s">
        <v>62</v>
      </c>
      <c r="U161" s="36" t="s">
        <v>80</v>
      </c>
    </row>
    <row r="162" spans="1:21" ht="15.75" customHeight="1" x14ac:dyDescent="0.25">
      <c r="A162" s="9" t="s">
        <v>1174</v>
      </c>
      <c r="B162" s="10" t="s">
        <v>1175</v>
      </c>
      <c r="C162" s="11" t="s">
        <v>1176</v>
      </c>
      <c r="D162" s="12" t="s">
        <v>1177</v>
      </c>
      <c r="E162" s="11" t="s">
        <v>98</v>
      </c>
      <c r="F162" s="11"/>
      <c r="G162" s="20" t="s">
        <v>85</v>
      </c>
      <c r="H162" s="11" t="s">
        <v>100</v>
      </c>
      <c r="I162" s="15" t="s">
        <v>1178</v>
      </c>
      <c r="J162" s="10" t="s">
        <v>1179</v>
      </c>
      <c r="K162" s="11" t="s">
        <v>1180</v>
      </c>
      <c r="L162" s="9" t="s">
        <v>90</v>
      </c>
      <c r="M162" s="10" t="s">
        <v>91</v>
      </c>
      <c r="N162" s="16" t="s">
        <v>75</v>
      </c>
      <c r="O162" s="17" t="s">
        <v>124</v>
      </c>
      <c r="P162" s="17" t="s">
        <v>125</v>
      </c>
      <c r="Q162" s="18" t="s">
        <v>78</v>
      </c>
      <c r="R162" s="18" t="s">
        <v>79</v>
      </c>
      <c r="S162" s="18" t="s">
        <v>61</v>
      </c>
      <c r="T162" s="18" t="s">
        <v>62</v>
      </c>
      <c r="U162" s="19" t="s">
        <v>80</v>
      </c>
    </row>
    <row r="163" spans="1:21" ht="15.75" customHeight="1" x14ac:dyDescent="0.25">
      <c r="A163" s="27" t="s">
        <v>1181</v>
      </c>
      <c r="B163" s="28" t="s">
        <v>1182</v>
      </c>
      <c r="C163" s="29" t="s">
        <v>1183</v>
      </c>
      <c r="D163" s="30" t="s">
        <v>1184</v>
      </c>
      <c r="E163" s="29" t="s">
        <v>47</v>
      </c>
      <c r="F163" s="31">
        <v>232</v>
      </c>
      <c r="G163" s="20" t="s">
        <v>85</v>
      </c>
      <c r="H163" s="29" t="s">
        <v>129</v>
      </c>
      <c r="I163" s="32" t="s">
        <v>1185</v>
      </c>
      <c r="J163" s="28" t="s">
        <v>1186</v>
      </c>
      <c r="K163" s="29"/>
      <c r="L163" s="27"/>
      <c r="M163" s="28"/>
      <c r="N163" s="33" t="s">
        <v>75</v>
      </c>
      <c r="O163" s="34" t="s">
        <v>180</v>
      </c>
      <c r="P163" s="34" t="s">
        <v>181</v>
      </c>
      <c r="Q163" s="35" t="s">
        <v>78</v>
      </c>
      <c r="R163" s="35" t="s">
        <v>79</v>
      </c>
      <c r="S163" s="35" t="s">
        <v>61</v>
      </c>
      <c r="T163" s="35" t="s">
        <v>62</v>
      </c>
      <c r="U163" s="36" t="s">
        <v>80</v>
      </c>
    </row>
    <row r="164" spans="1:21" ht="15.75" customHeight="1" x14ac:dyDescent="0.25">
      <c r="A164" s="9" t="s">
        <v>1187</v>
      </c>
      <c r="B164" s="10" t="s">
        <v>1188</v>
      </c>
      <c r="C164" s="11" t="s">
        <v>1189</v>
      </c>
      <c r="D164" s="12" t="s">
        <v>1190</v>
      </c>
      <c r="E164" s="11" t="s">
        <v>67</v>
      </c>
      <c r="F164" s="13">
        <v>-85.1</v>
      </c>
      <c r="G164" s="20" t="s">
        <v>119</v>
      </c>
      <c r="H164" s="11" t="s">
        <v>69</v>
      </c>
      <c r="I164" s="15" t="s">
        <v>1191</v>
      </c>
      <c r="J164" s="10" t="s">
        <v>1192</v>
      </c>
      <c r="K164" s="11" t="s">
        <v>1193</v>
      </c>
      <c r="L164" s="9" t="s">
        <v>140</v>
      </c>
      <c r="M164" s="10" t="s">
        <v>141</v>
      </c>
      <c r="N164" s="16" t="s">
        <v>75</v>
      </c>
      <c r="O164" s="17" t="s">
        <v>1194</v>
      </c>
      <c r="P164" s="17" t="s">
        <v>1195</v>
      </c>
      <c r="Q164" s="18" t="s">
        <v>78</v>
      </c>
      <c r="R164" s="18" t="s">
        <v>79</v>
      </c>
      <c r="S164" s="18" t="s">
        <v>61</v>
      </c>
      <c r="T164" s="18" t="s">
        <v>62</v>
      </c>
      <c r="U164" s="19" t="s">
        <v>80</v>
      </c>
    </row>
    <row r="165" spans="1:21" ht="15.75" customHeight="1" x14ac:dyDescent="0.25">
      <c r="A165" s="27" t="s">
        <v>1196</v>
      </c>
      <c r="B165" s="28" t="s">
        <v>1197</v>
      </c>
      <c r="C165" s="29" t="s">
        <v>1198</v>
      </c>
      <c r="D165" s="30" t="s">
        <v>1199</v>
      </c>
      <c r="E165" s="29" t="s">
        <v>47</v>
      </c>
      <c r="F165" s="31">
        <v>141</v>
      </c>
      <c r="G165" s="20" t="s">
        <v>119</v>
      </c>
      <c r="H165" s="29" t="s">
        <v>330</v>
      </c>
      <c r="I165" s="32" t="s">
        <v>1200</v>
      </c>
      <c r="J165" s="28" t="s">
        <v>1201</v>
      </c>
      <c r="K165" s="29" t="s">
        <v>1202</v>
      </c>
      <c r="L165" s="27" t="s">
        <v>1203</v>
      </c>
      <c r="M165" s="28" t="s">
        <v>1204</v>
      </c>
      <c r="N165" s="33" t="s">
        <v>75</v>
      </c>
      <c r="O165" s="34" t="s">
        <v>1205</v>
      </c>
      <c r="P165" s="34" t="s">
        <v>1206</v>
      </c>
      <c r="Q165" s="35" t="s">
        <v>78</v>
      </c>
      <c r="R165" s="35" t="s">
        <v>79</v>
      </c>
      <c r="S165" s="35" t="s">
        <v>61</v>
      </c>
      <c r="T165" s="35" t="s">
        <v>62</v>
      </c>
      <c r="U165" s="36" t="s">
        <v>80</v>
      </c>
    </row>
    <row r="166" spans="1:21" ht="15.75" customHeight="1" x14ac:dyDescent="0.25">
      <c r="A166" s="9" t="s">
        <v>1207</v>
      </c>
      <c r="B166" s="10" t="s">
        <v>1208</v>
      </c>
      <c r="C166" s="11" t="s">
        <v>1209</v>
      </c>
      <c r="D166" s="12" t="s">
        <v>1210</v>
      </c>
      <c r="E166" s="11" t="s">
        <v>67</v>
      </c>
      <c r="F166" s="13">
        <v>-60</v>
      </c>
      <c r="G166" s="20" t="s">
        <v>119</v>
      </c>
      <c r="H166" s="11" t="s">
        <v>69</v>
      </c>
      <c r="I166" s="15" t="s">
        <v>1211</v>
      </c>
      <c r="J166" s="10" t="s">
        <v>1212</v>
      </c>
      <c r="K166" s="11" t="s">
        <v>1213</v>
      </c>
      <c r="L166" s="9" t="s">
        <v>140</v>
      </c>
      <c r="M166" s="10" t="s">
        <v>141</v>
      </c>
      <c r="N166" s="16" t="s">
        <v>75</v>
      </c>
      <c r="O166" s="17" t="s">
        <v>1214</v>
      </c>
      <c r="P166" s="17" t="s">
        <v>1215</v>
      </c>
      <c r="Q166" s="18" t="s">
        <v>78</v>
      </c>
      <c r="R166" s="18" t="s">
        <v>79</v>
      </c>
      <c r="S166" s="18" t="s">
        <v>61</v>
      </c>
      <c r="T166" s="18" t="s">
        <v>62</v>
      </c>
      <c r="U166" s="19" t="s">
        <v>80</v>
      </c>
    </row>
    <row r="167" spans="1:21" ht="15.75" customHeight="1" x14ac:dyDescent="0.25">
      <c r="A167" s="27" t="s">
        <v>1216</v>
      </c>
      <c r="B167" s="28" t="s">
        <v>1217</v>
      </c>
      <c r="C167" s="29" t="s">
        <v>1218</v>
      </c>
      <c r="D167" s="37" t="s">
        <v>109</v>
      </c>
      <c r="E167" s="29" t="s">
        <v>98</v>
      </c>
      <c r="F167" s="31">
        <v>287</v>
      </c>
      <c r="G167" s="25" t="s">
        <v>110</v>
      </c>
      <c r="H167" s="29" t="s">
        <v>129</v>
      </c>
      <c r="I167" s="32" t="s">
        <v>1219</v>
      </c>
      <c r="J167" s="28" t="s">
        <v>1220</v>
      </c>
      <c r="K167" s="29" t="s">
        <v>1221</v>
      </c>
      <c r="L167" s="27" t="s">
        <v>90</v>
      </c>
      <c r="M167" s="28" t="s">
        <v>91</v>
      </c>
      <c r="N167" s="38"/>
      <c r="O167" s="34"/>
      <c r="P167" s="34"/>
      <c r="Q167" s="35" t="s">
        <v>78</v>
      </c>
      <c r="R167" s="35" t="s">
        <v>79</v>
      </c>
      <c r="S167" s="35" t="s">
        <v>61</v>
      </c>
      <c r="T167" s="35" t="s">
        <v>62</v>
      </c>
      <c r="U167" s="36" t="s">
        <v>80</v>
      </c>
    </row>
    <row r="168" spans="1:21" ht="15.75" customHeight="1" x14ac:dyDescent="0.25">
      <c r="A168" s="9" t="s">
        <v>1222</v>
      </c>
      <c r="B168" s="10" t="s">
        <v>1223</v>
      </c>
      <c r="C168" s="11" t="s">
        <v>1224</v>
      </c>
      <c r="D168" s="21" t="s">
        <v>109</v>
      </c>
      <c r="E168" s="11" t="s">
        <v>98</v>
      </c>
      <c r="F168" s="13">
        <v>184</v>
      </c>
      <c r="G168" s="25" t="s">
        <v>110</v>
      </c>
      <c r="H168" s="11" t="s">
        <v>86</v>
      </c>
      <c r="I168" s="15" t="s">
        <v>1225</v>
      </c>
      <c r="J168" s="10" t="s">
        <v>1226</v>
      </c>
      <c r="K168" s="11" t="s">
        <v>1227</v>
      </c>
      <c r="L168" s="9" t="s">
        <v>481</v>
      </c>
      <c r="M168" s="10" t="s">
        <v>482</v>
      </c>
      <c r="N168" s="22"/>
      <c r="O168" s="17"/>
      <c r="P168" s="17"/>
      <c r="Q168" s="18" t="s">
        <v>78</v>
      </c>
      <c r="R168" s="18" t="s">
        <v>79</v>
      </c>
      <c r="S168" s="18" t="s">
        <v>61</v>
      </c>
      <c r="T168" s="18" t="s">
        <v>62</v>
      </c>
      <c r="U168" s="19" t="s">
        <v>80</v>
      </c>
    </row>
    <row r="169" spans="1:21" ht="15.75" customHeight="1" x14ac:dyDescent="0.25">
      <c r="A169" s="27" t="s">
        <v>1228</v>
      </c>
      <c r="B169" s="28" t="s">
        <v>1229</v>
      </c>
      <c r="C169" s="29" t="s">
        <v>1230</v>
      </c>
      <c r="D169" s="30" t="s">
        <v>1231</v>
      </c>
      <c r="E169" s="29" t="s">
        <v>47</v>
      </c>
      <c r="F169" s="31">
        <v>103</v>
      </c>
      <c r="G169" s="20" t="s">
        <v>119</v>
      </c>
      <c r="H169" s="29" t="s">
        <v>330</v>
      </c>
      <c r="I169" s="32" t="s">
        <v>1232</v>
      </c>
      <c r="J169" s="28" t="s">
        <v>1233</v>
      </c>
      <c r="K169" s="29" t="s">
        <v>1234</v>
      </c>
      <c r="L169" s="27" t="s">
        <v>90</v>
      </c>
      <c r="M169" s="28" t="s">
        <v>91</v>
      </c>
      <c r="N169" s="33" t="s">
        <v>75</v>
      </c>
      <c r="O169" s="34" t="s">
        <v>492</v>
      </c>
      <c r="P169" s="34" t="s">
        <v>493</v>
      </c>
      <c r="Q169" s="35" t="s">
        <v>78</v>
      </c>
      <c r="R169" s="35" t="s">
        <v>79</v>
      </c>
      <c r="S169" s="35" t="s">
        <v>61</v>
      </c>
      <c r="T169" s="35" t="s">
        <v>62</v>
      </c>
      <c r="U169" s="36" t="s">
        <v>80</v>
      </c>
    </row>
    <row r="170" spans="1:21" ht="15.75" customHeight="1" x14ac:dyDescent="0.25">
      <c r="A170" s="9" t="s">
        <v>1235</v>
      </c>
      <c r="B170" s="10" t="s">
        <v>1236</v>
      </c>
      <c r="C170" s="11" t="s">
        <v>1237</v>
      </c>
      <c r="D170" s="21" t="s">
        <v>109</v>
      </c>
      <c r="E170" s="11" t="s">
        <v>47</v>
      </c>
      <c r="F170" s="13">
        <v>215</v>
      </c>
      <c r="G170" s="24" t="s">
        <v>85</v>
      </c>
      <c r="H170" s="11" t="s">
        <v>129</v>
      </c>
      <c r="I170" s="15" t="s">
        <v>1238</v>
      </c>
      <c r="J170" s="10" t="s">
        <v>1239</v>
      </c>
      <c r="K170" s="11"/>
      <c r="L170" s="9"/>
      <c r="M170" s="10"/>
      <c r="N170" s="22"/>
      <c r="O170" s="17"/>
      <c r="P170" s="17"/>
      <c r="Q170" s="18" t="s">
        <v>78</v>
      </c>
      <c r="R170" s="18" t="s">
        <v>79</v>
      </c>
      <c r="S170" s="18" t="s">
        <v>61</v>
      </c>
      <c r="T170" s="18" t="s">
        <v>62</v>
      </c>
      <c r="U170" s="19" t="s">
        <v>80</v>
      </c>
    </row>
    <row r="171" spans="1:21" ht="15.75" customHeight="1" x14ac:dyDescent="0.25">
      <c r="A171" s="27" t="s">
        <v>1240</v>
      </c>
      <c r="B171" s="28" t="s">
        <v>1241</v>
      </c>
      <c r="C171" s="29" t="s">
        <v>1242</v>
      </c>
      <c r="D171" s="30" t="s">
        <v>1243</v>
      </c>
      <c r="E171" s="29" t="s">
        <v>47</v>
      </c>
      <c r="F171" s="31">
        <v>152</v>
      </c>
      <c r="G171" s="20" t="s">
        <v>85</v>
      </c>
      <c r="H171" s="29" t="s">
        <v>86</v>
      </c>
      <c r="I171" s="32" t="s">
        <v>1244</v>
      </c>
      <c r="J171" s="28" t="s">
        <v>1245</v>
      </c>
      <c r="K171" s="29" t="s">
        <v>1246</v>
      </c>
      <c r="L171" s="27" t="s">
        <v>158</v>
      </c>
      <c r="M171" s="28" t="s">
        <v>159</v>
      </c>
      <c r="N171" s="33" t="s">
        <v>75</v>
      </c>
      <c r="O171" s="34" t="s">
        <v>1247</v>
      </c>
      <c r="P171" s="34" t="s">
        <v>1248</v>
      </c>
      <c r="Q171" s="35" t="s">
        <v>78</v>
      </c>
      <c r="R171" s="35" t="s">
        <v>79</v>
      </c>
      <c r="S171" s="35" t="s">
        <v>61</v>
      </c>
      <c r="T171" s="35" t="s">
        <v>62</v>
      </c>
      <c r="U171" s="36" t="s">
        <v>80</v>
      </c>
    </row>
    <row r="172" spans="1:21" ht="15.75" customHeight="1" x14ac:dyDescent="0.25">
      <c r="A172" s="9" t="s">
        <v>1249</v>
      </c>
      <c r="B172" s="10" t="s">
        <v>1250</v>
      </c>
      <c r="C172" s="11" t="s">
        <v>1251</v>
      </c>
      <c r="D172" s="21" t="s">
        <v>109</v>
      </c>
      <c r="E172" s="11" t="s">
        <v>47</v>
      </c>
      <c r="F172" s="13">
        <v>137</v>
      </c>
      <c r="G172" s="14" t="s">
        <v>119</v>
      </c>
      <c r="H172" s="11" t="s">
        <v>330</v>
      </c>
      <c r="I172" s="15" t="s">
        <v>1252</v>
      </c>
      <c r="J172" s="10" t="s">
        <v>1253</v>
      </c>
      <c r="K172" s="11" t="s">
        <v>903</v>
      </c>
      <c r="L172" s="9" t="s">
        <v>158</v>
      </c>
      <c r="M172" s="10" t="s">
        <v>159</v>
      </c>
      <c r="N172" s="22"/>
      <c r="O172" s="17"/>
      <c r="P172" s="17"/>
      <c r="Q172" s="18" t="s">
        <v>78</v>
      </c>
      <c r="R172" s="18" t="s">
        <v>79</v>
      </c>
      <c r="S172" s="18" t="s">
        <v>61</v>
      </c>
      <c r="T172" s="18" t="s">
        <v>62</v>
      </c>
      <c r="U172" s="19" t="s">
        <v>80</v>
      </c>
    </row>
    <row r="173" spans="1:21" ht="15.75" customHeight="1" x14ac:dyDescent="0.25">
      <c r="A173" s="27" t="s">
        <v>1254</v>
      </c>
      <c r="B173" s="28" t="s">
        <v>1255</v>
      </c>
      <c r="C173" s="29" t="s">
        <v>1256</v>
      </c>
      <c r="D173" s="30" t="s">
        <v>1257</v>
      </c>
      <c r="E173" s="29" t="s">
        <v>47</v>
      </c>
      <c r="F173" s="29" t="s">
        <v>1258</v>
      </c>
      <c r="G173" s="20" t="s">
        <v>85</v>
      </c>
      <c r="H173" s="29" t="s">
        <v>330</v>
      </c>
      <c r="I173" s="32" t="s">
        <v>1259</v>
      </c>
      <c r="J173" s="28" t="s">
        <v>1260</v>
      </c>
      <c r="K173" s="29" t="s">
        <v>348</v>
      </c>
      <c r="L173" s="27" t="s">
        <v>197</v>
      </c>
      <c r="M173" s="28" t="s">
        <v>198</v>
      </c>
      <c r="N173" s="33" t="s">
        <v>75</v>
      </c>
      <c r="O173" s="34" t="s">
        <v>355</v>
      </c>
      <c r="P173" s="34" t="s">
        <v>356</v>
      </c>
      <c r="Q173" s="35" t="s">
        <v>78</v>
      </c>
      <c r="R173" s="35" t="s">
        <v>79</v>
      </c>
      <c r="S173" s="35" t="s">
        <v>61</v>
      </c>
      <c r="T173" s="35" t="s">
        <v>62</v>
      </c>
      <c r="U173" s="36" t="s">
        <v>80</v>
      </c>
    </row>
    <row r="174" spans="1:21" ht="15.75" customHeight="1" x14ac:dyDescent="0.25">
      <c r="A174" s="9" t="s">
        <v>1261</v>
      </c>
      <c r="B174" s="10" t="s">
        <v>1262</v>
      </c>
      <c r="C174" s="11" t="s">
        <v>1263</v>
      </c>
      <c r="D174" s="21" t="s">
        <v>109</v>
      </c>
      <c r="E174" s="11" t="s">
        <v>1264</v>
      </c>
      <c r="F174" s="11"/>
      <c r="G174" s="14" t="s">
        <v>119</v>
      </c>
      <c r="H174" s="11" t="s">
        <v>100</v>
      </c>
      <c r="I174" s="15" t="s">
        <v>1265</v>
      </c>
      <c r="J174" s="10" t="s">
        <v>1262</v>
      </c>
      <c r="K174" s="11" t="s">
        <v>1266</v>
      </c>
      <c r="L174" s="9" t="s">
        <v>1267</v>
      </c>
      <c r="M174" s="10" t="s">
        <v>1268</v>
      </c>
      <c r="N174" s="22"/>
      <c r="O174" s="17"/>
      <c r="P174" s="17"/>
      <c r="Q174" s="18" t="s">
        <v>78</v>
      </c>
      <c r="R174" s="18" t="s">
        <v>79</v>
      </c>
      <c r="S174" s="18" t="s">
        <v>61</v>
      </c>
      <c r="T174" s="18" t="s">
        <v>62</v>
      </c>
      <c r="U174" s="19" t="s">
        <v>80</v>
      </c>
    </row>
    <row r="175" spans="1:21" ht="15.75" customHeight="1" x14ac:dyDescent="0.25">
      <c r="A175" s="27" t="s">
        <v>1269</v>
      </c>
      <c r="B175" s="28" t="s">
        <v>1270</v>
      </c>
      <c r="C175" s="29" t="s">
        <v>1271</v>
      </c>
      <c r="D175" s="37" t="s">
        <v>109</v>
      </c>
      <c r="E175" s="29" t="s">
        <v>1264</v>
      </c>
      <c r="F175" s="31">
        <v>1962</v>
      </c>
      <c r="G175" s="24" t="s">
        <v>85</v>
      </c>
      <c r="H175" s="29" t="s">
        <v>129</v>
      </c>
      <c r="I175" s="32" t="s">
        <v>1272</v>
      </c>
      <c r="J175" s="28" t="s">
        <v>1273</v>
      </c>
      <c r="K175" s="29"/>
      <c r="L175" s="27"/>
      <c r="M175" s="28"/>
      <c r="N175" s="38"/>
      <c r="O175" s="34"/>
      <c r="P175" s="34"/>
      <c r="Q175" s="35" t="s">
        <v>78</v>
      </c>
      <c r="R175" s="35" t="s">
        <v>79</v>
      </c>
      <c r="S175" s="35" t="s">
        <v>61</v>
      </c>
      <c r="T175" s="35" t="s">
        <v>62</v>
      </c>
      <c r="U175" s="36" t="s">
        <v>80</v>
      </c>
    </row>
    <row r="176" spans="1:21" ht="15.75" customHeight="1" x14ac:dyDescent="0.25">
      <c r="A176" s="9" t="s">
        <v>1274</v>
      </c>
      <c r="B176" s="10" t="s">
        <v>1275</v>
      </c>
      <c r="C176" s="11" t="s">
        <v>1276</v>
      </c>
      <c r="D176" s="21" t="s">
        <v>109</v>
      </c>
      <c r="E176" s="11" t="s">
        <v>1264</v>
      </c>
      <c r="F176" s="11"/>
      <c r="G176" s="24" t="s">
        <v>85</v>
      </c>
      <c r="H176" s="11" t="s">
        <v>100</v>
      </c>
      <c r="I176" s="15" t="s">
        <v>1277</v>
      </c>
      <c r="J176" s="10" t="s">
        <v>1278</v>
      </c>
      <c r="K176" s="11"/>
      <c r="L176" s="9"/>
      <c r="M176" s="10"/>
      <c r="N176" s="22"/>
      <c r="O176" s="17"/>
      <c r="P176" s="17"/>
      <c r="Q176" s="18" t="s">
        <v>78</v>
      </c>
      <c r="R176" s="18" t="s">
        <v>79</v>
      </c>
      <c r="S176" s="18" t="s">
        <v>61</v>
      </c>
      <c r="T176" s="18" t="s">
        <v>62</v>
      </c>
      <c r="U176" s="19" t="s">
        <v>80</v>
      </c>
    </row>
    <row r="177" spans="1:21" ht="15.75" customHeight="1" x14ac:dyDescent="0.25">
      <c r="A177" s="27" t="s">
        <v>1279</v>
      </c>
      <c r="B177" s="28" t="s">
        <v>1280</v>
      </c>
      <c r="C177" s="29" t="s">
        <v>1281</v>
      </c>
      <c r="D177" s="30" t="s">
        <v>1282</v>
      </c>
      <c r="E177" s="29" t="s">
        <v>98</v>
      </c>
      <c r="F177" s="29" t="s">
        <v>1283</v>
      </c>
      <c r="G177" s="20" t="s">
        <v>119</v>
      </c>
      <c r="H177" s="29" t="s">
        <v>100</v>
      </c>
      <c r="I177" s="32" t="s">
        <v>1284</v>
      </c>
      <c r="J177" s="28" t="s">
        <v>1285</v>
      </c>
      <c r="K177" s="29" t="s">
        <v>1286</v>
      </c>
      <c r="L177" s="27" t="s">
        <v>90</v>
      </c>
      <c r="M177" s="28" t="s">
        <v>91</v>
      </c>
      <c r="N177" s="33" t="s">
        <v>75</v>
      </c>
      <c r="O177" s="34" t="s">
        <v>124</v>
      </c>
      <c r="P177" s="34" t="s">
        <v>125</v>
      </c>
      <c r="Q177" s="35" t="s">
        <v>78</v>
      </c>
      <c r="R177" s="35" t="s">
        <v>79</v>
      </c>
      <c r="S177" s="35" t="s">
        <v>61</v>
      </c>
      <c r="T177" s="35" t="s">
        <v>62</v>
      </c>
      <c r="U177" s="36" t="s">
        <v>80</v>
      </c>
    </row>
    <row r="178" spans="1:21" ht="15.75" customHeight="1" x14ac:dyDescent="0.25">
      <c r="A178" s="9" t="s">
        <v>1287</v>
      </c>
      <c r="B178" s="10" t="s">
        <v>1288</v>
      </c>
      <c r="C178" s="11" t="s">
        <v>1289</v>
      </c>
      <c r="D178" s="21" t="s">
        <v>109</v>
      </c>
      <c r="E178" s="11" t="s">
        <v>98</v>
      </c>
      <c r="F178" s="11"/>
      <c r="G178" s="25" t="s">
        <v>110</v>
      </c>
      <c r="H178" s="11" t="s">
        <v>100</v>
      </c>
      <c r="I178" s="15" t="s">
        <v>1290</v>
      </c>
      <c r="J178" s="10" t="s">
        <v>1291</v>
      </c>
      <c r="K178" s="11" t="s">
        <v>762</v>
      </c>
      <c r="L178" s="9" t="s">
        <v>90</v>
      </c>
      <c r="M178" s="10" t="s">
        <v>91</v>
      </c>
      <c r="N178" s="22"/>
      <c r="O178" s="17"/>
      <c r="P178" s="17"/>
      <c r="Q178" s="18" t="s">
        <v>78</v>
      </c>
      <c r="R178" s="18" t="s">
        <v>79</v>
      </c>
      <c r="S178" s="18" t="s">
        <v>61</v>
      </c>
      <c r="T178" s="18" t="s">
        <v>62</v>
      </c>
      <c r="U178" s="19" t="s">
        <v>80</v>
      </c>
    </row>
    <row r="179" spans="1:21" ht="15.75" customHeight="1" x14ac:dyDescent="0.25">
      <c r="A179" s="27" t="s">
        <v>1292</v>
      </c>
      <c r="B179" s="28" t="s">
        <v>1293</v>
      </c>
      <c r="C179" s="29" t="s">
        <v>1294</v>
      </c>
      <c r="D179" s="37" t="s">
        <v>109</v>
      </c>
      <c r="E179" s="29" t="s">
        <v>67</v>
      </c>
      <c r="F179" s="31">
        <v>-6</v>
      </c>
      <c r="G179" s="14" t="s">
        <v>119</v>
      </c>
      <c r="H179" s="29" t="s">
        <v>69</v>
      </c>
      <c r="I179" s="32" t="s">
        <v>1295</v>
      </c>
      <c r="J179" s="28" t="s">
        <v>1296</v>
      </c>
      <c r="K179" s="29" t="s">
        <v>1297</v>
      </c>
      <c r="L179" s="27" t="s">
        <v>73</v>
      </c>
      <c r="M179" s="28" t="s">
        <v>74</v>
      </c>
      <c r="N179" s="38"/>
      <c r="O179" s="34"/>
      <c r="P179" s="34"/>
      <c r="Q179" s="35" t="s">
        <v>78</v>
      </c>
      <c r="R179" s="35" t="s">
        <v>79</v>
      </c>
      <c r="S179" s="35" t="s">
        <v>61</v>
      </c>
      <c r="T179" s="35" t="s">
        <v>62</v>
      </c>
      <c r="U179" s="36" t="s">
        <v>80</v>
      </c>
    </row>
    <row r="180" spans="1:21" ht="15.75" customHeight="1" x14ac:dyDescent="0.25">
      <c r="A180" s="9" t="s">
        <v>1298</v>
      </c>
      <c r="B180" s="10" t="s">
        <v>1299</v>
      </c>
      <c r="C180" s="11" t="s">
        <v>1300</v>
      </c>
      <c r="D180" s="12" t="s">
        <v>1301</v>
      </c>
      <c r="E180" s="11" t="s">
        <v>47</v>
      </c>
      <c r="F180" s="13">
        <v>80</v>
      </c>
      <c r="G180" s="20" t="s">
        <v>85</v>
      </c>
      <c r="H180" s="11" t="s">
        <v>48</v>
      </c>
      <c r="I180" s="15" t="s">
        <v>1302</v>
      </c>
      <c r="J180" s="10" t="s">
        <v>1303</v>
      </c>
      <c r="K180" s="11" t="s">
        <v>1304</v>
      </c>
      <c r="L180" s="9" t="s">
        <v>158</v>
      </c>
      <c r="M180" s="10" t="s">
        <v>159</v>
      </c>
      <c r="N180" s="16" t="s">
        <v>75</v>
      </c>
      <c r="O180" s="17" t="s">
        <v>382</v>
      </c>
      <c r="P180" s="17" t="s">
        <v>383</v>
      </c>
      <c r="Q180" s="18" t="s">
        <v>78</v>
      </c>
      <c r="R180" s="18" t="s">
        <v>79</v>
      </c>
      <c r="S180" s="18" t="s">
        <v>61</v>
      </c>
      <c r="T180" s="18" t="s">
        <v>62</v>
      </c>
      <c r="U180" s="19" t="s">
        <v>80</v>
      </c>
    </row>
    <row r="181" spans="1:21" ht="15.75" customHeight="1" x14ac:dyDescent="0.25">
      <c r="A181" s="27" t="s">
        <v>1305</v>
      </c>
      <c r="B181" s="28" t="s">
        <v>1306</v>
      </c>
      <c r="C181" s="29" t="s">
        <v>1307</v>
      </c>
      <c r="D181" s="37" t="s">
        <v>109</v>
      </c>
      <c r="E181" s="29" t="s">
        <v>47</v>
      </c>
      <c r="F181" s="31">
        <v>87.5</v>
      </c>
      <c r="G181" s="25" t="s">
        <v>110</v>
      </c>
      <c r="H181" s="29" t="s">
        <v>48</v>
      </c>
      <c r="I181" s="32" t="s">
        <v>1308</v>
      </c>
      <c r="J181" s="28" t="s">
        <v>1309</v>
      </c>
      <c r="K181" s="29" t="s">
        <v>1310</v>
      </c>
      <c r="L181" s="27" t="s">
        <v>90</v>
      </c>
      <c r="M181" s="28" t="s">
        <v>91</v>
      </c>
      <c r="N181" s="38"/>
      <c r="O181" s="34"/>
      <c r="P181" s="34"/>
      <c r="Q181" s="35" t="s">
        <v>78</v>
      </c>
      <c r="R181" s="35" t="s">
        <v>79</v>
      </c>
      <c r="S181" s="35" t="s">
        <v>61</v>
      </c>
      <c r="T181" s="35" t="s">
        <v>62</v>
      </c>
      <c r="U181" s="36" t="s">
        <v>80</v>
      </c>
    </row>
    <row r="182" spans="1:21" ht="15.75" customHeight="1" x14ac:dyDescent="0.25">
      <c r="A182" s="9" t="s">
        <v>1311</v>
      </c>
      <c r="B182" s="10" t="s">
        <v>1312</v>
      </c>
      <c r="C182" s="11" t="s">
        <v>1313</v>
      </c>
      <c r="D182" s="12" t="s">
        <v>1314</v>
      </c>
      <c r="E182" s="11" t="s">
        <v>98</v>
      </c>
      <c r="F182" s="13">
        <v>125</v>
      </c>
      <c r="G182" s="20" t="s">
        <v>85</v>
      </c>
      <c r="H182" s="11" t="s">
        <v>330</v>
      </c>
      <c r="I182" s="15" t="s">
        <v>1315</v>
      </c>
      <c r="J182" s="10" t="s">
        <v>1316</v>
      </c>
      <c r="K182" s="11" t="s">
        <v>1286</v>
      </c>
      <c r="L182" s="9" t="s">
        <v>90</v>
      </c>
      <c r="M182" s="10" t="s">
        <v>91</v>
      </c>
      <c r="N182" s="16" t="s">
        <v>75</v>
      </c>
      <c r="O182" s="17" t="s">
        <v>124</v>
      </c>
      <c r="P182" s="17" t="s">
        <v>125</v>
      </c>
      <c r="Q182" s="18" t="s">
        <v>78</v>
      </c>
      <c r="R182" s="18" t="s">
        <v>79</v>
      </c>
      <c r="S182" s="18" t="s">
        <v>61</v>
      </c>
      <c r="T182" s="18" t="s">
        <v>62</v>
      </c>
      <c r="U182" s="19" t="s">
        <v>80</v>
      </c>
    </row>
    <row r="183" spans="1:21" ht="15.75" customHeight="1" x14ac:dyDescent="0.25">
      <c r="A183" s="27" t="s">
        <v>1317</v>
      </c>
      <c r="B183" s="28" t="s">
        <v>1318</v>
      </c>
      <c r="C183" s="29" t="s">
        <v>1319</v>
      </c>
      <c r="D183" s="37" t="s">
        <v>109</v>
      </c>
      <c r="E183" s="29" t="s">
        <v>47</v>
      </c>
      <c r="F183" s="29"/>
      <c r="G183" s="24" t="s">
        <v>85</v>
      </c>
      <c r="H183" s="29" t="s">
        <v>120</v>
      </c>
      <c r="I183" s="32" t="s">
        <v>1320</v>
      </c>
      <c r="J183" s="28" t="s">
        <v>1321</v>
      </c>
      <c r="K183" s="29"/>
      <c r="L183" s="27"/>
      <c r="M183" s="28"/>
      <c r="N183" s="38"/>
      <c r="O183" s="34"/>
      <c r="P183" s="34"/>
      <c r="Q183" s="35" t="s">
        <v>78</v>
      </c>
      <c r="R183" s="35" t="s">
        <v>79</v>
      </c>
      <c r="S183" s="35" t="s">
        <v>61</v>
      </c>
      <c r="T183" s="35" t="s">
        <v>62</v>
      </c>
      <c r="U183" s="36" t="s">
        <v>80</v>
      </c>
    </row>
    <row r="184" spans="1:21" ht="15.75" customHeight="1" x14ac:dyDescent="0.25">
      <c r="A184" s="9" t="s">
        <v>1322</v>
      </c>
      <c r="B184" s="10" t="s">
        <v>1323</v>
      </c>
      <c r="C184" s="11" t="s">
        <v>1324</v>
      </c>
      <c r="D184" s="12" t="s">
        <v>1325</v>
      </c>
      <c r="E184" s="11" t="s">
        <v>47</v>
      </c>
      <c r="F184" s="13">
        <v>121</v>
      </c>
      <c r="G184" s="14" t="s">
        <v>708</v>
      </c>
      <c r="H184" s="11" t="s">
        <v>330</v>
      </c>
      <c r="I184" s="15" t="s">
        <v>1326</v>
      </c>
      <c r="J184" s="10" t="s">
        <v>1327</v>
      </c>
      <c r="K184" s="11" t="s">
        <v>1328</v>
      </c>
      <c r="L184" s="9" t="s">
        <v>481</v>
      </c>
      <c r="M184" s="10" t="s">
        <v>482</v>
      </c>
      <c r="N184" s="16" t="s">
        <v>75</v>
      </c>
      <c r="O184" s="17" t="s">
        <v>1329</v>
      </c>
      <c r="P184" s="17" t="s">
        <v>1329</v>
      </c>
      <c r="Q184" s="18" t="s">
        <v>78</v>
      </c>
      <c r="R184" s="18" t="s">
        <v>79</v>
      </c>
      <c r="S184" s="18" t="s">
        <v>61</v>
      </c>
      <c r="T184" s="18" t="s">
        <v>62</v>
      </c>
      <c r="U184" s="19" t="s">
        <v>80</v>
      </c>
    </row>
    <row r="185" spans="1:21" ht="15.75" customHeight="1" x14ac:dyDescent="0.25">
      <c r="A185" s="27" t="s">
        <v>1330</v>
      </c>
      <c r="B185" s="28" t="s">
        <v>1331</v>
      </c>
      <c r="C185" s="29" t="s">
        <v>1332</v>
      </c>
      <c r="D185" s="37" t="s">
        <v>109</v>
      </c>
      <c r="E185" s="29" t="s">
        <v>98</v>
      </c>
      <c r="F185" s="29" t="s">
        <v>1333</v>
      </c>
      <c r="G185" s="14" t="s">
        <v>119</v>
      </c>
      <c r="H185" s="29" t="s">
        <v>100</v>
      </c>
      <c r="I185" s="32" t="s">
        <v>1334</v>
      </c>
      <c r="J185" s="28" t="s">
        <v>1335</v>
      </c>
      <c r="K185" s="29" t="s">
        <v>1336</v>
      </c>
      <c r="L185" s="27" t="s">
        <v>1203</v>
      </c>
      <c r="M185" s="28" t="s">
        <v>1204</v>
      </c>
      <c r="N185" s="38"/>
      <c r="O185" s="34"/>
      <c r="P185" s="34"/>
      <c r="Q185" s="35" t="s">
        <v>78</v>
      </c>
      <c r="R185" s="35" t="s">
        <v>79</v>
      </c>
      <c r="S185" s="35" t="s">
        <v>61</v>
      </c>
      <c r="T185" s="35" t="s">
        <v>62</v>
      </c>
      <c r="U185" s="36" t="s">
        <v>80</v>
      </c>
    </row>
    <row r="186" spans="1:21" ht="15.75" customHeight="1" x14ac:dyDescent="0.25">
      <c r="A186" s="9" t="s">
        <v>1337</v>
      </c>
      <c r="B186" s="10" t="s">
        <v>1338</v>
      </c>
      <c r="C186" s="11" t="s">
        <v>1339</v>
      </c>
      <c r="D186" s="21" t="s">
        <v>109</v>
      </c>
      <c r="E186" s="11" t="s">
        <v>98</v>
      </c>
      <c r="F186" s="11" t="s">
        <v>1340</v>
      </c>
      <c r="G186" s="14" t="s">
        <v>119</v>
      </c>
      <c r="H186" s="11" t="s">
        <v>120</v>
      </c>
      <c r="I186" s="15" t="s">
        <v>1341</v>
      </c>
      <c r="J186" s="10" t="s">
        <v>1342</v>
      </c>
      <c r="K186" s="11" t="s">
        <v>1343</v>
      </c>
      <c r="L186" s="9" t="s">
        <v>1203</v>
      </c>
      <c r="M186" s="10" t="s">
        <v>1204</v>
      </c>
      <c r="N186" s="22"/>
      <c r="O186" s="17"/>
      <c r="P186" s="17"/>
      <c r="Q186" s="18" t="s">
        <v>78</v>
      </c>
      <c r="R186" s="18" t="s">
        <v>79</v>
      </c>
      <c r="S186" s="18" t="s">
        <v>61</v>
      </c>
      <c r="T186" s="18" t="s">
        <v>62</v>
      </c>
      <c r="U186" s="19" t="s">
        <v>80</v>
      </c>
    </row>
    <row r="187" spans="1:21" ht="15.75" customHeight="1" x14ac:dyDescent="0.25">
      <c r="A187" s="27" t="s">
        <v>1344</v>
      </c>
      <c r="B187" s="28" t="s">
        <v>1345</v>
      </c>
      <c r="C187" s="29" t="s">
        <v>1346</v>
      </c>
      <c r="D187" s="30" t="s">
        <v>1347</v>
      </c>
      <c r="E187" s="29" t="s">
        <v>98</v>
      </c>
      <c r="F187" s="31">
        <v>160</v>
      </c>
      <c r="G187" s="20" t="s">
        <v>119</v>
      </c>
      <c r="H187" s="29" t="s">
        <v>86</v>
      </c>
      <c r="I187" s="32" t="s">
        <v>1348</v>
      </c>
      <c r="J187" s="28" t="s">
        <v>1349</v>
      </c>
      <c r="K187" s="29" t="s">
        <v>1070</v>
      </c>
      <c r="L187" s="27" t="s">
        <v>1350</v>
      </c>
      <c r="M187" s="28" t="s">
        <v>1351</v>
      </c>
      <c r="N187" s="33" t="s">
        <v>75</v>
      </c>
      <c r="O187" s="34" t="s">
        <v>1352</v>
      </c>
      <c r="P187" s="34" t="s">
        <v>1353</v>
      </c>
      <c r="Q187" s="35" t="s">
        <v>78</v>
      </c>
      <c r="R187" s="35" t="s">
        <v>79</v>
      </c>
      <c r="S187" s="35" t="s">
        <v>61</v>
      </c>
      <c r="T187" s="35" t="s">
        <v>62</v>
      </c>
      <c r="U187" s="36" t="s">
        <v>80</v>
      </c>
    </row>
    <row r="188" spans="1:21" ht="15.75" customHeight="1" x14ac:dyDescent="0.25">
      <c r="A188" s="9" t="s">
        <v>1354</v>
      </c>
      <c r="B188" s="10" t="s">
        <v>1355</v>
      </c>
      <c r="C188" s="11" t="s">
        <v>1356</v>
      </c>
      <c r="D188" s="12" t="s">
        <v>1357</v>
      </c>
      <c r="E188" s="11" t="s">
        <v>47</v>
      </c>
      <c r="F188" s="13">
        <v>120</v>
      </c>
      <c r="G188" s="20" t="s">
        <v>85</v>
      </c>
      <c r="H188" s="11" t="s">
        <v>330</v>
      </c>
      <c r="I188" s="15" t="s">
        <v>1358</v>
      </c>
      <c r="J188" s="10" t="s">
        <v>1359</v>
      </c>
      <c r="K188" s="11" t="s">
        <v>1360</v>
      </c>
      <c r="L188" s="9" t="s">
        <v>158</v>
      </c>
      <c r="M188" s="10" t="s">
        <v>159</v>
      </c>
      <c r="N188" s="16" t="s">
        <v>75</v>
      </c>
      <c r="O188" s="17" t="s">
        <v>292</v>
      </c>
      <c r="P188" s="17" t="s">
        <v>293</v>
      </c>
      <c r="Q188" s="18" t="s">
        <v>78</v>
      </c>
      <c r="R188" s="18" t="s">
        <v>79</v>
      </c>
      <c r="S188" s="18" t="s">
        <v>61</v>
      </c>
      <c r="T188" s="18" t="s">
        <v>62</v>
      </c>
      <c r="U188" s="19" t="s">
        <v>80</v>
      </c>
    </row>
    <row r="189" spans="1:21" ht="15.75" customHeight="1" x14ac:dyDescent="0.25">
      <c r="A189" s="27" t="s">
        <v>1361</v>
      </c>
      <c r="B189" s="28" t="s">
        <v>1362</v>
      </c>
      <c r="C189" s="29" t="s">
        <v>1363</v>
      </c>
      <c r="D189" s="37" t="s">
        <v>109</v>
      </c>
      <c r="E189" s="29" t="s">
        <v>47</v>
      </c>
      <c r="F189" s="31">
        <v>245</v>
      </c>
      <c r="G189" s="24" t="s">
        <v>85</v>
      </c>
      <c r="H189" s="29" t="s">
        <v>129</v>
      </c>
      <c r="I189" s="32" t="s">
        <v>1364</v>
      </c>
      <c r="J189" s="28" t="s">
        <v>1365</v>
      </c>
      <c r="K189" s="29"/>
      <c r="L189" s="27"/>
      <c r="M189" s="28"/>
      <c r="N189" s="38"/>
      <c r="O189" s="34"/>
      <c r="P189" s="34"/>
      <c r="Q189" s="35" t="s">
        <v>78</v>
      </c>
      <c r="R189" s="35" t="s">
        <v>79</v>
      </c>
      <c r="S189" s="35" t="s">
        <v>61</v>
      </c>
      <c r="T189" s="35" t="s">
        <v>62</v>
      </c>
      <c r="U189" s="36" t="s">
        <v>80</v>
      </c>
    </row>
    <row r="190" spans="1:21" ht="15.75" customHeight="1" x14ac:dyDescent="0.25">
      <c r="A190" s="9" t="s">
        <v>1366</v>
      </c>
      <c r="B190" s="10" t="s">
        <v>1367</v>
      </c>
      <c r="C190" s="11" t="s">
        <v>1368</v>
      </c>
      <c r="D190" s="21" t="s">
        <v>109</v>
      </c>
      <c r="E190" s="11" t="s">
        <v>47</v>
      </c>
      <c r="F190" s="13">
        <v>162</v>
      </c>
      <c r="G190" s="25" t="s">
        <v>110</v>
      </c>
      <c r="H190" s="11" t="s">
        <v>86</v>
      </c>
      <c r="I190" s="15" t="s">
        <v>1369</v>
      </c>
      <c r="J190" s="10" t="s">
        <v>1370</v>
      </c>
      <c r="K190" s="11" t="s">
        <v>132</v>
      </c>
      <c r="L190" s="9" t="s">
        <v>90</v>
      </c>
      <c r="M190" s="10" t="s">
        <v>91</v>
      </c>
      <c r="N190" s="22"/>
      <c r="O190" s="17"/>
      <c r="P190" s="17"/>
      <c r="Q190" s="18" t="s">
        <v>78</v>
      </c>
      <c r="R190" s="18" t="s">
        <v>79</v>
      </c>
      <c r="S190" s="18" t="s">
        <v>61</v>
      </c>
      <c r="T190" s="18" t="s">
        <v>62</v>
      </c>
      <c r="U190" s="19" t="s">
        <v>80</v>
      </c>
    </row>
    <row r="191" spans="1:21" ht="15.75" customHeight="1" x14ac:dyDescent="0.25">
      <c r="A191" s="27" t="s">
        <v>1371</v>
      </c>
      <c r="B191" s="28" t="s">
        <v>1372</v>
      </c>
      <c r="C191" s="29" t="s">
        <v>1373</v>
      </c>
      <c r="D191" s="37" t="s">
        <v>109</v>
      </c>
      <c r="E191" s="29" t="s">
        <v>47</v>
      </c>
      <c r="F191" s="31">
        <v>105.8</v>
      </c>
      <c r="G191" s="25" t="s">
        <v>110</v>
      </c>
      <c r="H191" s="29" t="s">
        <v>330</v>
      </c>
      <c r="I191" s="32" t="s">
        <v>1374</v>
      </c>
      <c r="J191" s="28" t="s">
        <v>1375</v>
      </c>
      <c r="K191" s="29" t="s">
        <v>1376</v>
      </c>
      <c r="L191" s="27" t="s">
        <v>481</v>
      </c>
      <c r="M191" s="28" t="s">
        <v>482</v>
      </c>
      <c r="N191" s="38"/>
      <c r="O191" s="34"/>
      <c r="P191" s="34"/>
      <c r="Q191" s="35" t="s">
        <v>78</v>
      </c>
      <c r="R191" s="35" t="s">
        <v>79</v>
      </c>
      <c r="S191" s="35" t="s">
        <v>61</v>
      </c>
      <c r="T191" s="35" t="s">
        <v>62</v>
      </c>
      <c r="U191" s="36" t="s">
        <v>80</v>
      </c>
    </row>
    <row r="192" spans="1:21" ht="15.75" customHeight="1" x14ac:dyDescent="0.25">
      <c r="A192" s="9" t="s">
        <v>1377</v>
      </c>
      <c r="B192" s="10" t="s">
        <v>1378</v>
      </c>
      <c r="C192" s="11" t="s">
        <v>1379</v>
      </c>
      <c r="D192" s="12" t="s">
        <v>1380</v>
      </c>
      <c r="E192" s="11" t="s">
        <v>98</v>
      </c>
      <c r="F192" s="11" t="s">
        <v>118</v>
      </c>
      <c r="G192" s="20" t="s">
        <v>85</v>
      </c>
      <c r="H192" s="11" t="s">
        <v>100</v>
      </c>
      <c r="I192" s="15" t="s">
        <v>1381</v>
      </c>
      <c r="J192" s="10" t="s">
        <v>1382</v>
      </c>
      <c r="K192" s="11" t="s">
        <v>762</v>
      </c>
      <c r="L192" s="9" t="s">
        <v>90</v>
      </c>
      <c r="M192" s="10" t="s">
        <v>91</v>
      </c>
      <c r="N192" s="16" t="s">
        <v>75</v>
      </c>
      <c r="O192" s="17" t="s">
        <v>124</v>
      </c>
      <c r="P192" s="17" t="s">
        <v>125</v>
      </c>
      <c r="Q192" s="18" t="s">
        <v>78</v>
      </c>
      <c r="R192" s="18" t="s">
        <v>79</v>
      </c>
      <c r="S192" s="18" t="s">
        <v>61</v>
      </c>
      <c r="T192" s="18" t="s">
        <v>62</v>
      </c>
      <c r="U192" s="19" t="s">
        <v>80</v>
      </c>
    </row>
    <row r="193" spans="1:21" ht="15.75" customHeight="1" x14ac:dyDescent="0.25">
      <c r="A193" s="27" t="s">
        <v>1383</v>
      </c>
      <c r="B193" s="28" t="s">
        <v>1384</v>
      </c>
      <c r="C193" s="29" t="s">
        <v>1385</v>
      </c>
      <c r="D193" s="30" t="s">
        <v>1386</v>
      </c>
      <c r="E193" s="29" t="s">
        <v>47</v>
      </c>
      <c r="F193" s="31">
        <v>34</v>
      </c>
      <c r="G193" s="20" t="s">
        <v>85</v>
      </c>
      <c r="H193" s="29" t="s">
        <v>69</v>
      </c>
      <c r="I193" s="32" t="s">
        <v>1387</v>
      </c>
      <c r="J193" s="28" t="s">
        <v>1388</v>
      </c>
      <c r="K193" s="29" t="s">
        <v>1389</v>
      </c>
      <c r="L193" s="27" t="s">
        <v>158</v>
      </c>
      <c r="M193" s="28" t="s">
        <v>159</v>
      </c>
      <c r="N193" s="33" t="s">
        <v>75</v>
      </c>
      <c r="O193" s="34" t="s">
        <v>382</v>
      </c>
      <c r="P193" s="34" t="s">
        <v>383</v>
      </c>
      <c r="Q193" s="35" t="s">
        <v>78</v>
      </c>
      <c r="R193" s="35" t="s">
        <v>79</v>
      </c>
      <c r="S193" s="35" t="s">
        <v>61</v>
      </c>
      <c r="T193" s="35" t="s">
        <v>62</v>
      </c>
      <c r="U193" s="36" t="s">
        <v>80</v>
      </c>
    </row>
    <row r="194" spans="1:21" ht="15.75" customHeight="1" x14ac:dyDescent="0.25">
      <c r="A194" s="9" t="s">
        <v>1390</v>
      </c>
      <c r="B194" s="10" t="s">
        <v>1391</v>
      </c>
      <c r="C194" s="11" t="s">
        <v>1392</v>
      </c>
      <c r="D194" s="21" t="s">
        <v>109</v>
      </c>
      <c r="E194" s="11" t="s">
        <v>98</v>
      </c>
      <c r="F194" s="13">
        <v>172</v>
      </c>
      <c r="G194" s="24" t="s">
        <v>85</v>
      </c>
      <c r="H194" s="11" t="s">
        <v>86</v>
      </c>
      <c r="I194" s="15" t="s">
        <v>1393</v>
      </c>
      <c r="J194" s="10" t="s">
        <v>1394</v>
      </c>
      <c r="K194" s="11"/>
      <c r="L194" s="9"/>
      <c r="M194" s="10"/>
      <c r="N194" s="22"/>
      <c r="O194" s="17"/>
      <c r="P194" s="17"/>
      <c r="Q194" s="18" t="s">
        <v>78</v>
      </c>
      <c r="R194" s="18" t="s">
        <v>79</v>
      </c>
      <c r="S194" s="18" t="s">
        <v>61</v>
      </c>
      <c r="T194" s="18" t="s">
        <v>62</v>
      </c>
      <c r="U194" s="19" t="s">
        <v>80</v>
      </c>
    </row>
    <row r="195" spans="1:21" ht="15.75" customHeight="1" x14ac:dyDescent="0.25">
      <c r="A195" s="27" t="s">
        <v>1395</v>
      </c>
      <c r="B195" s="28" t="s">
        <v>1396</v>
      </c>
      <c r="C195" s="29"/>
      <c r="D195" s="37" t="s">
        <v>109</v>
      </c>
      <c r="E195" s="29"/>
      <c r="F195" s="29"/>
      <c r="G195" s="24" t="s">
        <v>85</v>
      </c>
      <c r="H195" s="29" t="s">
        <v>120</v>
      </c>
      <c r="I195" s="32" t="s">
        <v>1397</v>
      </c>
      <c r="J195" s="28" t="s">
        <v>1398</v>
      </c>
      <c r="K195" s="29"/>
      <c r="L195" s="27"/>
      <c r="M195" s="28"/>
      <c r="N195" s="38"/>
      <c r="O195" s="34"/>
      <c r="P195" s="34"/>
      <c r="Q195" s="35" t="s">
        <v>78</v>
      </c>
      <c r="R195" s="35" t="s">
        <v>79</v>
      </c>
      <c r="S195" s="35" t="s">
        <v>61</v>
      </c>
      <c r="T195" s="35" t="s">
        <v>62</v>
      </c>
      <c r="U195" s="36" t="s">
        <v>80</v>
      </c>
    </row>
    <row r="196" spans="1:21" ht="15.75" customHeight="1" x14ac:dyDescent="0.25">
      <c r="A196" s="9" t="s">
        <v>1399</v>
      </c>
      <c r="B196" s="10" t="s">
        <v>1400</v>
      </c>
      <c r="C196" s="11"/>
      <c r="D196" s="21" t="s">
        <v>109</v>
      </c>
      <c r="E196" s="11"/>
      <c r="F196" s="11"/>
      <c r="G196" s="24" t="s">
        <v>85</v>
      </c>
      <c r="H196" s="11" t="s">
        <v>120</v>
      </c>
      <c r="I196" s="15" t="s">
        <v>1401</v>
      </c>
      <c r="J196" s="10" t="s">
        <v>1402</v>
      </c>
      <c r="K196" s="11"/>
      <c r="L196" s="9"/>
      <c r="M196" s="10"/>
      <c r="N196" s="22"/>
      <c r="O196" s="17"/>
      <c r="P196" s="17"/>
      <c r="Q196" s="18" t="s">
        <v>78</v>
      </c>
      <c r="R196" s="18" t="s">
        <v>79</v>
      </c>
      <c r="S196" s="18" t="s">
        <v>61</v>
      </c>
      <c r="T196" s="18" t="s">
        <v>62</v>
      </c>
      <c r="U196" s="19" t="s">
        <v>80</v>
      </c>
    </row>
    <row r="197" spans="1:21" ht="15.75" customHeight="1" x14ac:dyDescent="0.25">
      <c r="A197" s="27" t="s">
        <v>1403</v>
      </c>
      <c r="B197" s="28" t="s">
        <v>1404</v>
      </c>
      <c r="C197" s="29" t="s">
        <v>1405</v>
      </c>
      <c r="D197" s="37" t="s">
        <v>109</v>
      </c>
      <c r="E197" s="29" t="s">
        <v>98</v>
      </c>
      <c r="F197" s="29"/>
      <c r="G197" s="20" t="s">
        <v>68</v>
      </c>
      <c r="H197" s="29" t="s">
        <v>100</v>
      </c>
      <c r="I197" s="32" t="s">
        <v>1406</v>
      </c>
      <c r="J197" s="28" t="s">
        <v>1407</v>
      </c>
      <c r="K197" s="29" t="s">
        <v>1408</v>
      </c>
      <c r="L197" s="27" t="s">
        <v>1203</v>
      </c>
      <c r="M197" s="28" t="s">
        <v>1204</v>
      </c>
      <c r="N197" s="33" t="s">
        <v>75</v>
      </c>
      <c r="O197" s="34" t="s">
        <v>1409</v>
      </c>
      <c r="P197" s="34" t="s">
        <v>1410</v>
      </c>
      <c r="Q197" s="35" t="s">
        <v>78</v>
      </c>
      <c r="R197" s="35" t="s">
        <v>79</v>
      </c>
      <c r="S197" s="35" t="s">
        <v>61</v>
      </c>
      <c r="T197" s="35" t="s">
        <v>62</v>
      </c>
      <c r="U197" s="36" t="s">
        <v>80</v>
      </c>
    </row>
    <row r="198" spans="1:21" ht="15.75" customHeight="1" x14ac:dyDescent="0.25">
      <c r="A198" s="9" t="s">
        <v>1411</v>
      </c>
      <c r="B198" s="10" t="s">
        <v>1412</v>
      </c>
      <c r="C198" s="11" t="s">
        <v>1413</v>
      </c>
      <c r="D198" s="21" t="s">
        <v>109</v>
      </c>
      <c r="E198" s="11" t="s">
        <v>98</v>
      </c>
      <c r="F198" s="11" t="s">
        <v>1414</v>
      </c>
      <c r="G198" s="25" t="s">
        <v>110</v>
      </c>
      <c r="H198" s="11" t="s">
        <v>100</v>
      </c>
      <c r="I198" s="15" t="s">
        <v>1415</v>
      </c>
      <c r="J198" s="10" t="s">
        <v>1416</v>
      </c>
      <c r="K198" s="11" t="s">
        <v>1417</v>
      </c>
      <c r="L198" s="9" t="s">
        <v>90</v>
      </c>
      <c r="M198" s="10" t="s">
        <v>91</v>
      </c>
      <c r="N198" s="22"/>
      <c r="O198" s="17"/>
      <c r="P198" s="17"/>
      <c r="Q198" s="18" t="s">
        <v>78</v>
      </c>
      <c r="R198" s="18" t="s">
        <v>79</v>
      </c>
      <c r="S198" s="18" t="s">
        <v>61</v>
      </c>
      <c r="T198" s="18" t="s">
        <v>62</v>
      </c>
      <c r="U198" s="19" t="s">
        <v>80</v>
      </c>
    </row>
    <row r="199" spans="1:21" ht="15.75" customHeight="1" x14ac:dyDescent="0.25">
      <c r="A199" s="27" t="s">
        <v>1418</v>
      </c>
      <c r="B199" s="28" t="s">
        <v>1419</v>
      </c>
      <c r="C199" s="29" t="s">
        <v>1420</v>
      </c>
      <c r="D199" s="37" t="s">
        <v>109</v>
      </c>
      <c r="E199" s="29" t="s">
        <v>47</v>
      </c>
      <c r="F199" s="31">
        <v>69.099999999999994</v>
      </c>
      <c r="G199" s="25" t="s">
        <v>110</v>
      </c>
      <c r="H199" s="29" t="s">
        <v>48</v>
      </c>
      <c r="I199" s="32" t="s">
        <v>1421</v>
      </c>
      <c r="J199" s="28" t="s">
        <v>1422</v>
      </c>
      <c r="K199" s="29" t="s">
        <v>1423</v>
      </c>
      <c r="L199" s="27" t="s">
        <v>481</v>
      </c>
      <c r="M199" s="28" t="s">
        <v>482</v>
      </c>
      <c r="N199" s="38"/>
      <c r="O199" s="34"/>
      <c r="P199" s="34"/>
      <c r="Q199" s="35" t="s">
        <v>78</v>
      </c>
      <c r="R199" s="35" t="s">
        <v>79</v>
      </c>
      <c r="S199" s="35" t="s">
        <v>61</v>
      </c>
      <c r="T199" s="35" t="s">
        <v>62</v>
      </c>
      <c r="U199" s="36" t="s">
        <v>80</v>
      </c>
    </row>
    <row r="200" spans="1:21" ht="15.75" customHeight="1" x14ac:dyDescent="0.25">
      <c r="A200" s="9" t="s">
        <v>1424</v>
      </c>
      <c r="B200" s="10" t="s">
        <v>1425</v>
      </c>
      <c r="C200" s="11" t="s">
        <v>1426</v>
      </c>
      <c r="D200" s="12" t="s">
        <v>1427</v>
      </c>
      <c r="E200" s="11" t="s">
        <v>98</v>
      </c>
      <c r="F200" s="11" t="s">
        <v>1428</v>
      </c>
      <c r="G200" s="20" t="s">
        <v>119</v>
      </c>
      <c r="H200" s="11" t="s">
        <v>100</v>
      </c>
      <c r="I200" s="15" t="s">
        <v>1429</v>
      </c>
      <c r="J200" s="10" t="s">
        <v>1430</v>
      </c>
      <c r="K200" s="11" t="s">
        <v>1286</v>
      </c>
      <c r="L200" s="9" t="s">
        <v>90</v>
      </c>
      <c r="M200" s="10" t="s">
        <v>91</v>
      </c>
      <c r="N200" s="16" t="s">
        <v>75</v>
      </c>
      <c r="O200" s="17" t="s">
        <v>124</v>
      </c>
      <c r="P200" s="17" t="s">
        <v>125</v>
      </c>
      <c r="Q200" s="18" t="s">
        <v>78</v>
      </c>
      <c r="R200" s="18" t="s">
        <v>79</v>
      </c>
      <c r="S200" s="18" t="s">
        <v>61</v>
      </c>
      <c r="T200" s="18" t="s">
        <v>62</v>
      </c>
      <c r="U200" s="19" t="s">
        <v>80</v>
      </c>
    </row>
    <row r="201" spans="1:21" ht="15.75" customHeight="1" x14ac:dyDescent="0.25">
      <c r="A201" s="27" t="s">
        <v>1431</v>
      </c>
      <c r="B201" s="28" t="s">
        <v>1432</v>
      </c>
      <c r="C201" s="29" t="s">
        <v>1433</v>
      </c>
      <c r="D201" s="30" t="s">
        <v>1434</v>
      </c>
      <c r="E201" s="29" t="s">
        <v>47</v>
      </c>
      <c r="F201" s="31">
        <v>110</v>
      </c>
      <c r="G201" s="20" t="s">
        <v>85</v>
      </c>
      <c r="H201" s="29" t="s">
        <v>330</v>
      </c>
      <c r="I201" s="32" t="s">
        <v>1435</v>
      </c>
      <c r="J201" s="28" t="s">
        <v>1436</v>
      </c>
      <c r="K201" s="29" t="s">
        <v>151</v>
      </c>
      <c r="L201" s="27" t="s">
        <v>90</v>
      </c>
      <c r="M201" s="28" t="s">
        <v>91</v>
      </c>
      <c r="N201" s="33" t="s">
        <v>75</v>
      </c>
      <c r="O201" s="34" t="s">
        <v>544</v>
      </c>
      <c r="P201" s="34" t="s">
        <v>545</v>
      </c>
      <c r="Q201" s="35" t="s">
        <v>78</v>
      </c>
      <c r="R201" s="35" t="s">
        <v>79</v>
      </c>
      <c r="S201" s="35" t="s">
        <v>61</v>
      </c>
      <c r="T201" s="35" t="s">
        <v>62</v>
      </c>
      <c r="U201" s="36" t="s">
        <v>80</v>
      </c>
    </row>
    <row r="202" spans="1:21" ht="15.75" customHeight="1" x14ac:dyDescent="0.25">
      <c r="A202" s="9" t="s">
        <v>1437</v>
      </c>
      <c r="B202" s="10" t="s">
        <v>1438</v>
      </c>
      <c r="C202" s="11" t="s">
        <v>1439</v>
      </c>
      <c r="D202" s="21" t="s">
        <v>109</v>
      </c>
      <c r="E202" s="11" t="s">
        <v>47</v>
      </c>
      <c r="F202" s="13">
        <v>117</v>
      </c>
      <c r="G202" s="24" t="s">
        <v>85</v>
      </c>
      <c r="H202" s="11" t="s">
        <v>330</v>
      </c>
      <c r="I202" s="15" t="s">
        <v>1440</v>
      </c>
      <c r="J202" s="10" t="s">
        <v>1441</v>
      </c>
      <c r="K202" s="11"/>
      <c r="L202" s="9"/>
      <c r="M202" s="10"/>
      <c r="N202" s="22"/>
      <c r="O202" s="17"/>
      <c r="P202" s="17"/>
      <c r="Q202" s="18" t="s">
        <v>78</v>
      </c>
      <c r="R202" s="18" t="s">
        <v>79</v>
      </c>
      <c r="S202" s="18" t="s">
        <v>61</v>
      </c>
      <c r="T202" s="18" t="s">
        <v>62</v>
      </c>
      <c r="U202" s="19" t="s">
        <v>80</v>
      </c>
    </row>
    <row r="203" spans="1:21" ht="15.75" customHeight="1" x14ac:dyDescent="0.25">
      <c r="A203" s="27" t="s">
        <v>1442</v>
      </c>
      <c r="B203" s="28" t="s">
        <v>1443</v>
      </c>
      <c r="C203" s="29" t="s">
        <v>1444</v>
      </c>
      <c r="D203" s="30" t="s">
        <v>1445</v>
      </c>
      <c r="E203" s="29" t="s">
        <v>98</v>
      </c>
      <c r="F203" s="31">
        <v>100</v>
      </c>
      <c r="G203" s="26" t="s">
        <v>119</v>
      </c>
      <c r="H203" s="29" t="s">
        <v>330</v>
      </c>
      <c r="I203" s="32" t="s">
        <v>1446</v>
      </c>
      <c r="J203" s="28" t="s">
        <v>1447</v>
      </c>
      <c r="K203" s="29" t="s">
        <v>332</v>
      </c>
      <c r="L203" s="27" t="s">
        <v>197</v>
      </c>
      <c r="M203" s="28" t="s">
        <v>198</v>
      </c>
      <c r="N203" s="39" t="s">
        <v>179</v>
      </c>
      <c r="O203" s="34" t="s">
        <v>1448</v>
      </c>
      <c r="P203" s="34" t="s">
        <v>1449</v>
      </c>
      <c r="Q203" s="35" t="s">
        <v>78</v>
      </c>
      <c r="R203" s="35" t="s">
        <v>79</v>
      </c>
      <c r="S203" s="35" t="s">
        <v>61</v>
      </c>
      <c r="T203" s="35" t="s">
        <v>62</v>
      </c>
      <c r="U203" s="36" t="s">
        <v>80</v>
      </c>
    </row>
    <row r="204" spans="1:21" ht="15.75" customHeight="1" x14ac:dyDescent="0.25">
      <c r="A204" s="9" t="s">
        <v>1450</v>
      </c>
      <c r="B204" s="10" t="s">
        <v>1451</v>
      </c>
      <c r="C204" s="11" t="s">
        <v>1452</v>
      </c>
      <c r="D204" s="21" t="s">
        <v>109</v>
      </c>
      <c r="E204" s="11" t="s">
        <v>47</v>
      </c>
      <c r="F204" s="13">
        <v>89</v>
      </c>
      <c r="G204" s="14" t="s">
        <v>119</v>
      </c>
      <c r="H204" s="11" t="s">
        <v>48</v>
      </c>
      <c r="I204" s="15" t="s">
        <v>1453</v>
      </c>
      <c r="J204" s="10" t="s">
        <v>1454</v>
      </c>
      <c r="K204" s="11" t="s">
        <v>1455</v>
      </c>
      <c r="L204" s="9" t="s">
        <v>158</v>
      </c>
      <c r="M204" s="10" t="s">
        <v>159</v>
      </c>
      <c r="N204" s="22"/>
      <c r="O204" s="17"/>
      <c r="P204" s="17"/>
      <c r="Q204" s="18" t="s">
        <v>78</v>
      </c>
      <c r="R204" s="18" t="s">
        <v>79</v>
      </c>
      <c r="S204" s="18" t="s">
        <v>61</v>
      </c>
      <c r="T204" s="18" t="s">
        <v>62</v>
      </c>
      <c r="U204" s="19" t="s">
        <v>80</v>
      </c>
    </row>
    <row r="205" spans="1:21" ht="15.75" customHeight="1" x14ac:dyDescent="0.25">
      <c r="A205" s="27" t="s">
        <v>1456</v>
      </c>
      <c r="B205" s="28" t="s">
        <v>1457</v>
      </c>
      <c r="C205" s="29" t="s">
        <v>1458</v>
      </c>
      <c r="D205" s="37" t="s">
        <v>109</v>
      </c>
      <c r="E205" s="29" t="s">
        <v>47</v>
      </c>
      <c r="F205" s="31">
        <v>195</v>
      </c>
      <c r="G205" s="24" t="s">
        <v>85</v>
      </c>
      <c r="H205" s="29" t="s">
        <v>86</v>
      </c>
      <c r="I205" s="32" t="s">
        <v>1459</v>
      </c>
      <c r="J205" s="28" t="s">
        <v>1460</v>
      </c>
      <c r="K205" s="29"/>
      <c r="L205" s="27"/>
      <c r="M205" s="28"/>
      <c r="N205" s="38"/>
      <c r="O205" s="34"/>
      <c r="P205" s="34"/>
      <c r="Q205" s="35" t="s">
        <v>78</v>
      </c>
      <c r="R205" s="35" t="s">
        <v>79</v>
      </c>
      <c r="S205" s="35" t="s">
        <v>61</v>
      </c>
      <c r="T205" s="35" t="s">
        <v>62</v>
      </c>
      <c r="U205" s="36" t="s">
        <v>80</v>
      </c>
    </row>
    <row r="206" spans="1:21" ht="15.75" customHeight="1" x14ac:dyDescent="0.25">
      <c r="A206" s="9" t="s">
        <v>1461</v>
      </c>
      <c r="B206" s="10" t="s">
        <v>1462</v>
      </c>
      <c r="C206" s="11" t="s">
        <v>1463</v>
      </c>
      <c r="D206" s="12" t="s">
        <v>1464</v>
      </c>
      <c r="E206" s="11" t="s">
        <v>98</v>
      </c>
      <c r="F206" s="13">
        <v>139</v>
      </c>
      <c r="G206" s="20" t="s">
        <v>119</v>
      </c>
      <c r="H206" s="11" t="s">
        <v>330</v>
      </c>
      <c r="I206" s="15" t="s">
        <v>1465</v>
      </c>
      <c r="J206" s="10" t="s">
        <v>1466</v>
      </c>
      <c r="K206" s="11" t="s">
        <v>332</v>
      </c>
      <c r="L206" s="9" t="s">
        <v>197</v>
      </c>
      <c r="M206" s="10" t="s">
        <v>198</v>
      </c>
      <c r="N206" s="23" t="s">
        <v>179</v>
      </c>
      <c r="O206" s="17" t="s">
        <v>355</v>
      </c>
      <c r="P206" s="17" t="s">
        <v>356</v>
      </c>
      <c r="Q206" s="18" t="s">
        <v>78</v>
      </c>
      <c r="R206" s="18" t="s">
        <v>79</v>
      </c>
      <c r="S206" s="18" t="s">
        <v>61</v>
      </c>
      <c r="T206" s="18" t="s">
        <v>62</v>
      </c>
      <c r="U206" s="19" t="s">
        <v>80</v>
      </c>
    </row>
    <row r="207" spans="1:21" ht="15.75" customHeight="1" x14ac:dyDescent="0.25">
      <c r="A207" s="27" t="s">
        <v>1467</v>
      </c>
      <c r="B207" s="28" t="s">
        <v>1468</v>
      </c>
      <c r="C207" s="29" t="s">
        <v>1469</v>
      </c>
      <c r="D207" s="37" t="s">
        <v>109</v>
      </c>
      <c r="E207" s="29" t="s">
        <v>67</v>
      </c>
      <c r="F207" s="31">
        <v>3</v>
      </c>
      <c r="G207" s="14" t="s">
        <v>119</v>
      </c>
      <c r="H207" s="29" t="s">
        <v>69</v>
      </c>
      <c r="I207" s="32" t="s">
        <v>1470</v>
      </c>
      <c r="J207" s="28" t="s">
        <v>1471</v>
      </c>
      <c r="K207" s="29" t="s">
        <v>1472</v>
      </c>
      <c r="L207" s="27" t="s">
        <v>73</v>
      </c>
      <c r="M207" s="28" t="s">
        <v>74</v>
      </c>
      <c r="N207" s="38"/>
      <c r="O207" s="34"/>
      <c r="P207" s="34"/>
      <c r="Q207" s="35" t="s">
        <v>78</v>
      </c>
      <c r="R207" s="35" t="s">
        <v>79</v>
      </c>
      <c r="S207" s="35" t="s">
        <v>61</v>
      </c>
      <c r="T207" s="35" t="s">
        <v>62</v>
      </c>
      <c r="U207" s="36" t="s">
        <v>80</v>
      </c>
    </row>
    <row r="208" spans="1:21" ht="15.75" customHeight="1" x14ac:dyDescent="0.25">
      <c r="A208" s="9" t="s">
        <v>1473</v>
      </c>
      <c r="B208" s="10" t="s">
        <v>1474</v>
      </c>
      <c r="C208" s="11" t="s">
        <v>1475</v>
      </c>
      <c r="D208" s="12" t="s">
        <v>1476</v>
      </c>
      <c r="E208" s="11" t="s">
        <v>1264</v>
      </c>
      <c r="F208" s="11"/>
      <c r="G208" s="26" t="s">
        <v>68</v>
      </c>
      <c r="H208" s="11" t="s">
        <v>100</v>
      </c>
      <c r="I208" s="15" t="s">
        <v>1477</v>
      </c>
      <c r="J208" s="10" t="s">
        <v>1478</v>
      </c>
      <c r="K208" s="11" t="s">
        <v>332</v>
      </c>
      <c r="L208" s="9" t="s">
        <v>197</v>
      </c>
      <c r="M208" s="10" t="s">
        <v>198</v>
      </c>
      <c r="N208" s="23" t="s">
        <v>179</v>
      </c>
      <c r="O208" s="17" t="s">
        <v>1448</v>
      </c>
      <c r="P208" s="17" t="s">
        <v>1449</v>
      </c>
      <c r="Q208" s="18" t="s">
        <v>78</v>
      </c>
      <c r="R208" s="18" t="s">
        <v>79</v>
      </c>
      <c r="S208" s="18" t="s">
        <v>61</v>
      </c>
      <c r="T208" s="18" t="s">
        <v>62</v>
      </c>
      <c r="U208" s="19" t="s">
        <v>80</v>
      </c>
    </row>
    <row r="209" spans="1:21" ht="15.75" customHeight="1" x14ac:dyDescent="0.25">
      <c r="A209" s="27" t="s">
        <v>1479</v>
      </c>
      <c r="B209" s="28" t="s">
        <v>1480</v>
      </c>
      <c r="C209" s="29" t="s">
        <v>1481</v>
      </c>
      <c r="D209" s="30" t="s">
        <v>1482</v>
      </c>
      <c r="E209" s="29" t="s">
        <v>47</v>
      </c>
      <c r="F209" s="31">
        <v>139</v>
      </c>
      <c r="G209" s="20" t="s">
        <v>119</v>
      </c>
      <c r="H209" s="29" t="s">
        <v>330</v>
      </c>
      <c r="I209" s="32" t="s">
        <v>1483</v>
      </c>
      <c r="J209" s="28" t="s">
        <v>1484</v>
      </c>
      <c r="K209" s="29" t="s">
        <v>1485</v>
      </c>
      <c r="L209" s="27" t="s">
        <v>481</v>
      </c>
      <c r="M209" s="28" t="s">
        <v>482</v>
      </c>
      <c r="N209" s="33" t="s">
        <v>75</v>
      </c>
      <c r="O209" s="34" t="s">
        <v>1486</v>
      </c>
      <c r="P209" s="34" t="s">
        <v>1487</v>
      </c>
      <c r="Q209" s="35" t="s">
        <v>78</v>
      </c>
      <c r="R209" s="35" t="s">
        <v>79</v>
      </c>
      <c r="S209" s="35" t="s">
        <v>61</v>
      </c>
      <c r="T209" s="35" t="s">
        <v>62</v>
      </c>
      <c r="U209" s="36" t="s">
        <v>80</v>
      </c>
    </row>
    <row r="210" spans="1:21" ht="15.75" customHeight="1" x14ac:dyDescent="0.25">
      <c r="A210" s="9" t="s">
        <v>1488</v>
      </c>
      <c r="B210" s="10" t="s">
        <v>1489</v>
      </c>
      <c r="C210" s="11" t="s">
        <v>1490</v>
      </c>
      <c r="D210" s="12" t="s">
        <v>1491</v>
      </c>
      <c r="E210" s="11" t="s">
        <v>47</v>
      </c>
      <c r="F210" s="13">
        <v>51</v>
      </c>
      <c r="G210" s="20" t="s">
        <v>119</v>
      </c>
      <c r="H210" s="11" t="s">
        <v>48</v>
      </c>
      <c r="I210" s="15" t="s">
        <v>1492</v>
      </c>
      <c r="J210" s="10" t="s">
        <v>1493</v>
      </c>
      <c r="K210" s="11" t="s">
        <v>1494</v>
      </c>
      <c r="L210" s="9" t="s">
        <v>158</v>
      </c>
      <c r="M210" s="10" t="s">
        <v>159</v>
      </c>
      <c r="N210" s="16" t="s">
        <v>75</v>
      </c>
      <c r="O210" s="17" t="s">
        <v>1495</v>
      </c>
      <c r="P210" s="17" t="s">
        <v>1496</v>
      </c>
      <c r="Q210" s="18" t="s">
        <v>78</v>
      </c>
      <c r="R210" s="18" t="s">
        <v>79</v>
      </c>
      <c r="S210" s="18" t="s">
        <v>61</v>
      </c>
      <c r="T210" s="18" t="s">
        <v>62</v>
      </c>
      <c r="U210" s="19" t="s">
        <v>80</v>
      </c>
    </row>
    <row r="211" spans="1:21" ht="15.75" customHeight="1" x14ac:dyDescent="0.25">
      <c r="A211" s="27" t="s">
        <v>1497</v>
      </c>
      <c r="B211" s="28" t="s">
        <v>1498</v>
      </c>
      <c r="C211" s="29" t="s">
        <v>1499</v>
      </c>
      <c r="D211" s="30" t="s">
        <v>1500</v>
      </c>
      <c r="E211" s="29" t="s">
        <v>47</v>
      </c>
      <c r="F211" s="31">
        <v>295</v>
      </c>
      <c r="G211" s="20" t="s">
        <v>119</v>
      </c>
      <c r="H211" s="29" t="s">
        <v>129</v>
      </c>
      <c r="I211" s="32" t="s">
        <v>1501</v>
      </c>
      <c r="J211" s="28" t="s">
        <v>1502</v>
      </c>
      <c r="K211" s="29" t="s">
        <v>1503</v>
      </c>
      <c r="L211" s="27" t="s">
        <v>90</v>
      </c>
      <c r="M211" s="28" t="s">
        <v>91</v>
      </c>
      <c r="N211" s="33" t="s">
        <v>75</v>
      </c>
      <c r="O211" s="34" t="s">
        <v>92</v>
      </c>
      <c r="P211" s="34" t="s">
        <v>93</v>
      </c>
      <c r="Q211" s="35" t="s">
        <v>78</v>
      </c>
      <c r="R211" s="35" t="s">
        <v>79</v>
      </c>
      <c r="S211" s="35" t="s">
        <v>61</v>
      </c>
      <c r="T211" s="35" t="s">
        <v>62</v>
      </c>
      <c r="U211" s="36" t="s">
        <v>80</v>
      </c>
    </row>
    <row r="212" spans="1:21" ht="15.75" customHeight="1" x14ac:dyDescent="0.25">
      <c r="A212" s="9" t="s">
        <v>1504</v>
      </c>
      <c r="B212" s="10" t="s">
        <v>1505</v>
      </c>
      <c r="C212" s="11" t="s">
        <v>1506</v>
      </c>
      <c r="D212" s="21" t="s">
        <v>109</v>
      </c>
      <c r="E212" s="11" t="s">
        <v>47</v>
      </c>
      <c r="F212" s="13">
        <v>140</v>
      </c>
      <c r="G212" s="25" t="s">
        <v>110</v>
      </c>
      <c r="H212" s="11" t="s">
        <v>330</v>
      </c>
      <c r="I212" s="15" t="s">
        <v>1507</v>
      </c>
      <c r="J212" s="10" t="s">
        <v>1508</v>
      </c>
      <c r="K212" s="11" t="s">
        <v>1509</v>
      </c>
      <c r="L212" s="9" t="s">
        <v>90</v>
      </c>
      <c r="M212" s="10" t="s">
        <v>91</v>
      </c>
      <c r="N212" s="22"/>
      <c r="O212" s="17"/>
      <c r="P212" s="17"/>
      <c r="Q212" s="18" t="s">
        <v>78</v>
      </c>
      <c r="R212" s="18" t="s">
        <v>79</v>
      </c>
      <c r="S212" s="18" t="s">
        <v>61</v>
      </c>
      <c r="T212" s="18" t="s">
        <v>62</v>
      </c>
      <c r="U212" s="19" t="s">
        <v>80</v>
      </c>
    </row>
    <row r="213" spans="1:21" ht="15.75" customHeight="1" x14ac:dyDescent="0.25">
      <c r="A213" s="27" t="s">
        <v>1510</v>
      </c>
      <c r="B213" s="28" t="s">
        <v>1511</v>
      </c>
      <c r="C213" s="29" t="s">
        <v>1506</v>
      </c>
      <c r="D213" s="37" t="s">
        <v>109</v>
      </c>
      <c r="E213" s="29" t="s">
        <v>47</v>
      </c>
      <c r="F213" s="29" t="s">
        <v>1512</v>
      </c>
      <c r="G213" s="25" t="s">
        <v>110</v>
      </c>
      <c r="H213" s="29" t="s">
        <v>120</v>
      </c>
      <c r="I213" s="32" t="s">
        <v>1513</v>
      </c>
      <c r="J213" s="28" t="s">
        <v>1514</v>
      </c>
      <c r="K213" s="29" t="s">
        <v>1509</v>
      </c>
      <c r="L213" s="27" t="s">
        <v>90</v>
      </c>
      <c r="M213" s="28" t="s">
        <v>91</v>
      </c>
      <c r="N213" s="38"/>
      <c r="O213" s="34"/>
      <c r="P213" s="34"/>
      <c r="Q213" s="35" t="s">
        <v>78</v>
      </c>
      <c r="R213" s="35" t="s">
        <v>79</v>
      </c>
      <c r="S213" s="35" t="s">
        <v>61</v>
      </c>
      <c r="T213" s="35" t="s">
        <v>62</v>
      </c>
      <c r="U213" s="36" t="s">
        <v>80</v>
      </c>
    </row>
    <row r="214" spans="1:21" ht="15.75" customHeight="1" x14ac:dyDescent="0.25">
      <c r="A214" s="9" t="s">
        <v>1515</v>
      </c>
      <c r="B214" s="10" t="s">
        <v>1516</v>
      </c>
      <c r="C214" s="11" t="s">
        <v>1517</v>
      </c>
      <c r="D214" s="21" t="s">
        <v>109</v>
      </c>
      <c r="E214" s="11" t="s">
        <v>1264</v>
      </c>
      <c r="F214" s="13">
        <v>211</v>
      </c>
      <c r="G214" s="25" t="s">
        <v>110</v>
      </c>
      <c r="H214" s="11" t="s">
        <v>129</v>
      </c>
      <c r="I214" s="15" t="s">
        <v>1518</v>
      </c>
      <c r="J214" s="10" t="s">
        <v>1519</v>
      </c>
      <c r="K214" s="11" t="s">
        <v>1520</v>
      </c>
      <c r="L214" s="9" t="s">
        <v>90</v>
      </c>
      <c r="M214" s="10" t="s">
        <v>91</v>
      </c>
      <c r="N214" s="22"/>
      <c r="O214" s="17"/>
      <c r="P214" s="17"/>
      <c r="Q214" s="18" t="s">
        <v>78</v>
      </c>
      <c r="R214" s="18" t="s">
        <v>79</v>
      </c>
      <c r="S214" s="18" t="s">
        <v>61</v>
      </c>
      <c r="T214" s="18" t="s">
        <v>62</v>
      </c>
      <c r="U214" s="19" t="s">
        <v>80</v>
      </c>
    </row>
    <row r="215" spans="1:21" ht="15.75" customHeight="1" x14ac:dyDescent="0.25">
      <c r="A215" s="27" t="s">
        <v>1521</v>
      </c>
      <c r="B215" s="28" t="s">
        <v>1522</v>
      </c>
      <c r="C215" s="29" t="s">
        <v>1523</v>
      </c>
      <c r="D215" s="30" t="s">
        <v>1524</v>
      </c>
      <c r="E215" s="29" t="s">
        <v>47</v>
      </c>
      <c r="F215" s="31">
        <v>38</v>
      </c>
      <c r="G215" s="26" t="s">
        <v>119</v>
      </c>
      <c r="H215" s="29" t="s">
        <v>69</v>
      </c>
      <c r="I215" s="32" t="s">
        <v>1525</v>
      </c>
      <c r="J215" s="28" t="s">
        <v>1526</v>
      </c>
      <c r="K215" s="29" t="s">
        <v>1527</v>
      </c>
      <c r="L215" s="27" t="s">
        <v>481</v>
      </c>
      <c r="M215" s="28" t="s">
        <v>482</v>
      </c>
      <c r="N215" s="33" t="s">
        <v>75</v>
      </c>
      <c r="O215" s="34" t="s">
        <v>467</v>
      </c>
      <c r="P215" s="34" t="s">
        <v>468</v>
      </c>
      <c r="Q215" s="35" t="s">
        <v>78</v>
      </c>
      <c r="R215" s="35" t="s">
        <v>79</v>
      </c>
      <c r="S215" s="35" t="s">
        <v>61</v>
      </c>
      <c r="T215" s="35" t="s">
        <v>62</v>
      </c>
      <c r="U215" s="36" t="s">
        <v>80</v>
      </c>
    </row>
    <row r="216" spans="1:21" ht="15.75" customHeight="1" x14ac:dyDescent="0.25">
      <c r="A216" s="9" t="s">
        <v>1528</v>
      </c>
      <c r="B216" s="10" t="s">
        <v>1529</v>
      </c>
      <c r="C216" s="11" t="s">
        <v>1530</v>
      </c>
      <c r="D216" s="12" t="s">
        <v>1531</v>
      </c>
      <c r="E216" s="11" t="s">
        <v>98</v>
      </c>
      <c r="F216" s="11" t="s">
        <v>1532</v>
      </c>
      <c r="G216" s="20" t="s">
        <v>119</v>
      </c>
      <c r="H216" s="11" t="s">
        <v>120</v>
      </c>
      <c r="I216" s="15" t="s">
        <v>1533</v>
      </c>
      <c r="J216" s="10" t="s">
        <v>1534</v>
      </c>
      <c r="K216" s="11"/>
      <c r="L216" s="9" t="s">
        <v>1203</v>
      </c>
      <c r="M216" s="10" t="s">
        <v>1204</v>
      </c>
      <c r="N216" s="23" t="s">
        <v>179</v>
      </c>
      <c r="O216" s="17" t="s">
        <v>1535</v>
      </c>
      <c r="P216" s="17" t="s">
        <v>1536</v>
      </c>
      <c r="Q216" s="18" t="s">
        <v>78</v>
      </c>
      <c r="R216" s="18" t="s">
        <v>79</v>
      </c>
      <c r="S216" s="18" t="s">
        <v>61</v>
      </c>
      <c r="T216" s="18" t="s">
        <v>62</v>
      </c>
      <c r="U216" s="19" t="s">
        <v>80</v>
      </c>
    </row>
    <row r="217" spans="1:21" ht="15.75" customHeight="1" x14ac:dyDescent="0.25">
      <c r="A217" s="27" t="s">
        <v>1537</v>
      </c>
      <c r="B217" s="28" t="s">
        <v>1538</v>
      </c>
      <c r="C217" s="29" t="s">
        <v>1539</v>
      </c>
      <c r="D217" s="37" t="s">
        <v>109</v>
      </c>
      <c r="E217" s="29" t="s">
        <v>98</v>
      </c>
      <c r="F217" s="29"/>
      <c r="G217" s="24" t="s">
        <v>85</v>
      </c>
      <c r="H217" s="29" t="s">
        <v>100</v>
      </c>
      <c r="I217" s="32" t="s">
        <v>1540</v>
      </c>
      <c r="J217" s="28" t="s">
        <v>1541</v>
      </c>
      <c r="K217" s="29"/>
      <c r="L217" s="27"/>
      <c r="M217" s="28"/>
      <c r="N217" s="38"/>
      <c r="O217" s="34"/>
      <c r="P217" s="34"/>
      <c r="Q217" s="35" t="s">
        <v>78</v>
      </c>
      <c r="R217" s="35" t="s">
        <v>79</v>
      </c>
      <c r="S217" s="35" t="s">
        <v>61</v>
      </c>
      <c r="T217" s="35" t="s">
        <v>62</v>
      </c>
      <c r="U217" s="36" t="s">
        <v>80</v>
      </c>
    </row>
    <row r="218" spans="1:21" ht="15.75" customHeight="1" x14ac:dyDescent="0.25">
      <c r="A218" s="9" t="s">
        <v>1542</v>
      </c>
      <c r="B218" s="10" t="s">
        <v>1543</v>
      </c>
      <c r="C218" s="11" t="s">
        <v>1544</v>
      </c>
      <c r="D218" s="21" t="s">
        <v>109</v>
      </c>
      <c r="E218" s="11" t="s">
        <v>47</v>
      </c>
      <c r="F218" s="13">
        <v>149</v>
      </c>
      <c r="G218" s="14" t="s">
        <v>119</v>
      </c>
      <c r="H218" s="11" t="s">
        <v>330</v>
      </c>
      <c r="I218" s="15" t="s">
        <v>1545</v>
      </c>
      <c r="J218" s="10" t="s">
        <v>1546</v>
      </c>
      <c r="K218" s="11" t="s">
        <v>1547</v>
      </c>
      <c r="L218" s="9" t="s">
        <v>158</v>
      </c>
      <c r="M218" s="10" t="s">
        <v>159</v>
      </c>
      <c r="N218" s="22"/>
      <c r="O218" s="17"/>
      <c r="P218" s="17"/>
      <c r="Q218" s="18" t="s">
        <v>78</v>
      </c>
      <c r="R218" s="18" t="s">
        <v>79</v>
      </c>
      <c r="S218" s="18" t="s">
        <v>61</v>
      </c>
      <c r="T218" s="18" t="s">
        <v>62</v>
      </c>
      <c r="U218" s="19" t="s">
        <v>80</v>
      </c>
    </row>
    <row r="219" spans="1:21" ht="15.75" customHeight="1" x14ac:dyDescent="0.25">
      <c r="A219" s="27" t="s">
        <v>1548</v>
      </c>
      <c r="B219" s="28" t="s">
        <v>1549</v>
      </c>
      <c r="C219" s="29" t="s">
        <v>1550</v>
      </c>
      <c r="D219" s="37" t="s">
        <v>109</v>
      </c>
      <c r="E219" s="29" t="s">
        <v>47</v>
      </c>
      <c r="F219" s="31">
        <v>121</v>
      </c>
      <c r="G219" s="14" t="s">
        <v>119</v>
      </c>
      <c r="H219" s="29" t="s">
        <v>330</v>
      </c>
      <c r="I219" s="32" t="s">
        <v>1551</v>
      </c>
      <c r="J219" s="28" t="s">
        <v>1552</v>
      </c>
      <c r="K219" s="29" t="s">
        <v>1547</v>
      </c>
      <c r="L219" s="27" t="s">
        <v>158</v>
      </c>
      <c r="M219" s="28" t="s">
        <v>159</v>
      </c>
      <c r="N219" s="38"/>
      <c r="O219" s="34"/>
      <c r="P219" s="34"/>
      <c r="Q219" s="35" t="s">
        <v>78</v>
      </c>
      <c r="R219" s="35" t="s">
        <v>79</v>
      </c>
      <c r="S219" s="35" t="s">
        <v>61</v>
      </c>
      <c r="T219" s="35" t="s">
        <v>62</v>
      </c>
      <c r="U219" s="36" t="s">
        <v>80</v>
      </c>
    </row>
    <row r="220" spans="1:21" ht="15.75" customHeight="1" x14ac:dyDescent="0.25">
      <c r="A220" s="9" t="s">
        <v>1553</v>
      </c>
      <c r="B220" s="10" t="s">
        <v>1554</v>
      </c>
      <c r="C220" s="11" t="s">
        <v>1555</v>
      </c>
      <c r="D220" s="12" t="s">
        <v>1556</v>
      </c>
      <c r="E220" s="11" t="s">
        <v>47</v>
      </c>
      <c r="F220" s="13">
        <v>141</v>
      </c>
      <c r="G220" s="20" t="s">
        <v>119</v>
      </c>
      <c r="H220" s="11" t="s">
        <v>330</v>
      </c>
      <c r="I220" s="15" t="s">
        <v>1557</v>
      </c>
      <c r="J220" s="10" t="s">
        <v>1558</v>
      </c>
      <c r="K220" s="11" t="s">
        <v>1559</v>
      </c>
      <c r="L220" s="9" t="s">
        <v>481</v>
      </c>
      <c r="M220" s="10" t="s">
        <v>482</v>
      </c>
      <c r="N220" s="16" t="s">
        <v>75</v>
      </c>
      <c r="O220" s="17" t="s">
        <v>1560</v>
      </c>
      <c r="P220" s="17" t="s">
        <v>1561</v>
      </c>
      <c r="Q220" s="18" t="s">
        <v>78</v>
      </c>
      <c r="R220" s="18" t="s">
        <v>79</v>
      </c>
      <c r="S220" s="18" t="s">
        <v>61</v>
      </c>
      <c r="T220" s="18" t="s">
        <v>62</v>
      </c>
      <c r="U220" s="19" t="s">
        <v>80</v>
      </c>
    </row>
    <row r="221" spans="1:21" ht="15.75" customHeight="1" x14ac:dyDescent="0.25">
      <c r="A221" s="27" t="s">
        <v>1562</v>
      </c>
      <c r="B221" s="28" t="s">
        <v>1563</v>
      </c>
      <c r="C221" s="29" t="s">
        <v>1564</v>
      </c>
      <c r="D221" s="30" t="s">
        <v>1565</v>
      </c>
      <c r="E221" s="29" t="s">
        <v>47</v>
      </c>
      <c r="F221" s="31">
        <v>130.19999999999999</v>
      </c>
      <c r="G221" s="20" t="s">
        <v>85</v>
      </c>
      <c r="H221" s="29" t="s">
        <v>330</v>
      </c>
      <c r="I221" s="32" t="s">
        <v>1566</v>
      </c>
      <c r="J221" s="28" t="s">
        <v>1567</v>
      </c>
      <c r="K221" s="29" t="s">
        <v>1568</v>
      </c>
      <c r="L221" s="27" t="s">
        <v>90</v>
      </c>
      <c r="M221" s="28" t="s">
        <v>91</v>
      </c>
      <c r="N221" s="33" t="s">
        <v>75</v>
      </c>
      <c r="O221" s="34" t="s">
        <v>180</v>
      </c>
      <c r="P221" s="34" t="s">
        <v>181</v>
      </c>
      <c r="Q221" s="35" t="s">
        <v>78</v>
      </c>
      <c r="R221" s="35" t="s">
        <v>79</v>
      </c>
      <c r="S221" s="35" t="s">
        <v>61</v>
      </c>
      <c r="T221" s="35" t="s">
        <v>62</v>
      </c>
      <c r="U221" s="36" t="s">
        <v>80</v>
      </c>
    </row>
    <row r="222" spans="1:21" ht="15.75" customHeight="1" x14ac:dyDescent="0.25">
      <c r="A222" s="9" t="s">
        <v>1569</v>
      </c>
      <c r="B222" s="10" t="s">
        <v>1570</v>
      </c>
      <c r="C222" s="11" t="s">
        <v>1571</v>
      </c>
      <c r="D222" s="12" t="s">
        <v>1572</v>
      </c>
      <c r="E222" s="11" t="s">
        <v>67</v>
      </c>
      <c r="F222" s="13">
        <v>-62</v>
      </c>
      <c r="G222" s="20" t="s">
        <v>85</v>
      </c>
      <c r="H222" s="11" t="s">
        <v>69</v>
      </c>
      <c r="I222" s="15" t="s">
        <v>1573</v>
      </c>
      <c r="J222" s="10" t="s">
        <v>1574</v>
      </c>
      <c r="K222" s="11" t="s">
        <v>1575</v>
      </c>
      <c r="L222" s="9" t="s">
        <v>140</v>
      </c>
      <c r="M222" s="10" t="s">
        <v>141</v>
      </c>
      <c r="N222" s="16" t="s">
        <v>75</v>
      </c>
      <c r="O222" s="17" t="s">
        <v>1576</v>
      </c>
      <c r="P222" s="17" t="s">
        <v>1577</v>
      </c>
      <c r="Q222" s="18" t="s">
        <v>78</v>
      </c>
      <c r="R222" s="18" t="s">
        <v>79</v>
      </c>
      <c r="S222" s="18" t="s">
        <v>61</v>
      </c>
      <c r="T222" s="18" t="s">
        <v>62</v>
      </c>
      <c r="U222" s="19" t="s">
        <v>80</v>
      </c>
    </row>
    <row r="223" spans="1:21" ht="15.75" customHeight="1" x14ac:dyDescent="0.25">
      <c r="A223" s="27" t="s">
        <v>1578</v>
      </c>
      <c r="B223" s="28" t="s">
        <v>1579</v>
      </c>
      <c r="C223" s="29" t="s">
        <v>1580</v>
      </c>
      <c r="D223" s="37" t="s">
        <v>109</v>
      </c>
      <c r="E223" s="29" t="s">
        <v>98</v>
      </c>
      <c r="F223" s="29"/>
      <c r="G223" s="25" t="s">
        <v>110</v>
      </c>
      <c r="H223" s="29" t="s">
        <v>100</v>
      </c>
      <c r="I223" s="32" t="s">
        <v>1581</v>
      </c>
      <c r="J223" s="28" t="s">
        <v>1582</v>
      </c>
      <c r="K223" s="29" t="s">
        <v>1583</v>
      </c>
      <c r="L223" s="27" t="s">
        <v>90</v>
      </c>
      <c r="M223" s="28" t="s">
        <v>91</v>
      </c>
      <c r="N223" s="38"/>
      <c r="O223" s="34"/>
      <c r="P223" s="34"/>
      <c r="Q223" s="35" t="s">
        <v>78</v>
      </c>
      <c r="R223" s="35" t="s">
        <v>79</v>
      </c>
      <c r="S223" s="35" t="s">
        <v>61</v>
      </c>
      <c r="T223" s="35" t="s">
        <v>62</v>
      </c>
      <c r="U223" s="36" t="s">
        <v>80</v>
      </c>
    </row>
    <row r="224" spans="1:21" ht="15.75" customHeight="1" x14ac:dyDescent="0.25">
      <c r="A224" s="9" t="s">
        <v>1584</v>
      </c>
      <c r="B224" s="10" t="s">
        <v>1585</v>
      </c>
      <c r="C224" s="11" t="s">
        <v>1586</v>
      </c>
      <c r="D224" s="12" t="s">
        <v>1587</v>
      </c>
      <c r="E224" s="11" t="s">
        <v>98</v>
      </c>
      <c r="F224" s="13">
        <v>401</v>
      </c>
      <c r="G224" s="20" t="s">
        <v>85</v>
      </c>
      <c r="H224" s="11" t="s">
        <v>129</v>
      </c>
      <c r="I224" s="15" t="s">
        <v>1588</v>
      </c>
      <c r="J224" s="10" t="s">
        <v>1589</v>
      </c>
      <c r="K224" s="11" t="s">
        <v>1590</v>
      </c>
      <c r="L224" s="9" t="s">
        <v>90</v>
      </c>
      <c r="M224" s="10" t="s">
        <v>91</v>
      </c>
      <c r="N224" s="16" t="s">
        <v>75</v>
      </c>
      <c r="O224" s="17" t="s">
        <v>355</v>
      </c>
      <c r="P224" s="17" t="s">
        <v>356</v>
      </c>
      <c r="Q224" s="18" t="s">
        <v>78</v>
      </c>
      <c r="R224" s="18" t="s">
        <v>79</v>
      </c>
      <c r="S224" s="18" t="s">
        <v>61</v>
      </c>
      <c r="T224" s="18" t="s">
        <v>62</v>
      </c>
      <c r="U224" s="19" t="s">
        <v>80</v>
      </c>
    </row>
    <row r="225" spans="1:21" ht="15.75" customHeight="1" x14ac:dyDescent="0.25">
      <c r="A225" s="27" t="s">
        <v>1591</v>
      </c>
      <c r="B225" s="28" t="s">
        <v>1592</v>
      </c>
      <c r="C225" s="29" t="s">
        <v>1593</v>
      </c>
      <c r="D225" s="37" t="s">
        <v>109</v>
      </c>
      <c r="E225" s="29" t="s">
        <v>98</v>
      </c>
      <c r="F225" s="29" t="s">
        <v>1594</v>
      </c>
      <c r="G225" s="14" t="s">
        <v>119</v>
      </c>
      <c r="H225" s="29" t="s">
        <v>100</v>
      </c>
      <c r="I225" s="32" t="s">
        <v>1595</v>
      </c>
      <c r="J225" s="28" t="s">
        <v>1596</v>
      </c>
      <c r="K225" s="29" t="s">
        <v>1597</v>
      </c>
      <c r="L225" s="27" t="s">
        <v>1598</v>
      </c>
      <c r="M225" s="28" t="s">
        <v>1599</v>
      </c>
      <c r="N225" s="38"/>
      <c r="O225" s="34"/>
      <c r="P225" s="34"/>
      <c r="Q225" s="35" t="s">
        <v>78</v>
      </c>
      <c r="R225" s="35" t="s">
        <v>79</v>
      </c>
      <c r="S225" s="35" t="s">
        <v>61</v>
      </c>
      <c r="T225" s="35" t="s">
        <v>62</v>
      </c>
      <c r="U225" s="36" t="s">
        <v>80</v>
      </c>
    </row>
    <row r="226" spans="1:21" ht="15.75" customHeight="1" x14ac:dyDescent="0.25">
      <c r="A226" s="9" t="s">
        <v>1600</v>
      </c>
      <c r="B226" s="10" t="s">
        <v>1601</v>
      </c>
      <c r="C226" s="11" t="s">
        <v>1602</v>
      </c>
      <c r="D226" s="12" t="s">
        <v>1603</v>
      </c>
      <c r="E226" s="11" t="s">
        <v>98</v>
      </c>
      <c r="F226" s="11" t="s">
        <v>1604</v>
      </c>
      <c r="G226" s="20" t="s">
        <v>85</v>
      </c>
      <c r="H226" s="11" t="s">
        <v>120</v>
      </c>
      <c r="I226" s="15" t="s">
        <v>1605</v>
      </c>
      <c r="J226" s="10" t="s">
        <v>1606</v>
      </c>
      <c r="K226" s="11" t="s">
        <v>1607</v>
      </c>
      <c r="L226" s="9" t="s">
        <v>90</v>
      </c>
      <c r="M226" s="10" t="s">
        <v>91</v>
      </c>
      <c r="N226" s="16" t="s">
        <v>75</v>
      </c>
      <c r="O226" s="17" t="s">
        <v>492</v>
      </c>
      <c r="P226" s="17" t="s">
        <v>493</v>
      </c>
      <c r="Q226" s="18" t="s">
        <v>78</v>
      </c>
      <c r="R226" s="18" t="s">
        <v>79</v>
      </c>
      <c r="S226" s="18" t="s">
        <v>61</v>
      </c>
      <c r="T226" s="18" t="s">
        <v>62</v>
      </c>
      <c r="U226" s="19" t="s">
        <v>80</v>
      </c>
    </row>
    <row r="227" spans="1:21" ht="15.75" customHeight="1" x14ac:dyDescent="0.25">
      <c r="A227" s="27" t="s">
        <v>1608</v>
      </c>
      <c r="B227" s="28" t="s">
        <v>1609</v>
      </c>
      <c r="C227" s="29" t="s">
        <v>1506</v>
      </c>
      <c r="D227" s="37" t="s">
        <v>109</v>
      </c>
      <c r="E227" s="29" t="s">
        <v>47</v>
      </c>
      <c r="F227" s="31">
        <v>153</v>
      </c>
      <c r="G227" s="25" t="s">
        <v>110</v>
      </c>
      <c r="H227" s="29" t="s">
        <v>86</v>
      </c>
      <c r="I227" s="32" t="s">
        <v>1610</v>
      </c>
      <c r="J227" s="28" t="s">
        <v>1611</v>
      </c>
      <c r="K227" s="29" t="s">
        <v>1509</v>
      </c>
      <c r="L227" s="27" t="s">
        <v>90</v>
      </c>
      <c r="M227" s="28" t="s">
        <v>91</v>
      </c>
      <c r="N227" s="38"/>
      <c r="O227" s="34"/>
      <c r="P227" s="34"/>
      <c r="Q227" s="35" t="s">
        <v>78</v>
      </c>
      <c r="R227" s="35" t="s">
        <v>79</v>
      </c>
      <c r="S227" s="35" t="s">
        <v>61</v>
      </c>
      <c r="T227" s="35" t="s">
        <v>62</v>
      </c>
      <c r="U227" s="36" t="s">
        <v>80</v>
      </c>
    </row>
    <row r="228" spans="1:21" ht="15.75" customHeight="1" x14ac:dyDescent="0.25">
      <c r="A228" s="9" t="s">
        <v>1612</v>
      </c>
      <c r="B228" s="10" t="s">
        <v>1613</v>
      </c>
      <c r="C228" s="11" t="s">
        <v>1614</v>
      </c>
      <c r="D228" s="21" t="s">
        <v>109</v>
      </c>
      <c r="E228" s="11" t="s">
        <v>47</v>
      </c>
      <c r="F228" s="11"/>
      <c r="G228" s="25" t="s">
        <v>110</v>
      </c>
      <c r="H228" s="11" t="s">
        <v>120</v>
      </c>
      <c r="I228" s="15" t="s">
        <v>1615</v>
      </c>
      <c r="J228" s="10" t="s">
        <v>1616</v>
      </c>
      <c r="K228" s="11" t="s">
        <v>1509</v>
      </c>
      <c r="L228" s="9" t="s">
        <v>90</v>
      </c>
      <c r="M228" s="10" t="s">
        <v>91</v>
      </c>
      <c r="N228" s="22"/>
      <c r="O228" s="17"/>
      <c r="P228" s="17"/>
      <c r="Q228" s="18" t="s">
        <v>78</v>
      </c>
      <c r="R228" s="18" t="s">
        <v>79</v>
      </c>
      <c r="S228" s="18" t="s">
        <v>61</v>
      </c>
      <c r="T228" s="18" t="s">
        <v>62</v>
      </c>
      <c r="U228" s="19" t="s">
        <v>80</v>
      </c>
    </row>
    <row r="229" spans="1:21" ht="15.75" customHeight="1" x14ac:dyDescent="0.25">
      <c r="A229" s="27" t="s">
        <v>1617</v>
      </c>
      <c r="B229" s="28" t="s">
        <v>1618</v>
      </c>
      <c r="C229" s="29" t="s">
        <v>1619</v>
      </c>
      <c r="D229" s="37" t="s">
        <v>109</v>
      </c>
      <c r="E229" s="29" t="s">
        <v>47</v>
      </c>
      <c r="F229" s="29"/>
      <c r="G229" s="25" t="s">
        <v>110</v>
      </c>
      <c r="H229" s="29" t="s">
        <v>330</v>
      </c>
      <c r="I229" s="32" t="s">
        <v>1620</v>
      </c>
      <c r="J229" s="28" t="s">
        <v>1621</v>
      </c>
      <c r="K229" s="29" t="s">
        <v>1509</v>
      </c>
      <c r="L229" s="27" t="s">
        <v>90</v>
      </c>
      <c r="M229" s="28" t="s">
        <v>91</v>
      </c>
      <c r="N229" s="38"/>
      <c r="O229" s="34"/>
      <c r="P229" s="34"/>
      <c r="Q229" s="35" t="s">
        <v>78</v>
      </c>
      <c r="R229" s="35" t="s">
        <v>79</v>
      </c>
      <c r="S229" s="35" t="s">
        <v>61</v>
      </c>
      <c r="T229" s="35" t="s">
        <v>62</v>
      </c>
      <c r="U229" s="36" t="s">
        <v>80</v>
      </c>
    </row>
    <row r="230" spans="1:21" ht="15.75" customHeight="1" x14ac:dyDescent="0.25">
      <c r="A230" s="9" t="s">
        <v>1622</v>
      </c>
      <c r="B230" s="10" t="s">
        <v>1623</v>
      </c>
      <c r="C230" s="11" t="s">
        <v>1624</v>
      </c>
      <c r="D230" s="21" t="s">
        <v>109</v>
      </c>
      <c r="E230" s="11" t="s">
        <v>47</v>
      </c>
      <c r="F230" s="13">
        <v>91</v>
      </c>
      <c r="G230" s="25" t="s">
        <v>110</v>
      </c>
      <c r="H230" s="11" t="s">
        <v>48</v>
      </c>
      <c r="I230" s="15" t="s">
        <v>1625</v>
      </c>
      <c r="J230" s="10" t="s">
        <v>1626</v>
      </c>
      <c r="K230" s="11" t="s">
        <v>1627</v>
      </c>
      <c r="L230" s="9" t="s">
        <v>481</v>
      </c>
      <c r="M230" s="10" t="s">
        <v>482</v>
      </c>
      <c r="N230" s="22"/>
      <c r="O230" s="17"/>
      <c r="P230" s="17"/>
      <c r="Q230" s="18" t="s">
        <v>78</v>
      </c>
      <c r="R230" s="18" t="s">
        <v>79</v>
      </c>
      <c r="S230" s="18" t="s">
        <v>61</v>
      </c>
      <c r="T230" s="18" t="s">
        <v>62</v>
      </c>
      <c r="U230" s="19" t="s">
        <v>80</v>
      </c>
    </row>
    <row r="231" spans="1:21" ht="15.75" customHeight="1" x14ac:dyDescent="0.25">
      <c r="A231" s="27" t="s">
        <v>1628</v>
      </c>
      <c r="B231" s="28" t="s">
        <v>1629</v>
      </c>
      <c r="C231" s="29" t="s">
        <v>1630</v>
      </c>
      <c r="D231" s="30" t="s">
        <v>1631</v>
      </c>
      <c r="E231" s="29" t="s">
        <v>67</v>
      </c>
      <c r="F231" s="31">
        <v>-100</v>
      </c>
      <c r="G231" s="20" t="s">
        <v>119</v>
      </c>
      <c r="H231" s="29" t="s">
        <v>69</v>
      </c>
      <c r="I231" s="32" t="s">
        <v>1632</v>
      </c>
      <c r="J231" s="28" t="s">
        <v>1633</v>
      </c>
      <c r="K231" s="29" t="s">
        <v>1634</v>
      </c>
      <c r="L231" s="27" t="s">
        <v>140</v>
      </c>
      <c r="M231" s="28" t="s">
        <v>141</v>
      </c>
      <c r="N231" s="33" t="s">
        <v>75</v>
      </c>
      <c r="O231" s="34" t="s">
        <v>1635</v>
      </c>
      <c r="P231" s="34" t="s">
        <v>1636</v>
      </c>
      <c r="Q231" s="35" t="s">
        <v>78</v>
      </c>
      <c r="R231" s="35" t="s">
        <v>79</v>
      </c>
      <c r="S231" s="35" t="s">
        <v>61</v>
      </c>
      <c r="T231" s="35" t="s">
        <v>62</v>
      </c>
      <c r="U231" s="36" t="s">
        <v>80</v>
      </c>
    </row>
    <row r="232" spans="1:21" ht="15.75" customHeight="1" x14ac:dyDescent="0.25">
      <c r="A232" s="9" t="s">
        <v>1637</v>
      </c>
      <c r="B232" s="10" t="s">
        <v>1638</v>
      </c>
      <c r="C232" s="11" t="s">
        <v>1639</v>
      </c>
      <c r="D232" s="21" t="s">
        <v>109</v>
      </c>
      <c r="E232" s="11" t="s">
        <v>67</v>
      </c>
      <c r="F232" s="13">
        <v>-0.5</v>
      </c>
      <c r="G232" s="14" t="s">
        <v>119</v>
      </c>
      <c r="H232" s="11" t="s">
        <v>69</v>
      </c>
      <c r="I232" s="15" t="s">
        <v>1640</v>
      </c>
      <c r="J232" s="10" t="s">
        <v>1641</v>
      </c>
      <c r="K232" s="11" t="s">
        <v>1642</v>
      </c>
      <c r="L232" s="9" t="s">
        <v>73</v>
      </c>
      <c r="M232" s="10" t="s">
        <v>74</v>
      </c>
      <c r="N232" s="22"/>
      <c r="O232" s="17"/>
      <c r="P232" s="17"/>
      <c r="Q232" s="18" t="s">
        <v>78</v>
      </c>
      <c r="R232" s="18" t="s">
        <v>79</v>
      </c>
      <c r="S232" s="18" t="s">
        <v>61</v>
      </c>
      <c r="T232" s="18" t="s">
        <v>62</v>
      </c>
      <c r="U232" s="19" t="s">
        <v>80</v>
      </c>
    </row>
    <row r="233" spans="1:21" ht="15.75" customHeight="1" x14ac:dyDescent="0.25">
      <c r="A233" s="27" t="s">
        <v>1643</v>
      </c>
      <c r="B233" s="28" t="s">
        <v>1644</v>
      </c>
      <c r="C233" s="29" t="s">
        <v>1645</v>
      </c>
      <c r="D233" s="37" t="s">
        <v>109</v>
      </c>
      <c r="E233" s="29" t="s">
        <v>98</v>
      </c>
      <c r="F233" s="31">
        <v>222</v>
      </c>
      <c r="G233" s="24" t="s">
        <v>85</v>
      </c>
      <c r="H233" s="29" t="s">
        <v>129</v>
      </c>
      <c r="I233" s="32" t="s">
        <v>1646</v>
      </c>
      <c r="J233" s="28" t="s">
        <v>1647</v>
      </c>
      <c r="K233" s="29"/>
      <c r="L233" s="27"/>
      <c r="M233" s="28"/>
      <c r="N233" s="38"/>
      <c r="O233" s="34"/>
      <c r="P233" s="34"/>
      <c r="Q233" s="35" t="s">
        <v>78</v>
      </c>
      <c r="R233" s="35" t="s">
        <v>79</v>
      </c>
      <c r="S233" s="35" t="s">
        <v>61</v>
      </c>
      <c r="T233" s="35" t="s">
        <v>62</v>
      </c>
      <c r="U233" s="36" t="s">
        <v>80</v>
      </c>
    </row>
    <row r="234" spans="1:21" ht="15.75" customHeight="1" x14ac:dyDescent="0.25">
      <c r="A234" s="9" t="s">
        <v>1648</v>
      </c>
      <c r="B234" s="10" t="s">
        <v>1649</v>
      </c>
      <c r="C234" s="11" t="s">
        <v>1650</v>
      </c>
      <c r="D234" s="12" t="s">
        <v>1651</v>
      </c>
      <c r="E234" s="11" t="s">
        <v>98</v>
      </c>
      <c r="F234" s="11" t="s">
        <v>1652</v>
      </c>
      <c r="G234" s="20" t="s">
        <v>85</v>
      </c>
      <c r="H234" s="11" t="s">
        <v>100</v>
      </c>
      <c r="I234" s="15" t="s">
        <v>1653</v>
      </c>
      <c r="J234" s="10" t="s">
        <v>1654</v>
      </c>
      <c r="K234" s="11" t="s">
        <v>1655</v>
      </c>
      <c r="L234" s="9" t="s">
        <v>90</v>
      </c>
      <c r="M234" s="10" t="s">
        <v>91</v>
      </c>
      <c r="N234" s="16" t="s">
        <v>75</v>
      </c>
      <c r="O234" s="17" t="s">
        <v>92</v>
      </c>
      <c r="P234" s="17" t="s">
        <v>93</v>
      </c>
      <c r="Q234" s="18" t="s">
        <v>78</v>
      </c>
      <c r="R234" s="18" t="s">
        <v>79</v>
      </c>
      <c r="S234" s="18" t="s">
        <v>61</v>
      </c>
      <c r="T234" s="18" t="s">
        <v>62</v>
      </c>
      <c r="U234" s="19" t="s">
        <v>80</v>
      </c>
    </row>
    <row r="235" spans="1:21" ht="15.75" customHeight="1" x14ac:dyDescent="0.25">
      <c r="A235" s="27" t="s">
        <v>1656</v>
      </c>
      <c r="B235" s="28" t="s">
        <v>1657</v>
      </c>
      <c r="C235" s="29" t="s">
        <v>1658</v>
      </c>
      <c r="D235" s="30" t="s">
        <v>1659</v>
      </c>
      <c r="E235" s="29" t="s">
        <v>47</v>
      </c>
      <c r="F235" s="31">
        <v>189</v>
      </c>
      <c r="G235" s="20" t="s">
        <v>119</v>
      </c>
      <c r="H235" s="29" t="s">
        <v>86</v>
      </c>
      <c r="I235" s="32" t="s">
        <v>1660</v>
      </c>
      <c r="J235" s="28" t="s">
        <v>1661</v>
      </c>
      <c r="K235" s="29" t="s">
        <v>1662</v>
      </c>
      <c r="L235" s="27" t="s">
        <v>90</v>
      </c>
      <c r="M235" s="28" t="s">
        <v>91</v>
      </c>
      <c r="N235" s="33" t="s">
        <v>75</v>
      </c>
      <c r="O235" s="34" t="s">
        <v>1663</v>
      </c>
      <c r="P235" s="34" t="s">
        <v>1664</v>
      </c>
      <c r="Q235" s="35" t="s">
        <v>78</v>
      </c>
      <c r="R235" s="35" t="s">
        <v>79</v>
      </c>
      <c r="S235" s="35" t="s">
        <v>61</v>
      </c>
      <c r="T235" s="35" t="s">
        <v>62</v>
      </c>
      <c r="U235" s="36" t="s">
        <v>80</v>
      </c>
    </row>
    <row r="236" spans="1:21" ht="15.75" customHeight="1" x14ac:dyDescent="0.25">
      <c r="A236" s="9" t="s">
        <v>1665</v>
      </c>
      <c r="B236" s="10" t="s">
        <v>1666</v>
      </c>
      <c r="C236" s="11" t="s">
        <v>1667</v>
      </c>
      <c r="D236" s="21" t="s">
        <v>109</v>
      </c>
      <c r="E236" s="11" t="s">
        <v>47</v>
      </c>
      <c r="F236" s="13">
        <v>128</v>
      </c>
      <c r="G236" s="25" t="s">
        <v>110</v>
      </c>
      <c r="H236" s="11" t="s">
        <v>330</v>
      </c>
      <c r="I236" s="15" t="s">
        <v>1668</v>
      </c>
      <c r="J236" s="10" t="s">
        <v>1669</v>
      </c>
      <c r="K236" s="11" t="s">
        <v>1670</v>
      </c>
      <c r="L236" s="9" t="s">
        <v>90</v>
      </c>
      <c r="M236" s="10" t="s">
        <v>91</v>
      </c>
      <c r="N236" s="22"/>
      <c r="O236" s="17"/>
      <c r="P236" s="17"/>
      <c r="Q236" s="18" t="s">
        <v>78</v>
      </c>
      <c r="R236" s="18" t="s">
        <v>79</v>
      </c>
      <c r="S236" s="18" t="s">
        <v>61</v>
      </c>
      <c r="T236" s="18" t="s">
        <v>62</v>
      </c>
      <c r="U236" s="19" t="s">
        <v>80</v>
      </c>
    </row>
    <row r="237" spans="1:21" ht="15.75" customHeight="1" x14ac:dyDescent="0.25">
      <c r="A237" s="27" t="s">
        <v>1671</v>
      </c>
      <c r="B237" s="28" t="s">
        <v>1672</v>
      </c>
      <c r="C237" s="29" t="s">
        <v>1673</v>
      </c>
      <c r="D237" s="30" t="s">
        <v>1674</v>
      </c>
      <c r="E237" s="29" t="s">
        <v>47</v>
      </c>
      <c r="F237" s="31">
        <v>104</v>
      </c>
      <c r="G237" s="20" t="s">
        <v>85</v>
      </c>
      <c r="H237" s="29" t="s">
        <v>330</v>
      </c>
      <c r="I237" s="32" t="s">
        <v>1675</v>
      </c>
      <c r="J237" s="28" t="s">
        <v>1676</v>
      </c>
      <c r="K237" s="29" t="s">
        <v>1677</v>
      </c>
      <c r="L237" s="27" t="s">
        <v>90</v>
      </c>
      <c r="M237" s="28" t="s">
        <v>91</v>
      </c>
      <c r="N237" s="33" t="s">
        <v>75</v>
      </c>
      <c r="O237" s="34" t="s">
        <v>1486</v>
      </c>
      <c r="P237" s="34" t="s">
        <v>1487</v>
      </c>
      <c r="Q237" s="35" t="s">
        <v>78</v>
      </c>
      <c r="R237" s="35" t="s">
        <v>79</v>
      </c>
      <c r="S237" s="35" t="s">
        <v>61</v>
      </c>
      <c r="T237" s="35" t="s">
        <v>62</v>
      </c>
      <c r="U237" s="36" t="s">
        <v>80</v>
      </c>
    </row>
    <row r="238" spans="1:21" ht="15.75" customHeight="1" x14ac:dyDescent="0.25">
      <c r="A238" s="9" t="s">
        <v>1678</v>
      </c>
      <c r="B238" s="10" t="s">
        <v>1679</v>
      </c>
      <c r="C238" s="11" t="s">
        <v>1680</v>
      </c>
      <c r="D238" s="12" t="s">
        <v>1681</v>
      </c>
      <c r="E238" s="11" t="s">
        <v>47</v>
      </c>
      <c r="F238" s="13">
        <v>59</v>
      </c>
      <c r="G238" s="20" t="s">
        <v>85</v>
      </c>
      <c r="H238" s="11" t="s">
        <v>48</v>
      </c>
      <c r="I238" s="15" t="s">
        <v>1682</v>
      </c>
      <c r="J238" s="10" t="s">
        <v>1683</v>
      </c>
      <c r="K238" s="11" t="s">
        <v>1684</v>
      </c>
      <c r="L238" s="9" t="s">
        <v>90</v>
      </c>
      <c r="M238" s="10" t="s">
        <v>91</v>
      </c>
      <c r="N238" s="16" t="s">
        <v>75</v>
      </c>
      <c r="O238" s="17" t="s">
        <v>1495</v>
      </c>
      <c r="P238" s="17" t="s">
        <v>1496</v>
      </c>
      <c r="Q238" s="18" t="s">
        <v>78</v>
      </c>
      <c r="R238" s="18" t="s">
        <v>79</v>
      </c>
      <c r="S238" s="18" t="s">
        <v>61</v>
      </c>
      <c r="T238" s="18" t="s">
        <v>62</v>
      </c>
      <c r="U238" s="19" t="s">
        <v>80</v>
      </c>
    </row>
    <row r="239" spans="1:21" ht="15.75" customHeight="1" x14ac:dyDescent="0.25">
      <c r="A239" s="27" t="s">
        <v>1685</v>
      </c>
      <c r="B239" s="28" t="s">
        <v>1686</v>
      </c>
      <c r="C239" s="29" t="s">
        <v>1687</v>
      </c>
      <c r="D239" s="37" t="s">
        <v>109</v>
      </c>
      <c r="E239" s="29" t="s">
        <v>1264</v>
      </c>
      <c r="F239" s="29"/>
      <c r="G239" s="25" t="s">
        <v>110</v>
      </c>
      <c r="H239" s="29" t="s">
        <v>100</v>
      </c>
      <c r="I239" s="32" t="s">
        <v>1688</v>
      </c>
      <c r="J239" s="28" t="s">
        <v>1689</v>
      </c>
      <c r="K239" s="29" t="s">
        <v>1690</v>
      </c>
      <c r="L239" s="27" t="s">
        <v>90</v>
      </c>
      <c r="M239" s="28" t="s">
        <v>91</v>
      </c>
      <c r="N239" s="38"/>
      <c r="O239" s="34"/>
      <c r="P239" s="34"/>
      <c r="Q239" s="35" t="s">
        <v>78</v>
      </c>
      <c r="R239" s="35" t="s">
        <v>79</v>
      </c>
      <c r="S239" s="35" t="s">
        <v>61</v>
      </c>
      <c r="T239" s="35" t="s">
        <v>62</v>
      </c>
      <c r="U239" s="36" t="s">
        <v>80</v>
      </c>
    </row>
    <row r="240" spans="1:21" ht="15.75" customHeight="1" x14ac:dyDescent="0.25">
      <c r="A240" s="9" t="s">
        <v>1691</v>
      </c>
      <c r="B240" s="10" t="s">
        <v>1692</v>
      </c>
      <c r="C240" s="11" t="s">
        <v>1693</v>
      </c>
      <c r="D240" s="12" t="s">
        <v>1694</v>
      </c>
      <c r="E240" s="11" t="s">
        <v>98</v>
      </c>
      <c r="F240" s="13">
        <v>2595</v>
      </c>
      <c r="G240" s="26" t="s">
        <v>119</v>
      </c>
      <c r="H240" s="11" t="s">
        <v>129</v>
      </c>
      <c r="I240" s="15" t="s">
        <v>1695</v>
      </c>
      <c r="J240" s="10" t="s">
        <v>1696</v>
      </c>
      <c r="K240" s="11" t="s">
        <v>1697</v>
      </c>
      <c r="L240" s="9" t="s">
        <v>1698</v>
      </c>
      <c r="M240" s="10" t="s">
        <v>1699</v>
      </c>
      <c r="N240" s="16" t="s">
        <v>75</v>
      </c>
      <c r="O240" s="17" t="s">
        <v>1700</v>
      </c>
      <c r="P240" s="17" t="s">
        <v>1701</v>
      </c>
      <c r="Q240" s="18" t="s">
        <v>78</v>
      </c>
      <c r="R240" s="18" t="s">
        <v>79</v>
      </c>
      <c r="S240" s="18" t="s">
        <v>61</v>
      </c>
      <c r="T240" s="18" t="s">
        <v>62</v>
      </c>
      <c r="U240" s="19" t="s">
        <v>80</v>
      </c>
    </row>
    <row r="241" spans="1:21" ht="15.75" customHeight="1" x14ac:dyDescent="0.25">
      <c r="A241" s="27" t="s">
        <v>1702</v>
      </c>
      <c r="B241" s="28" t="s">
        <v>1703</v>
      </c>
      <c r="C241" s="29" t="s">
        <v>1704</v>
      </c>
      <c r="D241" s="30" t="s">
        <v>1705</v>
      </c>
      <c r="E241" s="29" t="s">
        <v>47</v>
      </c>
      <c r="F241" s="31">
        <v>104</v>
      </c>
      <c r="G241" s="20" t="s">
        <v>85</v>
      </c>
      <c r="H241" s="29" t="s">
        <v>330</v>
      </c>
      <c r="I241" s="32" t="s">
        <v>1706</v>
      </c>
      <c r="J241" s="28" t="s">
        <v>1707</v>
      </c>
      <c r="K241" s="29" t="s">
        <v>1708</v>
      </c>
      <c r="L241" s="27" t="s">
        <v>90</v>
      </c>
      <c r="M241" s="28" t="s">
        <v>91</v>
      </c>
      <c r="N241" s="33" t="s">
        <v>75</v>
      </c>
      <c r="O241" s="34" t="s">
        <v>544</v>
      </c>
      <c r="P241" s="34" t="s">
        <v>545</v>
      </c>
      <c r="Q241" s="35" t="s">
        <v>78</v>
      </c>
      <c r="R241" s="35" t="s">
        <v>79</v>
      </c>
      <c r="S241" s="35" t="s">
        <v>61</v>
      </c>
      <c r="T241" s="35" t="s">
        <v>62</v>
      </c>
      <c r="U241" s="36" t="s">
        <v>80</v>
      </c>
    </row>
    <row r="242" spans="1:21" ht="15.75" customHeight="1" x14ac:dyDescent="0.25">
      <c r="A242" s="9" t="s">
        <v>1709</v>
      </c>
      <c r="B242" s="10" t="s">
        <v>1710</v>
      </c>
      <c r="C242" s="11" t="s">
        <v>1711</v>
      </c>
      <c r="D242" s="12" t="s">
        <v>1712</v>
      </c>
      <c r="E242" s="11" t="s">
        <v>47</v>
      </c>
      <c r="F242" s="13">
        <v>81</v>
      </c>
      <c r="G242" s="20" t="s">
        <v>119</v>
      </c>
      <c r="H242" s="11" t="s">
        <v>48</v>
      </c>
      <c r="I242" s="15" t="s">
        <v>1713</v>
      </c>
      <c r="J242" s="10" t="s">
        <v>1714</v>
      </c>
      <c r="K242" s="11" t="s">
        <v>1715</v>
      </c>
      <c r="L242" s="9" t="s">
        <v>158</v>
      </c>
      <c r="M242" s="10" t="s">
        <v>159</v>
      </c>
      <c r="N242" s="16" t="s">
        <v>75</v>
      </c>
      <c r="O242" s="17" t="s">
        <v>650</v>
      </c>
      <c r="P242" s="17" t="s">
        <v>651</v>
      </c>
      <c r="Q242" s="18" t="s">
        <v>78</v>
      </c>
      <c r="R242" s="18" t="s">
        <v>79</v>
      </c>
      <c r="S242" s="18" t="s">
        <v>61</v>
      </c>
      <c r="T242" s="18" t="s">
        <v>62</v>
      </c>
      <c r="U242" s="19" t="s">
        <v>80</v>
      </c>
    </row>
    <row r="243" spans="1:21" ht="15.75" customHeight="1" x14ac:dyDescent="0.25">
      <c r="A243" s="27" t="s">
        <v>1716</v>
      </c>
      <c r="B243" s="28" t="s">
        <v>1717</v>
      </c>
      <c r="C243" s="29" t="s">
        <v>1718</v>
      </c>
      <c r="D243" s="37" t="s">
        <v>109</v>
      </c>
      <c r="E243" s="29" t="s">
        <v>98</v>
      </c>
      <c r="F243" s="31">
        <v>161</v>
      </c>
      <c r="G243" s="24" t="s">
        <v>85</v>
      </c>
      <c r="H243" s="29" t="s">
        <v>86</v>
      </c>
      <c r="I243" s="32" t="s">
        <v>1719</v>
      </c>
      <c r="J243" s="28" t="s">
        <v>1720</v>
      </c>
      <c r="K243" s="29"/>
      <c r="L243" s="27"/>
      <c r="M243" s="28"/>
      <c r="N243" s="38"/>
      <c r="O243" s="34"/>
      <c r="P243" s="34"/>
      <c r="Q243" s="35" t="s">
        <v>78</v>
      </c>
      <c r="R243" s="35" t="s">
        <v>79</v>
      </c>
      <c r="S243" s="35" t="s">
        <v>61</v>
      </c>
      <c r="T243" s="35" t="s">
        <v>62</v>
      </c>
      <c r="U243" s="36" t="s">
        <v>80</v>
      </c>
    </row>
    <row r="244" spans="1:21" ht="15.75" customHeight="1" x14ac:dyDescent="0.25">
      <c r="A244" s="9" t="s">
        <v>1721</v>
      </c>
      <c r="B244" s="10" t="s">
        <v>1722</v>
      </c>
      <c r="C244" s="11" t="s">
        <v>1723</v>
      </c>
      <c r="D244" s="21" t="s">
        <v>109</v>
      </c>
      <c r="E244" s="11" t="s">
        <v>98</v>
      </c>
      <c r="F244" s="11"/>
      <c r="G244" s="25" t="s">
        <v>110</v>
      </c>
      <c r="H244" s="11" t="s">
        <v>100</v>
      </c>
      <c r="I244" s="15" t="s">
        <v>1724</v>
      </c>
      <c r="J244" s="10" t="s">
        <v>1725</v>
      </c>
      <c r="K244" s="11" t="s">
        <v>933</v>
      </c>
      <c r="L244" s="9" t="s">
        <v>90</v>
      </c>
      <c r="M244" s="10" t="s">
        <v>91</v>
      </c>
      <c r="N244" s="22"/>
      <c r="O244" s="17"/>
      <c r="P244" s="17"/>
      <c r="Q244" s="18" t="s">
        <v>78</v>
      </c>
      <c r="R244" s="18" t="s">
        <v>79</v>
      </c>
      <c r="S244" s="18" t="s">
        <v>61</v>
      </c>
      <c r="T244" s="18" t="s">
        <v>62</v>
      </c>
      <c r="U244" s="19" t="s">
        <v>80</v>
      </c>
    </row>
    <row r="245" spans="1:21" ht="15.75" customHeight="1" x14ac:dyDescent="0.25">
      <c r="A245" s="27" t="s">
        <v>1726</v>
      </c>
      <c r="B245" s="28" t="s">
        <v>1727</v>
      </c>
      <c r="C245" s="29" t="s">
        <v>1728</v>
      </c>
      <c r="D245" s="37" t="s">
        <v>109</v>
      </c>
      <c r="E245" s="29" t="s">
        <v>47</v>
      </c>
      <c r="F245" s="31">
        <v>134.5</v>
      </c>
      <c r="G245" s="25" t="s">
        <v>110</v>
      </c>
      <c r="H245" s="29" t="s">
        <v>330</v>
      </c>
      <c r="I245" s="32" t="s">
        <v>1729</v>
      </c>
      <c r="J245" s="28" t="s">
        <v>1730</v>
      </c>
      <c r="K245" s="29" t="s">
        <v>1731</v>
      </c>
      <c r="L245" s="27" t="s">
        <v>481</v>
      </c>
      <c r="M245" s="28" t="s">
        <v>482</v>
      </c>
      <c r="N245" s="38"/>
      <c r="O245" s="34"/>
      <c r="P245" s="34"/>
      <c r="Q245" s="35" t="s">
        <v>78</v>
      </c>
      <c r="R245" s="35" t="s">
        <v>79</v>
      </c>
      <c r="S245" s="35" t="s">
        <v>61</v>
      </c>
      <c r="T245" s="35" t="s">
        <v>62</v>
      </c>
      <c r="U245" s="36" t="s">
        <v>80</v>
      </c>
    </row>
    <row r="246" spans="1:21" ht="15.75" customHeight="1" x14ac:dyDescent="0.25">
      <c r="A246" s="9" t="s">
        <v>1732</v>
      </c>
      <c r="B246" s="10" t="s">
        <v>1733</v>
      </c>
      <c r="C246" s="11" t="s">
        <v>1734</v>
      </c>
      <c r="D246" s="21" t="s">
        <v>109</v>
      </c>
      <c r="E246" s="11" t="s">
        <v>98</v>
      </c>
      <c r="F246" s="11"/>
      <c r="G246" s="25" t="s">
        <v>110</v>
      </c>
      <c r="H246" s="11" t="s">
        <v>120</v>
      </c>
      <c r="I246" s="15" t="s">
        <v>1735</v>
      </c>
      <c r="J246" s="10" t="s">
        <v>1736</v>
      </c>
      <c r="K246" s="11" t="s">
        <v>1509</v>
      </c>
      <c r="L246" s="9" t="s">
        <v>90</v>
      </c>
      <c r="M246" s="10" t="s">
        <v>91</v>
      </c>
      <c r="N246" s="22"/>
      <c r="O246" s="17"/>
      <c r="P246" s="17"/>
      <c r="Q246" s="18" t="s">
        <v>78</v>
      </c>
      <c r="R246" s="18" t="s">
        <v>79</v>
      </c>
      <c r="S246" s="18" t="s">
        <v>61</v>
      </c>
      <c r="T246" s="18" t="s">
        <v>62</v>
      </c>
      <c r="U246" s="19" t="s">
        <v>80</v>
      </c>
    </row>
    <row r="247" spans="1:21" ht="15.75" customHeight="1" x14ac:dyDescent="0.25">
      <c r="A247" s="27" t="s">
        <v>1737</v>
      </c>
      <c r="B247" s="28" t="s">
        <v>1738</v>
      </c>
      <c r="C247" s="29" t="s">
        <v>1739</v>
      </c>
      <c r="D247" s="30" t="s">
        <v>1740</v>
      </c>
      <c r="E247" s="29" t="s">
        <v>98</v>
      </c>
      <c r="F247" s="29"/>
      <c r="G247" s="20" t="s">
        <v>119</v>
      </c>
      <c r="H247" s="29" t="s">
        <v>100</v>
      </c>
      <c r="I247" s="32" t="s">
        <v>1741</v>
      </c>
      <c r="J247" s="28" t="s">
        <v>1742</v>
      </c>
      <c r="K247" s="29" t="s">
        <v>1690</v>
      </c>
      <c r="L247" s="27" t="s">
        <v>90</v>
      </c>
      <c r="M247" s="28" t="s">
        <v>91</v>
      </c>
      <c r="N247" s="33" t="s">
        <v>75</v>
      </c>
      <c r="O247" s="34" t="s">
        <v>124</v>
      </c>
      <c r="P247" s="34" t="s">
        <v>125</v>
      </c>
      <c r="Q247" s="35" t="s">
        <v>78</v>
      </c>
      <c r="R247" s="35" t="s">
        <v>79</v>
      </c>
      <c r="S247" s="35" t="s">
        <v>61</v>
      </c>
      <c r="T247" s="35" t="s">
        <v>62</v>
      </c>
      <c r="U247" s="36" t="s">
        <v>80</v>
      </c>
    </row>
    <row r="248" spans="1:21" ht="15.75" customHeight="1" x14ac:dyDescent="0.25">
      <c r="A248" s="9" t="s">
        <v>1743</v>
      </c>
      <c r="B248" s="10" t="s">
        <v>1744</v>
      </c>
      <c r="C248" s="11" t="s">
        <v>1745</v>
      </c>
      <c r="D248" s="21" t="s">
        <v>109</v>
      </c>
      <c r="E248" s="11" t="s">
        <v>1264</v>
      </c>
      <c r="F248" s="11"/>
      <c r="G248" s="24" t="s">
        <v>85</v>
      </c>
      <c r="H248" s="11" t="s">
        <v>100</v>
      </c>
      <c r="I248" s="15" t="s">
        <v>1746</v>
      </c>
      <c r="J248" s="10" t="s">
        <v>1747</v>
      </c>
      <c r="K248" s="11"/>
      <c r="L248" s="9"/>
      <c r="M248" s="10"/>
      <c r="N248" s="22"/>
      <c r="O248" s="17"/>
      <c r="P248" s="17"/>
      <c r="Q248" s="18" t="s">
        <v>78</v>
      </c>
      <c r="R248" s="18" t="s">
        <v>79</v>
      </c>
      <c r="S248" s="18" t="s">
        <v>61</v>
      </c>
      <c r="T248" s="18" t="s">
        <v>62</v>
      </c>
      <c r="U248" s="19" t="s">
        <v>80</v>
      </c>
    </row>
    <row r="249" spans="1:21" ht="15.75" customHeight="1" x14ac:dyDescent="0.25">
      <c r="A249" s="27" t="s">
        <v>1748</v>
      </c>
      <c r="B249" s="28" t="s">
        <v>1749</v>
      </c>
      <c r="C249" s="29" t="s">
        <v>1750</v>
      </c>
      <c r="D249" s="30" t="s">
        <v>1751</v>
      </c>
      <c r="E249" s="29" t="s">
        <v>47</v>
      </c>
      <c r="F249" s="31">
        <v>57</v>
      </c>
      <c r="G249" s="20" t="s">
        <v>119</v>
      </c>
      <c r="H249" s="29" t="s">
        <v>48</v>
      </c>
      <c r="I249" s="32" t="s">
        <v>1752</v>
      </c>
      <c r="J249" s="28" t="s">
        <v>1753</v>
      </c>
      <c r="K249" s="29" t="s">
        <v>1754</v>
      </c>
      <c r="L249" s="27" t="s">
        <v>158</v>
      </c>
      <c r="M249" s="28" t="s">
        <v>159</v>
      </c>
      <c r="N249" s="33" t="s">
        <v>75</v>
      </c>
      <c r="O249" s="34" t="s">
        <v>517</v>
      </c>
      <c r="P249" s="34" t="s">
        <v>518</v>
      </c>
      <c r="Q249" s="35" t="s">
        <v>78</v>
      </c>
      <c r="R249" s="35" t="s">
        <v>79</v>
      </c>
      <c r="S249" s="35" t="s">
        <v>61</v>
      </c>
      <c r="T249" s="35" t="s">
        <v>62</v>
      </c>
      <c r="U249" s="36" t="s">
        <v>80</v>
      </c>
    </row>
    <row r="250" spans="1:21" ht="15.75" customHeight="1" x14ac:dyDescent="0.25">
      <c r="A250" s="9" t="s">
        <v>1755</v>
      </c>
      <c r="B250" s="10" t="s">
        <v>1756</v>
      </c>
      <c r="C250" s="11" t="s">
        <v>1757</v>
      </c>
      <c r="D250" s="12" t="s">
        <v>1758</v>
      </c>
      <c r="E250" s="11" t="s">
        <v>47</v>
      </c>
      <c r="F250" s="13">
        <v>83.5</v>
      </c>
      <c r="G250" s="20" t="s">
        <v>85</v>
      </c>
      <c r="H250" s="11" t="s">
        <v>48</v>
      </c>
      <c r="I250" s="15" t="s">
        <v>1759</v>
      </c>
      <c r="J250" s="10" t="s">
        <v>1760</v>
      </c>
      <c r="K250" s="11" t="s">
        <v>1761</v>
      </c>
      <c r="L250" s="9" t="s">
        <v>158</v>
      </c>
      <c r="M250" s="10" t="s">
        <v>159</v>
      </c>
      <c r="N250" s="16" t="s">
        <v>75</v>
      </c>
      <c r="O250" s="17" t="s">
        <v>492</v>
      </c>
      <c r="P250" s="17" t="s">
        <v>493</v>
      </c>
      <c r="Q250" s="18" t="s">
        <v>78</v>
      </c>
      <c r="R250" s="18" t="s">
        <v>79</v>
      </c>
      <c r="S250" s="18" t="s">
        <v>61</v>
      </c>
      <c r="T250" s="18" t="s">
        <v>62</v>
      </c>
      <c r="U250" s="19" t="s">
        <v>80</v>
      </c>
    </row>
    <row r="251" spans="1:21" ht="15.75" customHeight="1" x14ac:dyDescent="0.25">
      <c r="A251" s="27" t="s">
        <v>1762</v>
      </c>
      <c r="B251" s="28" t="s">
        <v>1763</v>
      </c>
      <c r="C251" s="29" t="s">
        <v>1764</v>
      </c>
      <c r="D251" s="37" t="s">
        <v>109</v>
      </c>
      <c r="E251" s="29" t="s">
        <v>98</v>
      </c>
      <c r="F251" s="31">
        <v>257</v>
      </c>
      <c r="G251" s="25" t="s">
        <v>110</v>
      </c>
      <c r="H251" s="29" t="s">
        <v>129</v>
      </c>
      <c r="I251" s="32" t="s">
        <v>1765</v>
      </c>
      <c r="J251" s="28" t="s">
        <v>1766</v>
      </c>
      <c r="K251" s="29" t="s">
        <v>300</v>
      </c>
      <c r="L251" s="27" t="s">
        <v>90</v>
      </c>
      <c r="M251" s="28" t="s">
        <v>91</v>
      </c>
      <c r="N251" s="38"/>
      <c r="O251" s="34"/>
      <c r="P251" s="34"/>
      <c r="Q251" s="35" t="s">
        <v>78</v>
      </c>
      <c r="R251" s="35" t="s">
        <v>79</v>
      </c>
      <c r="S251" s="35" t="s">
        <v>61</v>
      </c>
      <c r="T251" s="35" t="s">
        <v>62</v>
      </c>
      <c r="U251" s="36" t="s">
        <v>80</v>
      </c>
    </row>
    <row r="252" spans="1:21" ht="15.75" customHeight="1" x14ac:dyDescent="0.25">
      <c r="A252" s="9" t="s">
        <v>1767</v>
      </c>
      <c r="B252" s="10" t="s">
        <v>1768</v>
      </c>
      <c r="C252" s="11" t="s">
        <v>1769</v>
      </c>
      <c r="D252" s="12" t="s">
        <v>1770</v>
      </c>
      <c r="E252" s="11" t="s">
        <v>98</v>
      </c>
      <c r="F252" s="13">
        <v>258.5</v>
      </c>
      <c r="G252" s="20" t="s">
        <v>85</v>
      </c>
      <c r="H252" s="11" t="s">
        <v>129</v>
      </c>
      <c r="I252" s="15" t="s">
        <v>1771</v>
      </c>
      <c r="J252" s="10" t="s">
        <v>1772</v>
      </c>
      <c r="K252" s="11" t="s">
        <v>300</v>
      </c>
      <c r="L252" s="9" t="s">
        <v>90</v>
      </c>
      <c r="M252" s="10" t="s">
        <v>91</v>
      </c>
      <c r="N252" s="16" t="s">
        <v>75</v>
      </c>
      <c r="O252" s="17" t="s">
        <v>124</v>
      </c>
      <c r="P252" s="17" t="s">
        <v>125</v>
      </c>
      <c r="Q252" s="18" t="s">
        <v>78</v>
      </c>
      <c r="R252" s="18" t="s">
        <v>79</v>
      </c>
      <c r="S252" s="18" t="s">
        <v>61</v>
      </c>
      <c r="T252" s="18" t="s">
        <v>62</v>
      </c>
      <c r="U252" s="19" t="s">
        <v>80</v>
      </c>
    </row>
    <row r="253" spans="1:21" ht="15.75" customHeight="1" x14ac:dyDescent="0.25">
      <c r="A253" s="27" t="s">
        <v>1773</v>
      </c>
      <c r="B253" s="28" t="s">
        <v>1774</v>
      </c>
      <c r="C253" s="29" t="s">
        <v>1775</v>
      </c>
      <c r="D253" s="37" t="s">
        <v>109</v>
      </c>
      <c r="E253" s="29" t="s">
        <v>98</v>
      </c>
      <c r="F253" s="31">
        <v>130</v>
      </c>
      <c r="G253" s="24" t="s">
        <v>85</v>
      </c>
      <c r="H253" s="29" t="s">
        <v>330</v>
      </c>
      <c r="I253" s="32" t="s">
        <v>1776</v>
      </c>
      <c r="J253" s="28" t="s">
        <v>1777</v>
      </c>
      <c r="K253" s="29" t="s">
        <v>300</v>
      </c>
      <c r="L253" s="27"/>
      <c r="M253" s="28"/>
      <c r="N253" s="38"/>
      <c r="O253" s="34"/>
      <c r="P253" s="34"/>
      <c r="Q253" s="35" t="s">
        <v>78</v>
      </c>
      <c r="R253" s="35" t="s">
        <v>79</v>
      </c>
      <c r="S253" s="35" t="s">
        <v>61</v>
      </c>
      <c r="T253" s="35" t="s">
        <v>62</v>
      </c>
      <c r="U253" s="36" t="s">
        <v>80</v>
      </c>
    </row>
    <row r="254" spans="1:21" ht="15.75" customHeight="1" x14ac:dyDescent="0.25">
      <c r="A254" s="9" t="s">
        <v>1778</v>
      </c>
      <c r="B254" s="10" t="s">
        <v>1779</v>
      </c>
      <c r="C254" s="11" t="s">
        <v>1780</v>
      </c>
      <c r="D254" s="12" t="s">
        <v>790</v>
      </c>
      <c r="E254" s="11" t="s">
        <v>98</v>
      </c>
      <c r="F254" s="13">
        <v>255</v>
      </c>
      <c r="G254" s="14" t="s">
        <v>119</v>
      </c>
      <c r="H254" s="11" t="s">
        <v>129</v>
      </c>
      <c r="I254" s="15" t="s">
        <v>1781</v>
      </c>
      <c r="J254" s="10" t="s">
        <v>1782</v>
      </c>
      <c r="K254" s="11" t="s">
        <v>300</v>
      </c>
      <c r="L254" s="9" t="s">
        <v>90</v>
      </c>
      <c r="M254" s="10" t="s">
        <v>91</v>
      </c>
      <c r="N254" s="23" t="s">
        <v>179</v>
      </c>
      <c r="O254" s="17" t="s">
        <v>869</v>
      </c>
      <c r="P254" s="17" t="s">
        <v>870</v>
      </c>
      <c r="Q254" s="18" t="s">
        <v>78</v>
      </c>
      <c r="R254" s="18" t="s">
        <v>79</v>
      </c>
      <c r="S254" s="18" t="s">
        <v>61</v>
      </c>
      <c r="T254" s="18" t="s">
        <v>62</v>
      </c>
      <c r="U254" s="19" t="s">
        <v>80</v>
      </c>
    </row>
    <row r="255" spans="1:21" ht="15.75" customHeight="1" x14ac:dyDescent="0.25">
      <c r="A255" s="27" t="s">
        <v>1783</v>
      </c>
      <c r="B255" s="28" t="s">
        <v>1784</v>
      </c>
      <c r="C255" s="29" t="s">
        <v>1785</v>
      </c>
      <c r="D255" s="30" t="s">
        <v>1786</v>
      </c>
      <c r="E255" s="29" t="s">
        <v>98</v>
      </c>
      <c r="F255" s="29"/>
      <c r="G255" s="14" t="s">
        <v>119</v>
      </c>
      <c r="H255" s="29" t="s">
        <v>100</v>
      </c>
      <c r="I255" s="32" t="s">
        <v>1787</v>
      </c>
      <c r="J255" s="28" t="s">
        <v>1788</v>
      </c>
      <c r="K255" s="29"/>
      <c r="L255" s="27"/>
      <c r="M255" s="28"/>
      <c r="N255" s="39" t="s">
        <v>179</v>
      </c>
      <c r="O255" s="34" t="s">
        <v>869</v>
      </c>
      <c r="P255" s="34" t="s">
        <v>870</v>
      </c>
      <c r="Q255" s="35" t="s">
        <v>78</v>
      </c>
      <c r="R255" s="35" t="s">
        <v>79</v>
      </c>
      <c r="S255" s="35" t="s">
        <v>61</v>
      </c>
      <c r="T255" s="35" t="s">
        <v>62</v>
      </c>
      <c r="U255" s="36" t="s">
        <v>80</v>
      </c>
    </row>
    <row r="256" spans="1:21" ht="15.75" customHeight="1" x14ac:dyDescent="0.25">
      <c r="A256" s="9" t="s">
        <v>1789</v>
      </c>
      <c r="B256" s="10" t="s">
        <v>1790</v>
      </c>
      <c r="C256" s="11" t="s">
        <v>1791</v>
      </c>
      <c r="D256" s="12" t="s">
        <v>1792</v>
      </c>
      <c r="E256" s="11" t="s">
        <v>1264</v>
      </c>
      <c r="F256" s="13">
        <v>161.9</v>
      </c>
      <c r="G256" s="20" t="s">
        <v>119</v>
      </c>
      <c r="H256" s="11" t="s">
        <v>86</v>
      </c>
      <c r="I256" s="15" t="s">
        <v>1793</v>
      </c>
      <c r="J256" s="10" t="s">
        <v>1794</v>
      </c>
      <c r="K256" s="11" t="s">
        <v>1795</v>
      </c>
      <c r="L256" s="9" t="s">
        <v>90</v>
      </c>
      <c r="M256" s="10" t="s">
        <v>91</v>
      </c>
      <c r="N256" s="16" t="s">
        <v>75</v>
      </c>
      <c r="O256" s="17" t="s">
        <v>124</v>
      </c>
      <c r="P256" s="17" t="s">
        <v>125</v>
      </c>
      <c r="Q256" s="18" t="s">
        <v>78</v>
      </c>
      <c r="R256" s="18" t="s">
        <v>79</v>
      </c>
      <c r="S256" s="18" t="s">
        <v>61</v>
      </c>
      <c r="T256" s="18" t="s">
        <v>62</v>
      </c>
      <c r="U256" s="19" t="s">
        <v>80</v>
      </c>
    </row>
    <row r="257" spans="1:21" ht="15.75" customHeight="1" x14ac:dyDescent="0.25">
      <c r="A257" s="27" t="s">
        <v>1796</v>
      </c>
      <c r="B257" s="28" t="s">
        <v>1797</v>
      </c>
      <c r="C257" s="29" t="s">
        <v>1798</v>
      </c>
      <c r="D257" s="37" t="s">
        <v>109</v>
      </c>
      <c r="E257" s="29" t="s">
        <v>47</v>
      </c>
      <c r="F257" s="31">
        <v>163</v>
      </c>
      <c r="G257" s="25" t="s">
        <v>110</v>
      </c>
      <c r="H257" s="29" t="s">
        <v>86</v>
      </c>
      <c r="I257" s="32" t="s">
        <v>1799</v>
      </c>
      <c r="J257" s="28" t="s">
        <v>1800</v>
      </c>
      <c r="K257" s="29" t="s">
        <v>1801</v>
      </c>
      <c r="L257" s="27" t="s">
        <v>481</v>
      </c>
      <c r="M257" s="28" t="s">
        <v>482</v>
      </c>
      <c r="N257" s="38"/>
      <c r="O257" s="34"/>
      <c r="P257" s="34"/>
      <c r="Q257" s="35" t="s">
        <v>78</v>
      </c>
      <c r="R257" s="35" t="s">
        <v>79</v>
      </c>
      <c r="S257" s="35" t="s">
        <v>61</v>
      </c>
      <c r="T257" s="35" t="s">
        <v>62</v>
      </c>
      <c r="U257" s="36" t="s">
        <v>80</v>
      </c>
    </row>
    <row r="258" spans="1:21" ht="15.75" customHeight="1" x14ac:dyDescent="0.25">
      <c r="A258" s="9" t="s">
        <v>1802</v>
      </c>
      <c r="B258" s="10" t="s">
        <v>1803</v>
      </c>
      <c r="C258" s="11" t="s">
        <v>1804</v>
      </c>
      <c r="D258" s="21" t="s">
        <v>109</v>
      </c>
      <c r="E258" s="11" t="s">
        <v>47</v>
      </c>
      <c r="F258" s="13">
        <v>295</v>
      </c>
      <c r="G258" s="24" t="s">
        <v>85</v>
      </c>
      <c r="H258" s="11" t="s">
        <v>129</v>
      </c>
      <c r="I258" s="15" t="s">
        <v>1805</v>
      </c>
      <c r="J258" s="10" t="s">
        <v>1806</v>
      </c>
      <c r="K258" s="11"/>
      <c r="L258" s="9"/>
      <c r="M258" s="10"/>
      <c r="N258" s="22"/>
      <c r="O258" s="17"/>
      <c r="P258" s="17"/>
      <c r="Q258" s="18" t="s">
        <v>78</v>
      </c>
      <c r="R258" s="18" t="s">
        <v>79</v>
      </c>
      <c r="S258" s="18" t="s">
        <v>61</v>
      </c>
      <c r="T258" s="18" t="s">
        <v>62</v>
      </c>
      <c r="U258" s="19" t="s">
        <v>80</v>
      </c>
    </row>
    <row r="259" spans="1:21" ht="15.75" customHeight="1" x14ac:dyDescent="0.25">
      <c r="A259" s="27" t="s">
        <v>1807</v>
      </c>
      <c r="B259" s="28" t="s">
        <v>1808</v>
      </c>
      <c r="C259" s="29" t="s">
        <v>1809</v>
      </c>
      <c r="D259" s="30" t="s">
        <v>1810</v>
      </c>
      <c r="E259" s="29" t="s">
        <v>47</v>
      </c>
      <c r="F259" s="31">
        <v>165</v>
      </c>
      <c r="G259" s="26" t="s">
        <v>119</v>
      </c>
      <c r="H259" s="29" t="s">
        <v>86</v>
      </c>
      <c r="I259" s="32" t="s">
        <v>1811</v>
      </c>
      <c r="J259" s="28" t="s">
        <v>1812</v>
      </c>
      <c r="K259" s="29"/>
      <c r="L259" s="27"/>
      <c r="M259" s="28"/>
      <c r="N259" s="33" t="s">
        <v>75</v>
      </c>
      <c r="O259" s="34" t="s">
        <v>934</v>
      </c>
      <c r="P259" s="34" t="s">
        <v>935</v>
      </c>
      <c r="Q259" s="35" t="s">
        <v>78</v>
      </c>
      <c r="R259" s="35" t="s">
        <v>79</v>
      </c>
      <c r="S259" s="35" t="s">
        <v>61</v>
      </c>
      <c r="T259" s="35" t="s">
        <v>62</v>
      </c>
      <c r="U259" s="36" t="s">
        <v>80</v>
      </c>
    </row>
    <row r="260" spans="1:21" ht="15.75" customHeight="1" x14ac:dyDescent="0.25">
      <c r="A260" s="9" t="s">
        <v>1813</v>
      </c>
      <c r="B260" s="10" t="s">
        <v>1814</v>
      </c>
      <c r="C260" s="11" t="s">
        <v>1815</v>
      </c>
      <c r="D260" s="12" t="s">
        <v>1816</v>
      </c>
      <c r="E260" s="11" t="s">
        <v>67</v>
      </c>
      <c r="F260" s="13">
        <v>7</v>
      </c>
      <c r="G260" s="14" t="s">
        <v>119</v>
      </c>
      <c r="H260" s="11" t="s">
        <v>69</v>
      </c>
      <c r="I260" s="15" t="s">
        <v>1817</v>
      </c>
      <c r="J260" s="10" t="s">
        <v>1818</v>
      </c>
      <c r="K260" s="11" t="s">
        <v>1819</v>
      </c>
      <c r="L260" s="9" t="s">
        <v>73</v>
      </c>
      <c r="M260" s="10" t="s">
        <v>74</v>
      </c>
      <c r="N260" s="16" t="s">
        <v>75</v>
      </c>
      <c r="O260" s="17" t="s">
        <v>1820</v>
      </c>
      <c r="P260" s="17" t="s">
        <v>1821</v>
      </c>
      <c r="Q260" s="18" t="s">
        <v>78</v>
      </c>
      <c r="R260" s="18" t="s">
        <v>79</v>
      </c>
      <c r="S260" s="18" t="s">
        <v>61</v>
      </c>
      <c r="T260" s="18" t="s">
        <v>62</v>
      </c>
      <c r="U260" s="19" t="s">
        <v>80</v>
      </c>
    </row>
    <row r="261" spans="1:21" ht="15.75" customHeight="1" x14ac:dyDescent="0.25">
      <c r="A261" s="27" t="s">
        <v>1822</v>
      </c>
      <c r="B261" s="28" t="s">
        <v>1823</v>
      </c>
      <c r="C261" s="29" t="s">
        <v>1824</v>
      </c>
      <c r="D261" s="37" t="s">
        <v>109</v>
      </c>
      <c r="E261" s="29" t="s">
        <v>47</v>
      </c>
      <c r="F261" s="31">
        <v>284</v>
      </c>
      <c r="G261" s="24" t="s">
        <v>85</v>
      </c>
      <c r="H261" s="29" t="s">
        <v>129</v>
      </c>
      <c r="I261" s="32" t="s">
        <v>1825</v>
      </c>
      <c r="J261" s="28" t="s">
        <v>1826</v>
      </c>
      <c r="K261" s="29"/>
      <c r="L261" s="27"/>
      <c r="M261" s="28"/>
      <c r="N261" s="38"/>
      <c r="O261" s="34"/>
      <c r="P261" s="34"/>
      <c r="Q261" s="35" t="s">
        <v>78</v>
      </c>
      <c r="R261" s="35" t="s">
        <v>79</v>
      </c>
      <c r="S261" s="35" t="s">
        <v>61</v>
      </c>
      <c r="T261" s="35" t="s">
        <v>62</v>
      </c>
      <c r="U261" s="36" t="s">
        <v>80</v>
      </c>
    </row>
    <row r="262" spans="1:21" ht="15.75" customHeight="1" x14ac:dyDescent="0.25">
      <c r="A262" s="9" t="s">
        <v>1827</v>
      </c>
      <c r="B262" s="10" t="s">
        <v>1828</v>
      </c>
      <c r="C262" s="11" t="s">
        <v>1829</v>
      </c>
      <c r="D262" s="21" t="s">
        <v>109</v>
      </c>
      <c r="E262" s="11" t="s">
        <v>98</v>
      </c>
      <c r="F262" s="13">
        <v>288</v>
      </c>
      <c r="G262" s="24" t="s">
        <v>85</v>
      </c>
      <c r="H262" s="11" t="s">
        <v>129</v>
      </c>
      <c r="I262" s="15" t="s">
        <v>1830</v>
      </c>
      <c r="J262" s="10" t="s">
        <v>1831</v>
      </c>
      <c r="K262" s="11"/>
      <c r="L262" s="9"/>
      <c r="M262" s="10"/>
      <c r="N262" s="22"/>
      <c r="O262" s="17"/>
      <c r="P262" s="17"/>
      <c r="Q262" s="18" t="s">
        <v>78</v>
      </c>
      <c r="R262" s="18" t="s">
        <v>79</v>
      </c>
      <c r="S262" s="18" t="s">
        <v>61</v>
      </c>
      <c r="T262" s="18" t="s">
        <v>62</v>
      </c>
      <c r="U262" s="19" t="s">
        <v>80</v>
      </c>
    </row>
    <row r="263" spans="1:21" ht="15.75" customHeight="1" x14ac:dyDescent="0.25">
      <c r="A263" s="27" t="s">
        <v>1832</v>
      </c>
      <c r="B263" s="28" t="s">
        <v>1833</v>
      </c>
      <c r="C263" s="29" t="s">
        <v>1834</v>
      </c>
      <c r="D263" s="37" t="s">
        <v>109</v>
      </c>
      <c r="E263" s="29" t="s">
        <v>98</v>
      </c>
      <c r="F263" s="29" t="s">
        <v>99</v>
      </c>
      <c r="G263" s="24" t="s">
        <v>85</v>
      </c>
      <c r="H263" s="29" t="s">
        <v>100</v>
      </c>
      <c r="I263" s="32" t="s">
        <v>1835</v>
      </c>
      <c r="J263" s="28" t="s">
        <v>1836</v>
      </c>
      <c r="K263" s="29"/>
      <c r="L263" s="27"/>
      <c r="M263" s="28"/>
      <c r="N263" s="38"/>
      <c r="O263" s="34"/>
      <c r="P263" s="34"/>
      <c r="Q263" s="35" t="s">
        <v>78</v>
      </c>
      <c r="R263" s="35" t="s">
        <v>79</v>
      </c>
      <c r="S263" s="35" t="s">
        <v>61</v>
      </c>
      <c r="T263" s="35" t="s">
        <v>62</v>
      </c>
      <c r="U263" s="36" t="s">
        <v>80</v>
      </c>
    </row>
    <row r="264" spans="1:21" ht="15.75" customHeight="1" x14ac:dyDescent="0.25">
      <c r="A264" s="9" t="s">
        <v>1837</v>
      </c>
      <c r="B264" s="10" t="s">
        <v>1838</v>
      </c>
      <c r="C264" s="11" t="s">
        <v>1839</v>
      </c>
      <c r="D264" s="21" t="s">
        <v>109</v>
      </c>
      <c r="E264" s="11" t="s">
        <v>1264</v>
      </c>
      <c r="F264" s="11" t="s">
        <v>1840</v>
      </c>
      <c r="G264" s="14" t="s">
        <v>119</v>
      </c>
      <c r="H264" s="11" t="s">
        <v>100</v>
      </c>
      <c r="I264" s="15" t="s">
        <v>1841</v>
      </c>
      <c r="J264" s="10" t="s">
        <v>1842</v>
      </c>
      <c r="K264" s="11" t="s">
        <v>1843</v>
      </c>
      <c r="L264" s="9" t="s">
        <v>1598</v>
      </c>
      <c r="M264" s="10" t="s">
        <v>1599</v>
      </c>
      <c r="N264" s="22"/>
      <c r="O264" s="17"/>
      <c r="P264" s="17"/>
      <c r="Q264" s="18" t="s">
        <v>78</v>
      </c>
      <c r="R264" s="18" t="s">
        <v>79</v>
      </c>
      <c r="S264" s="18" t="s">
        <v>61</v>
      </c>
      <c r="T264" s="18" t="s">
        <v>62</v>
      </c>
      <c r="U264" s="19" t="s">
        <v>80</v>
      </c>
    </row>
    <row r="265" spans="1:21" ht="15.75" customHeight="1" x14ac:dyDescent="0.25">
      <c r="A265" s="27" t="s">
        <v>1844</v>
      </c>
      <c r="B265" s="28" t="s">
        <v>1845</v>
      </c>
      <c r="C265" s="29" t="s">
        <v>1846</v>
      </c>
      <c r="D265" s="37" t="s">
        <v>109</v>
      </c>
      <c r="E265" s="29" t="s">
        <v>47</v>
      </c>
      <c r="F265" s="31">
        <v>290</v>
      </c>
      <c r="G265" s="24" t="s">
        <v>85</v>
      </c>
      <c r="H265" s="29" t="s">
        <v>129</v>
      </c>
      <c r="I265" s="32" t="s">
        <v>1847</v>
      </c>
      <c r="J265" s="28" t="s">
        <v>1848</v>
      </c>
      <c r="K265" s="29"/>
      <c r="L265" s="27"/>
      <c r="M265" s="28"/>
      <c r="N265" s="38"/>
      <c r="O265" s="34"/>
      <c r="P265" s="34"/>
      <c r="Q265" s="35" t="s">
        <v>78</v>
      </c>
      <c r="R265" s="35" t="s">
        <v>79</v>
      </c>
      <c r="S265" s="35" t="s">
        <v>61</v>
      </c>
      <c r="T265" s="35" t="s">
        <v>62</v>
      </c>
      <c r="U265" s="36" t="s">
        <v>80</v>
      </c>
    </row>
    <row r="266" spans="1:21" ht="15.75" customHeight="1" x14ac:dyDescent="0.25">
      <c r="A266" s="9" t="s">
        <v>1849</v>
      </c>
      <c r="B266" s="10" t="s">
        <v>1850</v>
      </c>
      <c r="C266" s="11" t="s">
        <v>1851</v>
      </c>
      <c r="D266" s="12" t="s">
        <v>66</v>
      </c>
      <c r="E266" s="11" t="s">
        <v>67</v>
      </c>
      <c r="F266" s="13">
        <v>-89</v>
      </c>
      <c r="G266" s="14" t="s">
        <v>68</v>
      </c>
      <c r="H266" s="11" t="s">
        <v>69</v>
      </c>
      <c r="I266" s="15" t="s">
        <v>1852</v>
      </c>
      <c r="J266" s="10" t="s">
        <v>1853</v>
      </c>
      <c r="K266" s="11" t="s">
        <v>1854</v>
      </c>
      <c r="L266" s="9" t="s">
        <v>73</v>
      </c>
      <c r="M266" s="10" t="s">
        <v>74</v>
      </c>
      <c r="N266" s="16" t="s">
        <v>75</v>
      </c>
      <c r="O266" s="17" t="s">
        <v>76</v>
      </c>
      <c r="P266" s="17" t="s">
        <v>77</v>
      </c>
      <c r="Q266" s="18" t="s">
        <v>78</v>
      </c>
      <c r="R266" s="18" t="s">
        <v>79</v>
      </c>
      <c r="S266" s="18" t="s">
        <v>61</v>
      </c>
      <c r="T266" s="18" t="s">
        <v>62</v>
      </c>
      <c r="U266" s="19" t="s">
        <v>80</v>
      </c>
    </row>
    <row r="267" spans="1:21" ht="15.75" customHeight="1" x14ac:dyDescent="0.25">
      <c r="A267" s="27" t="s">
        <v>1855</v>
      </c>
      <c r="B267" s="28" t="s">
        <v>1856</v>
      </c>
      <c r="C267" s="29" t="s">
        <v>1857</v>
      </c>
      <c r="D267" s="37" t="s">
        <v>109</v>
      </c>
      <c r="E267" s="29" t="s">
        <v>47</v>
      </c>
      <c r="F267" s="31">
        <v>99</v>
      </c>
      <c r="G267" s="14" t="s">
        <v>119</v>
      </c>
      <c r="H267" s="29" t="s">
        <v>48</v>
      </c>
      <c r="I267" s="32" t="s">
        <v>1858</v>
      </c>
      <c r="J267" s="28" t="s">
        <v>1859</v>
      </c>
      <c r="K267" s="29" t="s">
        <v>1860</v>
      </c>
      <c r="L267" s="27" t="s">
        <v>158</v>
      </c>
      <c r="M267" s="28" t="s">
        <v>159</v>
      </c>
      <c r="N267" s="38"/>
      <c r="O267" s="34"/>
      <c r="P267" s="34"/>
      <c r="Q267" s="35" t="s">
        <v>78</v>
      </c>
      <c r="R267" s="35" t="s">
        <v>79</v>
      </c>
      <c r="S267" s="35" t="s">
        <v>61</v>
      </c>
      <c r="T267" s="35" t="s">
        <v>62</v>
      </c>
      <c r="U267" s="36" t="s">
        <v>80</v>
      </c>
    </row>
    <row r="268" spans="1:21" ht="15.75" customHeight="1" x14ac:dyDescent="0.25">
      <c r="A268" s="9" t="s">
        <v>1861</v>
      </c>
      <c r="B268" s="10" t="s">
        <v>1862</v>
      </c>
      <c r="C268" s="11" t="s">
        <v>1863</v>
      </c>
      <c r="D268" s="12" t="s">
        <v>1864</v>
      </c>
      <c r="E268" s="11" t="s">
        <v>47</v>
      </c>
      <c r="F268" s="13">
        <v>136</v>
      </c>
      <c r="G268" s="20" t="s">
        <v>85</v>
      </c>
      <c r="H268" s="11" t="s">
        <v>330</v>
      </c>
      <c r="I268" s="15" t="s">
        <v>1865</v>
      </c>
      <c r="J268" s="10" t="s">
        <v>1866</v>
      </c>
      <c r="K268" s="11" t="s">
        <v>1867</v>
      </c>
      <c r="L268" s="9" t="s">
        <v>158</v>
      </c>
      <c r="M268" s="10" t="s">
        <v>159</v>
      </c>
      <c r="N268" s="16" t="s">
        <v>75</v>
      </c>
      <c r="O268" s="17" t="s">
        <v>382</v>
      </c>
      <c r="P268" s="17" t="s">
        <v>383</v>
      </c>
      <c r="Q268" s="18" t="s">
        <v>78</v>
      </c>
      <c r="R268" s="18" t="s">
        <v>79</v>
      </c>
      <c r="S268" s="18" t="s">
        <v>61</v>
      </c>
      <c r="T268" s="18" t="s">
        <v>62</v>
      </c>
      <c r="U268" s="19" t="s">
        <v>80</v>
      </c>
    </row>
    <row r="269" spans="1:21" ht="15.75" customHeight="1" x14ac:dyDescent="0.25">
      <c r="A269" s="27" t="s">
        <v>1868</v>
      </c>
      <c r="B269" s="28" t="s">
        <v>1869</v>
      </c>
      <c r="C269" s="29" t="s">
        <v>1870</v>
      </c>
      <c r="D269" s="30" t="s">
        <v>1871</v>
      </c>
      <c r="E269" s="29" t="s">
        <v>47</v>
      </c>
      <c r="F269" s="31">
        <v>117</v>
      </c>
      <c r="G269" s="20" t="s">
        <v>119</v>
      </c>
      <c r="H269" s="29" t="s">
        <v>330</v>
      </c>
      <c r="I269" s="32" t="s">
        <v>1872</v>
      </c>
      <c r="J269" s="28" t="s">
        <v>1873</v>
      </c>
      <c r="K269" s="29" t="s">
        <v>1874</v>
      </c>
      <c r="L269" s="27" t="s">
        <v>481</v>
      </c>
      <c r="M269" s="28" t="s">
        <v>482</v>
      </c>
      <c r="N269" s="33" t="s">
        <v>75</v>
      </c>
      <c r="O269" s="34" t="s">
        <v>1875</v>
      </c>
      <c r="P269" s="34" t="s">
        <v>1876</v>
      </c>
      <c r="Q269" s="35" t="s">
        <v>78</v>
      </c>
      <c r="R269" s="35" t="s">
        <v>79</v>
      </c>
      <c r="S269" s="35" t="s">
        <v>61</v>
      </c>
      <c r="T269" s="35" t="s">
        <v>62</v>
      </c>
      <c r="U269" s="36" t="s">
        <v>80</v>
      </c>
    </row>
    <row r="270" spans="1:21" ht="15.75" customHeight="1" x14ac:dyDescent="0.25">
      <c r="A270" s="9" t="s">
        <v>1877</v>
      </c>
      <c r="B270" s="10" t="s">
        <v>1878</v>
      </c>
      <c r="C270" s="11" t="s">
        <v>1879</v>
      </c>
      <c r="D270" s="12" t="s">
        <v>1786</v>
      </c>
      <c r="E270" s="11" t="s">
        <v>47</v>
      </c>
      <c r="F270" s="13">
        <v>197</v>
      </c>
      <c r="G270" s="20" t="s">
        <v>119</v>
      </c>
      <c r="H270" s="11" t="s">
        <v>86</v>
      </c>
      <c r="I270" s="15" t="s">
        <v>1880</v>
      </c>
      <c r="J270" s="10" t="s">
        <v>1881</v>
      </c>
      <c r="K270" s="11"/>
      <c r="L270" s="9"/>
      <c r="M270" s="10"/>
      <c r="N270" s="23" t="s">
        <v>179</v>
      </c>
      <c r="O270" s="17" t="s">
        <v>292</v>
      </c>
      <c r="P270" s="17" t="s">
        <v>293</v>
      </c>
      <c r="Q270" s="18" t="s">
        <v>78</v>
      </c>
      <c r="R270" s="18" t="s">
        <v>79</v>
      </c>
      <c r="S270" s="18" t="s">
        <v>61</v>
      </c>
      <c r="T270" s="18" t="s">
        <v>62</v>
      </c>
      <c r="U270" s="19" t="s">
        <v>80</v>
      </c>
    </row>
    <row r="271" spans="1:21" ht="15.75" customHeight="1" x14ac:dyDescent="0.25">
      <c r="A271" s="27" t="s">
        <v>1882</v>
      </c>
      <c r="B271" s="28" t="s">
        <v>1883</v>
      </c>
      <c r="C271" s="29" t="s">
        <v>1884</v>
      </c>
      <c r="D271" s="37" t="s">
        <v>109</v>
      </c>
      <c r="E271" s="29" t="s">
        <v>47</v>
      </c>
      <c r="F271" s="31">
        <v>385</v>
      </c>
      <c r="G271" s="24" t="s">
        <v>85</v>
      </c>
      <c r="H271" s="29" t="s">
        <v>129</v>
      </c>
      <c r="I271" s="32" t="s">
        <v>1885</v>
      </c>
      <c r="J271" s="28" t="s">
        <v>1886</v>
      </c>
      <c r="K271" s="29"/>
      <c r="L271" s="27"/>
      <c r="M271" s="28"/>
      <c r="N271" s="38"/>
      <c r="O271" s="34"/>
      <c r="P271" s="34"/>
      <c r="Q271" s="35" t="s">
        <v>78</v>
      </c>
      <c r="R271" s="35" t="s">
        <v>79</v>
      </c>
      <c r="S271" s="35" t="s">
        <v>61</v>
      </c>
      <c r="T271" s="35" t="s">
        <v>62</v>
      </c>
      <c r="U271" s="36" t="s">
        <v>80</v>
      </c>
    </row>
    <row r="272" spans="1:21" ht="15.75" customHeight="1" x14ac:dyDescent="0.25">
      <c r="A272" s="9" t="s">
        <v>1887</v>
      </c>
      <c r="B272" s="10" t="s">
        <v>1888</v>
      </c>
      <c r="C272" s="11" t="s">
        <v>1889</v>
      </c>
      <c r="D272" s="21" t="s">
        <v>109</v>
      </c>
      <c r="E272" s="11" t="s">
        <v>47</v>
      </c>
      <c r="F272" s="13">
        <v>117</v>
      </c>
      <c r="G272" s="14" t="s">
        <v>119</v>
      </c>
      <c r="H272" s="11" t="s">
        <v>330</v>
      </c>
      <c r="I272" s="15" t="s">
        <v>1890</v>
      </c>
      <c r="J272" s="10" t="s">
        <v>1891</v>
      </c>
      <c r="K272" s="11" t="s">
        <v>1892</v>
      </c>
      <c r="L272" s="9" t="s">
        <v>158</v>
      </c>
      <c r="M272" s="10" t="s">
        <v>159</v>
      </c>
      <c r="N272" s="22"/>
      <c r="O272" s="17"/>
      <c r="P272" s="17"/>
      <c r="Q272" s="18" t="s">
        <v>78</v>
      </c>
      <c r="R272" s="18" t="s">
        <v>79</v>
      </c>
      <c r="S272" s="18" t="s">
        <v>61</v>
      </c>
      <c r="T272" s="18" t="s">
        <v>62</v>
      </c>
      <c r="U272" s="19" t="s">
        <v>80</v>
      </c>
    </row>
    <row r="273" spans="1:21" ht="15.75" customHeight="1" x14ac:dyDescent="0.25">
      <c r="A273" s="27" t="s">
        <v>1893</v>
      </c>
      <c r="B273" s="28" t="s">
        <v>1894</v>
      </c>
      <c r="C273" s="29" t="s">
        <v>1895</v>
      </c>
      <c r="D273" s="37" t="s">
        <v>109</v>
      </c>
      <c r="E273" s="29" t="s">
        <v>47</v>
      </c>
      <c r="F273" s="29"/>
      <c r="G273" s="25" t="s">
        <v>110</v>
      </c>
      <c r="H273" s="29" t="s">
        <v>120</v>
      </c>
      <c r="I273" s="32" t="s">
        <v>1896</v>
      </c>
      <c r="J273" s="28" t="s">
        <v>1897</v>
      </c>
      <c r="K273" s="29" t="s">
        <v>1509</v>
      </c>
      <c r="L273" s="27" t="s">
        <v>90</v>
      </c>
      <c r="M273" s="28" t="s">
        <v>91</v>
      </c>
      <c r="N273" s="38"/>
      <c r="O273" s="34"/>
      <c r="P273" s="34"/>
      <c r="Q273" s="35" t="s">
        <v>78</v>
      </c>
      <c r="R273" s="35" t="s">
        <v>79</v>
      </c>
      <c r="S273" s="35" t="s">
        <v>61</v>
      </c>
      <c r="T273" s="35" t="s">
        <v>62</v>
      </c>
      <c r="U273" s="36" t="s">
        <v>80</v>
      </c>
    </row>
    <row r="274" spans="1:21" ht="15.75" customHeight="1" x14ac:dyDescent="0.25">
      <c r="A274" s="9" t="s">
        <v>1898</v>
      </c>
      <c r="B274" s="10" t="s">
        <v>1899</v>
      </c>
      <c r="C274" s="11" t="s">
        <v>1900</v>
      </c>
      <c r="D274" s="12" t="s">
        <v>1901</v>
      </c>
      <c r="E274" s="11" t="s">
        <v>98</v>
      </c>
      <c r="F274" s="13">
        <v>165</v>
      </c>
      <c r="G274" s="20" t="s">
        <v>119</v>
      </c>
      <c r="H274" s="11" t="s">
        <v>86</v>
      </c>
      <c r="I274" s="15" t="s">
        <v>1902</v>
      </c>
      <c r="J274" s="10" t="s">
        <v>1903</v>
      </c>
      <c r="K274" s="11" t="s">
        <v>1904</v>
      </c>
      <c r="L274" s="9" t="s">
        <v>90</v>
      </c>
      <c r="M274" s="10" t="s">
        <v>91</v>
      </c>
      <c r="N274" s="16" t="s">
        <v>75</v>
      </c>
      <c r="O274" s="17" t="s">
        <v>1905</v>
      </c>
      <c r="P274" s="17" t="s">
        <v>1906</v>
      </c>
      <c r="Q274" s="18" t="s">
        <v>78</v>
      </c>
      <c r="R274" s="18" t="s">
        <v>79</v>
      </c>
      <c r="S274" s="18" t="s">
        <v>61</v>
      </c>
      <c r="T274" s="18" t="s">
        <v>62</v>
      </c>
      <c r="U274" s="19" t="s">
        <v>80</v>
      </c>
    </row>
    <row r="275" spans="1:21" ht="15.75" customHeight="1" x14ac:dyDescent="0.25">
      <c r="A275" s="27" t="s">
        <v>1907</v>
      </c>
      <c r="B275" s="28" t="s">
        <v>1908</v>
      </c>
      <c r="C275" s="29" t="s">
        <v>1909</v>
      </c>
      <c r="D275" s="30" t="s">
        <v>1910</v>
      </c>
      <c r="E275" s="29" t="s">
        <v>67</v>
      </c>
      <c r="F275" s="31">
        <v>-20</v>
      </c>
      <c r="G275" s="20" t="s">
        <v>85</v>
      </c>
      <c r="H275" s="29" t="s">
        <v>421</v>
      </c>
      <c r="I275" s="32" t="s">
        <v>1911</v>
      </c>
      <c r="J275" s="28" t="s">
        <v>1912</v>
      </c>
      <c r="K275" s="29"/>
      <c r="L275" s="27"/>
      <c r="M275" s="28"/>
      <c r="N275" s="33" t="s">
        <v>75</v>
      </c>
      <c r="O275" s="34" t="s">
        <v>492</v>
      </c>
      <c r="P275" s="34" t="s">
        <v>493</v>
      </c>
      <c r="Q275" s="35" t="s">
        <v>78</v>
      </c>
      <c r="R275" s="35" t="s">
        <v>79</v>
      </c>
      <c r="S275" s="35" t="s">
        <v>61</v>
      </c>
      <c r="T275" s="35" t="s">
        <v>62</v>
      </c>
      <c r="U275" s="36" t="s">
        <v>80</v>
      </c>
    </row>
    <row r="276" spans="1:21" ht="15.75" customHeight="1" x14ac:dyDescent="0.25">
      <c r="A276" s="9" t="s">
        <v>1913</v>
      </c>
      <c r="B276" s="10" t="s">
        <v>1914</v>
      </c>
      <c r="C276" s="11" t="s">
        <v>1915</v>
      </c>
      <c r="D276" s="12" t="s">
        <v>1916</v>
      </c>
      <c r="E276" s="11" t="s">
        <v>47</v>
      </c>
      <c r="F276" s="13">
        <v>162</v>
      </c>
      <c r="G276" s="20" t="s">
        <v>85</v>
      </c>
      <c r="H276" s="11" t="s">
        <v>86</v>
      </c>
      <c r="I276" s="15" t="s">
        <v>1917</v>
      </c>
      <c r="J276" s="10" t="s">
        <v>1914</v>
      </c>
      <c r="K276" s="11" t="s">
        <v>1918</v>
      </c>
      <c r="L276" s="9" t="s">
        <v>90</v>
      </c>
      <c r="M276" s="10" t="s">
        <v>91</v>
      </c>
      <c r="N276" s="16" t="s">
        <v>75</v>
      </c>
      <c r="O276" s="17" t="s">
        <v>492</v>
      </c>
      <c r="P276" s="17" t="s">
        <v>493</v>
      </c>
      <c r="Q276" s="18" t="s">
        <v>78</v>
      </c>
      <c r="R276" s="18" t="s">
        <v>79</v>
      </c>
      <c r="S276" s="18" t="s">
        <v>61</v>
      </c>
      <c r="T276" s="18" t="s">
        <v>62</v>
      </c>
      <c r="U276" s="19" t="s">
        <v>80</v>
      </c>
    </row>
    <row r="277" spans="1:21" ht="15.75" customHeight="1" x14ac:dyDescent="0.25">
      <c r="A277" s="27" t="s">
        <v>1919</v>
      </c>
      <c r="B277" s="28" t="s">
        <v>1920</v>
      </c>
      <c r="C277" s="29" t="s">
        <v>1921</v>
      </c>
      <c r="D277" s="37" t="s">
        <v>109</v>
      </c>
      <c r="E277" s="29" t="s">
        <v>47</v>
      </c>
      <c r="F277" s="31">
        <v>50</v>
      </c>
      <c r="G277" s="24" t="s">
        <v>85</v>
      </c>
      <c r="H277" s="29" t="s">
        <v>48</v>
      </c>
      <c r="I277" s="32" t="s">
        <v>1922</v>
      </c>
      <c r="J277" s="28" t="s">
        <v>1923</v>
      </c>
      <c r="K277" s="29"/>
      <c r="L277" s="27"/>
      <c r="M277" s="28"/>
      <c r="N277" s="38"/>
      <c r="O277" s="34"/>
      <c r="P277" s="34"/>
      <c r="Q277" s="35" t="s">
        <v>78</v>
      </c>
      <c r="R277" s="35" t="s">
        <v>79</v>
      </c>
      <c r="S277" s="35" t="s">
        <v>61</v>
      </c>
      <c r="T277" s="35" t="s">
        <v>62</v>
      </c>
      <c r="U277" s="36" t="s">
        <v>80</v>
      </c>
    </row>
    <row r="278" spans="1:21" ht="15.75" customHeight="1" x14ac:dyDescent="0.25">
      <c r="A278" s="9" t="s">
        <v>1924</v>
      </c>
      <c r="B278" s="10" t="s">
        <v>1925</v>
      </c>
      <c r="C278" s="11" t="s">
        <v>1926</v>
      </c>
      <c r="D278" s="12" t="s">
        <v>1927</v>
      </c>
      <c r="E278" s="11" t="s">
        <v>47</v>
      </c>
      <c r="F278" s="13">
        <v>255</v>
      </c>
      <c r="G278" s="20" t="s">
        <v>119</v>
      </c>
      <c r="H278" s="11" t="s">
        <v>129</v>
      </c>
      <c r="I278" s="15" t="s">
        <v>1928</v>
      </c>
      <c r="J278" s="10" t="s">
        <v>1929</v>
      </c>
      <c r="K278" s="11" t="s">
        <v>1930</v>
      </c>
      <c r="L278" s="9" t="s">
        <v>90</v>
      </c>
      <c r="M278" s="10" t="s">
        <v>91</v>
      </c>
      <c r="N278" s="16" t="s">
        <v>75</v>
      </c>
      <c r="O278" s="17" t="s">
        <v>92</v>
      </c>
      <c r="P278" s="17" t="s">
        <v>93</v>
      </c>
      <c r="Q278" s="18" t="s">
        <v>78</v>
      </c>
      <c r="R278" s="18" t="s">
        <v>79</v>
      </c>
      <c r="S278" s="18" t="s">
        <v>61</v>
      </c>
      <c r="T278" s="18" t="s">
        <v>62</v>
      </c>
      <c r="U278" s="19" t="s">
        <v>80</v>
      </c>
    </row>
    <row r="279" spans="1:21" ht="15.75" customHeight="1" x14ac:dyDescent="0.25">
      <c r="A279" s="27" t="s">
        <v>1931</v>
      </c>
      <c r="B279" s="28" t="s">
        <v>1932</v>
      </c>
      <c r="C279" s="29" t="s">
        <v>1933</v>
      </c>
      <c r="D279" s="30" t="s">
        <v>1934</v>
      </c>
      <c r="E279" s="29" t="s">
        <v>47</v>
      </c>
      <c r="F279" s="31">
        <v>69</v>
      </c>
      <c r="G279" s="20" t="s">
        <v>85</v>
      </c>
      <c r="H279" s="29" t="s">
        <v>48</v>
      </c>
      <c r="I279" s="32" t="s">
        <v>1935</v>
      </c>
      <c r="J279" s="28" t="s">
        <v>1936</v>
      </c>
      <c r="K279" s="29" t="s">
        <v>1937</v>
      </c>
      <c r="L279" s="27" t="s">
        <v>158</v>
      </c>
      <c r="M279" s="28" t="s">
        <v>159</v>
      </c>
      <c r="N279" s="33" t="s">
        <v>75</v>
      </c>
      <c r="O279" s="34" t="s">
        <v>650</v>
      </c>
      <c r="P279" s="34" t="s">
        <v>651</v>
      </c>
      <c r="Q279" s="35" t="s">
        <v>78</v>
      </c>
      <c r="R279" s="35" t="s">
        <v>79</v>
      </c>
      <c r="S279" s="35" t="s">
        <v>61</v>
      </c>
      <c r="T279" s="35" t="s">
        <v>62</v>
      </c>
      <c r="U279" s="36" t="s">
        <v>80</v>
      </c>
    </row>
    <row r="280" spans="1:21" ht="15.75" customHeight="1" x14ac:dyDescent="0.25">
      <c r="A280" s="9" t="s">
        <v>1938</v>
      </c>
      <c r="B280" s="10" t="s">
        <v>1939</v>
      </c>
      <c r="C280" s="11" t="s">
        <v>1940</v>
      </c>
      <c r="D280" s="12" t="s">
        <v>1941</v>
      </c>
      <c r="E280" s="11" t="s">
        <v>47</v>
      </c>
      <c r="F280" s="13">
        <v>216</v>
      </c>
      <c r="G280" s="20" t="s">
        <v>119</v>
      </c>
      <c r="H280" s="11" t="s">
        <v>129</v>
      </c>
      <c r="I280" s="15" t="s">
        <v>1942</v>
      </c>
      <c r="J280" s="10" t="s">
        <v>1943</v>
      </c>
      <c r="K280" s="11"/>
      <c r="L280" s="9"/>
      <c r="M280" s="10"/>
      <c r="N280" s="16" t="s">
        <v>75</v>
      </c>
      <c r="O280" s="17" t="s">
        <v>292</v>
      </c>
      <c r="P280" s="17" t="s">
        <v>293</v>
      </c>
      <c r="Q280" s="18" t="s">
        <v>78</v>
      </c>
      <c r="R280" s="18" t="s">
        <v>79</v>
      </c>
      <c r="S280" s="18" t="s">
        <v>61</v>
      </c>
      <c r="T280" s="18" t="s">
        <v>62</v>
      </c>
      <c r="U280" s="19" t="s">
        <v>80</v>
      </c>
    </row>
    <row r="281" spans="1:21" ht="15.75" customHeight="1" x14ac:dyDescent="0.25">
      <c r="A281" s="27" t="s">
        <v>1944</v>
      </c>
      <c r="B281" s="28" t="s">
        <v>1945</v>
      </c>
      <c r="C281" s="29" t="s">
        <v>1946</v>
      </c>
      <c r="D281" s="30" t="s">
        <v>1947</v>
      </c>
      <c r="E281" s="29" t="s">
        <v>47</v>
      </c>
      <c r="F281" s="31">
        <v>114</v>
      </c>
      <c r="G281" s="20" t="s">
        <v>85</v>
      </c>
      <c r="H281" s="29" t="s">
        <v>330</v>
      </c>
      <c r="I281" s="32" t="s">
        <v>1948</v>
      </c>
      <c r="J281" s="28" t="s">
        <v>1949</v>
      </c>
      <c r="K281" s="29" t="s">
        <v>1950</v>
      </c>
      <c r="L281" s="27" t="s">
        <v>481</v>
      </c>
      <c r="M281" s="28" t="s">
        <v>482</v>
      </c>
      <c r="N281" s="33" t="s">
        <v>75</v>
      </c>
      <c r="O281" s="34" t="s">
        <v>1951</v>
      </c>
      <c r="P281" s="34" t="s">
        <v>1952</v>
      </c>
      <c r="Q281" s="35" t="s">
        <v>78</v>
      </c>
      <c r="R281" s="35" t="s">
        <v>79</v>
      </c>
      <c r="S281" s="35" t="s">
        <v>61</v>
      </c>
      <c r="T281" s="35" t="s">
        <v>62</v>
      </c>
      <c r="U281" s="36" t="s">
        <v>80</v>
      </c>
    </row>
    <row r="282" spans="1:21" ht="15.75" customHeight="1" x14ac:dyDescent="0.25">
      <c r="A282" s="9" t="s">
        <v>1953</v>
      </c>
      <c r="B282" s="10" t="s">
        <v>1954</v>
      </c>
      <c r="C282" s="11" t="s">
        <v>1955</v>
      </c>
      <c r="D282" s="21" t="s">
        <v>109</v>
      </c>
      <c r="E282" s="11" t="s">
        <v>67</v>
      </c>
      <c r="F282" s="13">
        <v>-67</v>
      </c>
      <c r="G282" s="20" t="s">
        <v>68</v>
      </c>
      <c r="H282" s="11" t="s">
        <v>69</v>
      </c>
      <c r="I282" s="15" t="s">
        <v>1956</v>
      </c>
      <c r="J282" s="10" t="s">
        <v>1957</v>
      </c>
      <c r="K282" s="11" t="s">
        <v>1958</v>
      </c>
      <c r="L282" s="9" t="s">
        <v>140</v>
      </c>
      <c r="M282" s="10" t="s">
        <v>141</v>
      </c>
      <c r="N282" s="22"/>
      <c r="O282" s="17"/>
      <c r="P282" s="17"/>
      <c r="Q282" s="18" t="s">
        <v>78</v>
      </c>
      <c r="R282" s="18" t="s">
        <v>79</v>
      </c>
      <c r="S282" s="18" t="s">
        <v>61</v>
      </c>
      <c r="T282" s="18" t="s">
        <v>62</v>
      </c>
      <c r="U282" s="19" t="s">
        <v>80</v>
      </c>
    </row>
    <row r="283" spans="1:21" ht="15.75" customHeight="1" x14ac:dyDescent="0.25">
      <c r="A283" s="27" t="s">
        <v>1959</v>
      </c>
      <c r="B283" s="28" t="s">
        <v>1960</v>
      </c>
      <c r="C283" s="29" t="s">
        <v>1961</v>
      </c>
      <c r="D283" s="30" t="s">
        <v>1962</v>
      </c>
      <c r="E283" s="29" t="s">
        <v>67</v>
      </c>
      <c r="F283" s="31">
        <v>20</v>
      </c>
      <c r="G283" s="20" t="s">
        <v>119</v>
      </c>
      <c r="H283" s="29" t="s">
        <v>421</v>
      </c>
      <c r="I283" s="32" t="s">
        <v>1963</v>
      </c>
      <c r="J283" s="28" t="s">
        <v>1964</v>
      </c>
      <c r="K283" s="29" t="s">
        <v>1965</v>
      </c>
      <c r="L283" s="27" t="s">
        <v>481</v>
      </c>
      <c r="M283" s="28" t="s">
        <v>482</v>
      </c>
      <c r="N283" s="33" t="s">
        <v>75</v>
      </c>
      <c r="O283" s="34" t="s">
        <v>591</v>
      </c>
      <c r="P283" s="34" t="s">
        <v>592</v>
      </c>
      <c r="Q283" s="35" t="s">
        <v>78</v>
      </c>
      <c r="R283" s="35" t="s">
        <v>79</v>
      </c>
      <c r="S283" s="35" t="s">
        <v>61</v>
      </c>
      <c r="T283" s="35" t="s">
        <v>62</v>
      </c>
      <c r="U283" s="36" t="s">
        <v>80</v>
      </c>
    </row>
    <row r="284" spans="1:21" ht="15.75" customHeight="1" x14ac:dyDescent="0.25">
      <c r="A284" s="9" t="s">
        <v>1966</v>
      </c>
      <c r="B284" s="10" t="s">
        <v>1967</v>
      </c>
      <c r="C284" s="11" t="s">
        <v>1968</v>
      </c>
      <c r="D284" s="12" t="s">
        <v>1969</v>
      </c>
      <c r="E284" s="11" t="s">
        <v>67</v>
      </c>
      <c r="F284" s="13">
        <v>-41</v>
      </c>
      <c r="G284" s="20" t="s">
        <v>119</v>
      </c>
      <c r="H284" s="11" t="s">
        <v>69</v>
      </c>
      <c r="I284" s="15" t="s">
        <v>1970</v>
      </c>
      <c r="J284" s="10" t="s">
        <v>1971</v>
      </c>
      <c r="K284" s="11" t="s">
        <v>1972</v>
      </c>
      <c r="L284" s="9" t="s">
        <v>140</v>
      </c>
      <c r="M284" s="10" t="s">
        <v>141</v>
      </c>
      <c r="N284" s="16" t="s">
        <v>75</v>
      </c>
      <c r="O284" s="17" t="s">
        <v>1973</v>
      </c>
      <c r="P284" s="17" t="s">
        <v>1974</v>
      </c>
      <c r="Q284" s="18" t="s">
        <v>78</v>
      </c>
      <c r="R284" s="18" t="s">
        <v>79</v>
      </c>
      <c r="S284" s="18" t="s">
        <v>61</v>
      </c>
      <c r="T284" s="18" t="s">
        <v>62</v>
      </c>
      <c r="U284" s="19" t="s">
        <v>80</v>
      </c>
    </row>
    <row r="285" spans="1:21" ht="15.75" customHeight="1" x14ac:dyDescent="0.25">
      <c r="A285" s="27" t="s">
        <v>1975</v>
      </c>
      <c r="B285" s="28" t="s">
        <v>1976</v>
      </c>
      <c r="C285" s="29" t="s">
        <v>1977</v>
      </c>
      <c r="D285" s="37" t="s">
        <v>109</v>
      </c>
      <c r="E285" s="29" t="s">
        <v>47</v>
      </c>
      <c r="F285" s="31">
        <v>165</v>
      </c>
      <c r="G285" s="24" t="s">
        <v>85</v>
      </c>
      <c r="H285" s="29" t="s">
        <v>86</v>
      </c>
      <c r="I285" s="32" t="s">
        <v>1978</v>
      </c>
      <c r="J285" s="28" t="s">
        <v>1979</v>
      </c>
      <c r="K285" s="29"/>
      <c r="L285" s="27"/>
      <c r="M285" s="28"/>
      <c r="N285" s="38"/>
      <c r="O285" s="34"/>
      <c r="P285" s="34"/>
      <c r="Q285" s="35" t="s">
        <v>78</v>
      </c>
      <c r="R285" s="35" t="s">
        <v>79</v>
      </c>
      <c r="S285" s="35" t="s">
        <v>61</v>
      </c>
      <c r="T285" s="35" t="s">
        <v>62</v>
      </c>
      <c r="U285" s="36" t="s">
        <v>80</v>
      </c>
    </row>
    <row r="286" spans="1:21" ht="15.75" customHeight="1" x14ac:dyDescent="0.25">
      <c r="A286" s="9" t="s">
        <v>1980</v>
      </c>
      <c r="B286" s="10" t="s">
        <v>1981</v>
      </c>
      <c r="C286" s="11" t="s">
        <v>1982</v>
      </c>
      <c r="D286" s="21" t="s">
        <v>109</v>
      </c>
      <c r="E286" s="11" t="s">
        <v>47</v>
      </c>
      <c r="F286" s="13">
        <v>69</v>
      </c>
      <c r="G286" s="14" t="s">
        <v>119</v>
      </c>
      <c r="H286" s="11" t="s">
        <v>48</v>
      </c>
      <c r="I286" s="15" t="s">
        <v>1983</v>
      </c>
      <c r="J286" s="10" t="s">
        <v>1984</v>
      </c>
      <c r="K286" s="11" t="s">
        <v>1985</v>
      </c>
      <c r="L286" s="9" t="s">
        <v>158</v>
      </c>
      <c r="M286" s="10" t="s">
        <v>159</v>
      </c>
      <c r="N286" s="22"/>
      <c r="O286" s="17"/>
      <c r="P286" s="17"/>
      <c r="Q286" s="18" t="s">
        <v>78</v>
      </c>
      <c r="R286" s="18" t="s">
        <v>79</v>
      </c>
      <c r="S286" s="18" t="s">
        <v>61</v>
      </c>
      <c r="T286" s="18" t="s">
        <v>62</v>
      </c>
      <c r="U286" s="19" t="s">
        <v>80</v>
      </c>
    </row>
    <row r="287" spans="1:21" ht="15.75" customHeight="1" x14ac:dyDescent="0.25">
      <c r="A287" s="27" t="s">
        <v>1986</v>
      </c>
      <c r="B287" s="28" t="s">
        <v>1987</v>
      </c>
      <c r="C287" s="29" t="s">
        <v>1988</v>
      </c>
      <c r="D287" s="37" t="s">
        <v>109</v>
      </c>
      <c r="E287" s="29" t="s">
        <v>47</v>
      </c>
      <c r="F287" s="31">
        <v>104.6</v>
      </c>
      <c r="G287" s="25" t="s">
        <v>110</v>
      </c>
      <c r="H287" s="29" t="s">
        <v>330</v>
      </c>
      <c r="I287" s="32" t="s">
        <v>1989</v>
      </c>
      <c r="J287" s="28" t="s">
        <v>1990</v>
      </c>
      <c r="K287" s="29" t="s">
        <v>1991</v>
      </c>
      <c r="L287" s="27" t="s">
        <v>90</v>
      </c>
      <c r="M287" s="28" t="s">
        <v>91</v>
      </c>
      <c r="N287" s="38"/>
      <c r="O287" s="34"/>
      <c r="P287" s="34"/>
      <c r="Q287" s="35" t="s">
        <v>78</v>
      </c>
      <c r="R287" s="35" t="s">
        <v>79</v>
      </c>
      <c r="S287" s="35" t="s">
        <v>61</v>
      </c>
      <c r="T287" s="35" t="s">
        <v>62</v>
      </c>
      <c r="U287" s="36" t="s">
        <v>80</v>
      </c>
    </row>
    <row r="288" spans="1:21" ht="15.75" customHeight="1" x14ac:dyDescent="0.25">
      <c r="A288" s="9" t="s">
        <v>1992</v>
      </c>
      <c r="B288" s="10" t="s">
        <v>1993</v>
      </c>
      <c r="C288" s="11" t="s">
        <v>1994</v>
      </c>
      <c r="D288" s="21" t="s">
        <v>109</v>
      </c>
      <c r="E288" s="11" t="s">
        <v>98</v>
      </c>
      <c r="F288" s="13">
        <v>1470</v>
      </c>
      <c r="G288" s="25" t="s">
        <v>110</v>
      </c>
      <c r="H288" s="11" t="s">
        <v>129</v>
      </c>
      <c r="I288" s="15" t="s">
        <v>1995</v>
      </c>
      <c r="J288" s="10" t="s">
        <v>1996</v>
      </c>
      <c r="K288" s="11" t="s">
        <v>1997</v>
      </c>
      <c r="L288" s="9" t="s">
        <v>90</v>
      </c>
      <c r="M288" s="10" t="s">
        <v>91</v>
      </c>
      <c r="N288" s="22"/>
      <c r="O288" s="17"/>
      <c r="P288" s="17"/>
      <c r="Q288" s="18" t="s">
        <v>78</v>
      </c>
      <c r="R288" s="18" t="s">
        <v>79</v>
      </c>
      <c r="S288" s="18" t="s">
        <v>61</v>
      </c>
      <c r="T288" s="18" t="s">
        <v>62</v>
      </c>
      <c r="U288" s="19" t="s">
        <v>80</v>
      </c>
    </row>
    <row r="289" spans="1:21" ht="15.75" customHeight="1" x14ac:dyDescent="0.25">
      <c r="A289" s="27" t="s">
        <v>1998</v>
      </c>
      <c r="B289" s="28" t="s">
        <v>1999</v>
      </c>
      <c r="C289" s="29" t="s">
        <v>2000</v>
      </c>
      <c r="D289" s="30" t="s">
        <v>2001</v>
      </c>
      <c r="E289" s="29" t="s">
        <v>67</v>
      </c>
      <c r="F289" s="31">
        <v>1100</v>
      </c>
      <c r="G289" s="14" t="s">
        <v>68</v>
      </c>
      <c r="H289" s="29" t="s">
        <v>129</v>
      </c>
      <c r="I289" s="32" t="s">
        <v>2002</v>
      </c>
      <c r="J289" s="28" t="s">
        <v>2003</v>
      </c>
      <c r="K289" s="29" t="s">
        <v>2004</v>
      </c>
      <c r="L289" s="27" t="s">
        <v>2005</v>
      </c>
      <c r="M289" s="28" t="s">
        <v>2006</v>
      </c>
      <c r="N289" s="33" t="s">
        <v>75</v>
      </c>
      <c r="O289" s="34" t="s">
        <v>2007</v>
      </c>
      <c r="P289" s="34" t="s">
        <v>2008</v>
      </c>
      <c r="Q289" s="35" t="s">
        <v>78</v>
      </c>
      <c r="R289" s="35" t="s">
        <v>79</v>
      </c>
      <c r="S289" s="35" t="s">
        <v>61</v>
      </c>
      <c r="T289" s="35" t="s">
        <v>62</v>
      </c>
      <c r="U289" s="36" t="s">
        <v>80</v>
      </c>
    </row>
    <row r="290" spans="1:21" ht="15.75" customHeight="1" x14ac:dyDescent="0.25">
      <c r="A290" s="9" t="s">
        <v>2009</v>
      </c>
      <c r="B290" s="10" t="s">
        <v>2010</v>
      </c>
      <c r="C290" s="11" t="s">
        <v>2011</v>
      </c>
      <c r="D290" s="12" t="s">
        <v>2012</v>
      </c>
      <c r="E290" s="11" t="s">
        <v>98</v>
      </c>
      <c r="F290" s="11"/>
      <c r="G290" s="20" t="s">
        <v>119</v>
      </c>
      <c r="H290" s="11" t="s">
        <v>120</v>
      </c>
      <c r="I290" s="15" t="s">
        <v>2013</v>
      </c>
      <c r="J290" s="10" t="s">
        <v>2014</v>
      </c>
      <c r="K290" s="11" t="s">
        <v>332</v>
      </c>
      <c r="L290" s="9" t="s">
        <v>197</v>
      </c>
      <c r="M290" s="10" t="s">
        <v>198</v>
      </c>
      <c r="N290" s="23" t="s">
        <v>179</v>
      </c>
      <c r="O290" s="17" t="s">
        <v>355</v>
      </c>
      <c r="P290" s="17" t="s">
        <v>356</v>
      </c>
      <c r="Q290" s="18" t="s">
        <v>78</v>
      </c>
      <c r="R290" s="18" t="s">
        <v>79</v>
      </c>
      <c r="S290" s="18" t="s">
        <v>61</v>
      </c>
      <c r="T290" s="18" t="s">
        <v>62</v>
      </c>
      <c r="U290" s="19" t="s">
        <v>80</v>
      </c>
    </row>
    <row r="291" spans="1:21" ht="15.75" customHeight="1" x14ac:dyDescent="0.25">
      <c r="A291" s="27" t="s">
        <v>2015</v>
      </c>
      <c r="B291" s="28" t="s">
        <v>2016</v>
      </c>
      <c r="C291" s="29" t="s">
        <v>2017</v>
      </c>
      <c r="D291" s="37" t="s">
        <v>109</v>
      </c>
      <c r="E291" s="29" t="s">
        <v>67</v>
      </c>
      <c r="F291" s="31">
        <v>-161</v>
      </c>
      <c r="G291" s="14" t="s">
        <v>119</v>
      </c>
      <c r="H291" s="29" t="s">
        <v>69</v>
      </c>
      <c r="I291" s="32" t="s">
        <v>2018</v>
      </c>
      <c r="J291" s="28" t="s">
        <v>2019</v>
      </c>
      <c r="K291" s="29" t="s">
        <v>2020</v>
      </c>
      <c r="L291" s="27" t="s">
        <v>73</v>
      </c>
      <c r="M291" s="28" t="s">
        <v>74</v>
      </c>
      <c r="N291" s="38"/>
      <c r="O291" s="34"/>
      <c r="P291" s="34"/>
      <c r="Q291" s="35" t="s">
        <v>78</v>
      </c>
      <c r="R291" s="35" t="s">
        <v>79</v>
      </c>
      <c r="S291" s="35" t="s">
        <v>61</v>
      </c>
      <c r="T291" s="35" t="s">
        <v>62</v>
      </c>
      <c r="U291" s="36" t="s">
        <v>80</v>
      </c>
    </row>
    <row r="292" spans="1:21" ht="15.75" customHeight="1" x14ac:dyDescent="0.25">
      <c r="A292" s="9" t="s">
        <v>2021</v>
      </c>
      <c r="B292" s="10" t="s">
        <v>2022</v>
      </c>
      <c r="C292" s="11" t="s">
        <v>2023</v>
      </c>
      <c r="D292" s="21" t="s">
        <v>109</v>
      </c>
      <c r="E292" s="11" t="s">
        <v>47</v>
      </c>
      <c r="F292" s="13">
        <v>174</v>
      </c>
      <c r="G292" s="14" t="s">
        <v>119</v>
      </c>
      <c r="H292" s="11" t="s">
        <v>86</v>
      </c>
      <c r="I292" s="15" t="s">
        <v>2024</v>
      </c>
      <c r="J292" s="10" t="s">
        <v>2025</v>
      </c>
      <c r="K292" s="11" t="s">
        <v>2026</v>
      </c>
      <c r="L292" s="9" t="s">
        <v>158</v>
      </c>
      <c r="M292" s="10" t="s">
        <v>159</v>
      </c>
      <c r="N292" s="22"/>
      <c r="O292" s="17"/>
      <c r="P292" s="17"/>
      <c r="Q292" s="18" t="s">
        <v>78</v>
      </c>
      <c r="R292" s="18" t="s">
        <v>79</v>
      </c>
      <c r="S292" s="18" t="s">
        <v>61</v>
      </c>
      <c r="T292" s="18" t="s">
        <v>62</v>
      </c>
      <c r="U292" s="19" t="s">
        <v>80</v>
      </c>
    </row>
    <row r="293" spans="1:21" ht="15.75" customHeight="1" x14ac:dyDescent="0.25">
      <c r="A293" s="27" t="s">
        <v>2027</v>
      </c>
      <c r="B293" s="28" t="s">
        <v>2028</v>
      </c>
      <c r="C293" s="29" t="s">
        <v>2029</v>
      </c>
      <c r="D293" s="37" t="s">
        <v>109</v>
      </c>
      <c r="E293" s="29" t="s">
        <v>98</v>
      </c>
      <c r="F293" s="31">
        <v>155</v>
      </c>
      <c r="G293" s="24" t="s">
        <v>85</v>
      </c>
      <c r="H293" s="29" t="s">
        <v>86</v>
      </c>
      <c r="I293" s="32" t="s">
        <v>2030</v>
      </c>
      <c r="J293" s="28" t="s">
        <v>2031</v>
      </c>
      <c r="K293" s="29"/>
      <c r="L293" s="27"/>
      <c r="M293" s="28"/>
      <c r="N293" s="38"/>
      <c r="O293" s="34"/>
      <c r="P293" s="34"/>
      <c r="Q293" s="35" t="s">
        <v>78</v>
      </c>
      <c r="R293" s="35" t="s">
        <v>79</v>
      </c>
      <c r="S293" s="35" t="s">
        <v>61</v>
      </c>
      <c r="T293" s="35" t="s">
        <v>62</v>
      </c>
      <c r="U293" s="36" t="s">
        <v>80</v>
      </c>
    </row>
    <row r="294" spans="1:21" ht="15.75" customHeight="1" x14ac:dyDescent="0.25">
      <c r="A294" s="9" t="s">
        <v>2032</v>
      </c>
      <c r="B294" s="10" t="s">
        <v>2033</v>
      </c>
      <c r="C294" s="11" t="s">
        <v>2034</v>
      </c>
      <c r="D294" s="21" t="s">
        <v>109</v>
      </c>
      <c r="E294" s="11" t="s">
        <v>47</v>
      </c>
      <c r="F294" s="13">
        <v>165</v>
      </c>
      <c r="G294" s="14" t="s">
        <v>119</v>
      </c>
      <c r="H294" s="11" t="s">
        <v>86</v>
      </c>
      <c r="I294" s="15" t="s">
        <v>2035</v>
      </c>
      <c r="J294" s="10" t="s">
        <v>2036</v>
      </c>
      <c r="K294" s="11" t="s">
        <v>2026</v>
      </c>
      <c r="L294" s="9" t="s">
        <v>158</v>
      </c>
      <c r="M294" s="10" t="s">
        <v>159</v>
      </c>
      <c r="N294" s="22"/>
      <c r="O294" s="17"/>
      <c r="P294" s="17"/>
      <c r="Q294" s="18" t="s">
        <v>78</v>
      </c>
      <c r="R294" s="18" t="s">
        <v>79</v>
      </c>
      <c r="S294" s="18" t="s">
        <v>61</v>
      </c>
      <c r="T294" s="18" t="s">
        <v>62</v>
      </c>
      <c r="U294" s="19" t="s">
        <v>80</v>
      </c>
    </row>
    <row r="295" spans="1:21" ht="15.75" customHeight="1" x14ac:dyDescent="0.25">
      <c r="A295" s="27" t="s">
        <v>2037</v>
      </c>
      <c r="B295" s="28" t="s">
        <v>2038</v>
      </c>
      <c r="C295" s="29" t="s">
        <v>2039</v>
      </c>
      <c r="D295" s="37" t="s">
        <v>109</v>
      </c>
      <c r="E295" s="29" t="s">
        <v>47</v>
      </c>
      <c r="F295" s="31">
        <v>174</v>
      </c>
      <c r="G295" s="24" t="s">
        <v>85</v>
      </c>
      <c r="H295" s="29" t="s">
        <v>86</v>
      </c>
      <c r="I295" s="32" t="s">
        <v>2040</v>
      </c>
      <c r="J295" s="28" t="s">
        <v>2041</v>
      </c>
      <c r="K295" s="29"/>
      <c r="L295" s="27"/>
      <c r="M295" s="28"/>
      <c r="N295" s="38"/>
      <c r="O295" s="34"/>
      <c r="P295" s="34"/>
      <c r="Q295" s="35" t="s">
        <v>78</v>
      </c>
      <c r="R295" s="35" t="s">
        <v>79</v>
      </c>
      <c r="S295" s="35" t="s">
        <v>61</v>
      </c>
      <c r="T295" s="35" t="s">
        <v>62</v>
      </c>
      <c r="U295" s="36" t="s">
        <v>80</v>
      </c>
    </row>
    <row r="296" spans="1:21" ht="15.75" customHeight="1" x14ac:dyDescent="0.25">
      <c r="A296" s="9" t="s">
        <v>2042</v>
      </c>
      <c r="B296" s="10" t="s">
        <v>2043</v>
      </c>
      <c r="C296" s="11" t="s">
        <v>2044</v>
      </c>
      <c r="D296" s="21" t="s">
        <v>109</v>
      </c>
      <c r="E296" s="11" t="s">
        <v>47</v>
      </c>
      <c r="F296" s="13">
        <v>173</v>
      </c>
      <c r="G296" s="24" t="s">
        <v>85</v>
      </c>
      <c r="H296" s="11" t="s">
        <v>86</v>
      </c>
      <c r="I296" s="15" t="s">
        <v>2045</v>
      </c>
      <c r="J296" s="10" t="s">
        <v>2046</v>
      </c>
      <c r="K296" s="11"/>
      <c r="L296" s="9"/>
      <c r="M296" s="10"/>
      <c r="N296" s="22"/>
      <c r="O296" s="17"/>
      <c r="P296" s="17"/>
      <c r="Q296" s="18" t="s">
        <v>78</v>
      </c>
      <c r="R296" s="18" t="s">
        <v>79</v>
      </c>
      <c r="S296" s="18" t="s">
        <v>61</v>
      </c>
      <c r="T296" s="18" t="s">
        <v>62</v>
      </c>
      <c r="U296" s="19" t="s">
        <v>80</v>
      </c>
    </row>
    <row r="297" spans="1:21" ht="15.75" customHeight="1" x14ac:dyDescent="0.25">
      <c r="A297" s="27" t="s">
        <v>2047</v>
      </c>
      <c r="B297" s="28" t="s">
        <v>2048</v>
      </c>
      <c r="C297" s="29" t="s">
        <v>2049</v>
      </c>
      <c r="D297" s="37" t="s">
        <v>109</v>
      </c>
      <c r="E297" s="29" t="s">
        <v>47</v>
      </c>
      <c r="F297" s="31">
        <v>41</v>
      </c>
      <c r="G297" s="14" t="s">
        <v>119</v>
      </c>
      <c r="H297" s="29" t="s">
        <v>69</v>
      </c>
      <c r="I297" s="32" t="s">
        <v>2050</v>
      </c>
      <c r="J297" s="28" t="s">
        <v>2051</v>
      </c>
      <c r="K297" s="29" t="s">
        <v>2052</v>
      </c>
      <c r="L297" s="27" t="s">
        <v>2005</v>
      </c>
      <c r="M297" s="28" t="s">
        <v>2006</v>
      </c>
      <c r="N297" s="38"/>
      <c r="O297" s="34"/>
      <c r="P297" s="34"/>
      <c r="Q297" s="35" t="s">
        <v>78</v>
      </c>
      <c r="R297" s="35" t="s">
        <v>79</v>
      </c>
      <c r="S297" s="35" t="s">
        <v>61</v>
      </c>
      <c r="T297" s="35" t="s">
        <v>62</v>
      </c>
      <c r="U297" s="36" t="s">
        <v>80</v>
      </c>
    </row>
    <row r="298" spans="1:21" ht="15.75" customHeight="1" x14ac:dyDescent="0.25">
      <c r="A298" s="9" t="s">
        <v>2053</v>
      </c>
      <c r="B298" s="10" t="s">
        <v>2054</v>
      </c>
      <c r="C298" s="11" t="s">
        <v>2055</v>
      </c>
      <c r="D298" s="21" t="s">
        <v>109</v>
      </c>
      <c r="E298" s="11" t="s">
        <v>98</v>
      </c>
      <c r="F298" s="13">
        <v>314</v>
      </c>
      <c r="G298" s="24" t="s">
        <v>85</v>
      </c>
      <c r="H298" s="11" t="s">
        <v>129</v>
      </c>
      <c r="I298" s="15" t="s">
        <v>2056</v>
      </c>
      <c r="J298" s="10" t="s">
        <v>2057</v>
      </c>
      <c r="K298" s="11"/>
      <c r="L298" s="9"/>
      <c r="M298" s="10"/>
      <c r="N298" s="22"/>
      <c r="O298" s="17"/>
      <c r="P298" s="17"/>
      <c r="Q298" s="18" t="s">
        <v>78</v>
      </c>
      <c r="R298" s="18" t="s">
        <v>79</v>
      </c>
      <c r="S298" s="18" t="s">
        <v>61</v>
      </c>
      <c r="T298" s="18" t="s">
        <v>62</v>
      </c>
      <c r="U298" s="19" t="s">
        <v>80</v>
      </c>
    </row>
    <row r="299" spans="1:21" ht="15.75" customHeight="1" x14ac:dyDescent="0.25">
      <c r="A299" s="27" t="s">
        <v>2058</v>
      </c>
      <c r="B299" s="28" t="s">
        <v>2059</v>
      </c>
      <c r="C299" s="29" t="s">
        <v>2060</v>
      </c>
      <c r="D299" s="37" t="s">
        <v>109</v>
      </c>
      <c r="E299" s="29" t="s">
        <v>67</v>
      </c>
      <c r="F299" s="31">
        <v>6</v>
      </c>
      <c r="G299" s="20" t="s">
        <v>68</v>
      </c>
      <c r="H299" s="29" t="s">
        <v>421</v>
      </c>
      <c r="I299" s="32" t="s">
        <v>2061</v>
      </c>
      <c r="J299" s="28" t="s">
        <v>2062</v>
      </c>
      <c r="K299" s="29" t="s">
        <v>2063</v>
      </c>
      <c r="L299" s="27" t="s">
        <v>140</v>
      </c>
      <c r="M299" s="28" t="s">
        <v>141</v>
      </c>
      <c r="N299" s="38"/>
      <c r="O299" s="34"/>
      <c r="P299" s="34"/>
      <c r="Q299" s="35" t="s">
        <v>78</v>
      </c>
      <c r="R299" s="35" t="s">
        <v>79</v>
      </c>
      <c r="S299" s="35" t="s">
        <v>61</v>
      </c>
      <c r="T299" s="35" t="s">
        <v>62</v>
      </c>
      <c r="U299" s="36" t="s">
        <v>80</v>
      </c>
    </row>
    <row r="300" spans="1:21" ht="15.75" customHeight="1" x14ac:dyDescent="0.25">
      <c r="A300" s="9" t="s">
        <v>2064</v>
      </c>
      <c r="B300" s="10" t="s">
        <v>2065</v>
      </c>
      <c r="C300" s="11" t="s">
        <v>2066</v>
      </c>
      <c r="D300" s="21" t="s">
        <v>109</v>
      </c>
      <c r="E300" s="11" t="s">
        <v>47</v>
      </c>
      <c r="F300" s="13">
        <v>100.5</v>
      </c>
      <c r="G300" s="14" t="s">
        <v>119</v>
      </c>
      <c r="H300" s="11" t="s">
        <v>330</v>
      </c>
      <c r="I300" s="15" t="s">
        <v>2067</v>
      </c>
      <c r="J300" s="10" t="s">
        <v>2068</v>
      </c>
      <c r="K300" s="11" t="s">
        <v>2069</v>
      </c>
      <c r="L300" s="9" t="s">
        <v>158</v>
      </c>
      <c r="M300" s="10" t="s">
        <v>159</v>
      </c>
      <c r="N300" s="22"/>
      <c r="O300" s="17"/>
      <c r="P300" s="17"/>
      <c r="Q300" s="18" t="s">
        <v>78</v>
      </c>
      <c r="R300" s="18" t="s">
        <v>79</v>
      </c>
      <c r="S300" s="18" t="s">
        <v>61</v>
      </c>
      <c r="T300" s="18" t="s">
        <v>62</v>
      </c>
      <c r="U300" s="19" t="s">
        <v>80</v>
      </c>
    </row>
    <row r="301" spans="1:21" ht="15.75" customHeight="1" x14ac:dyDescent="0.25">
      <c r="A301" s="27" t="s">
        <v>2070</v>
      </c>
      <c r="B301" s="28" t="s">
        <v>2071</v>
      </c>
      <c r="C301" s="29" t="s">
        <v>2072</v>
      </c>
      <c r="D301" s="37" t="s">
        <v>109</v>
      </c>
      <c r="E301" s="29" t="s">
        <v>47</v>
      </c>
      <c r="F301" s="31">
        <v>66</v>
      </c>
      <c r="G301" s="14" t="s">
        <v>119</v>
      </c>
      <c r="H301" s="29" t="s">
        <v>48</v>
      </c>
      <c r="I301" s="32" t="s">
        <v>2073</v>
      </c>
      <c r="J301" s="28" t="s">
        <v>2074</v>
      </c>
      <c r="K301" s="29" t="s">
        <v>2075</v>
      </c>
      <c r="L301" s="27" t="s">
        <v>158</v>
      </c>
      <c r="M301" s="28" t="s">
        <v>159</v>
      </c>
      <c r="N301" s="38"/>
      <c r="O301" s="34"/>
      <c r="P301" s="34"/>
      <c r="Q301" s="35" t="s">
        <v>78</v>
      </c>
      <c r="R301" s="35" t="s">
        <v>79</v>
      </c>
      <c r="S301" s="35" t="s">
        <v>61</v>
      </c>
      <c r="T301" s="35" t="s">
        <v>62</v>
      </c>
      <c r="U301" s="36" t="s">
        <v>80</v>
      </c>
    </row>
    <row r="302" spans="1:21" ht="15.75" customHeight="1" x14ac:dyDescent="0.25">
      <c r="A302" s="9" t="s">
        <v>2076</v>
      </c>
      <c r="B302" s="10" t="s">
        <v>2077</v>
      </c>
      <c r="C302" s="11" t="s">
        <v>2078</v>
      </c>
      <c r="D302" s="21" t="s">
        <v>109</v>
      </c>
      <c r="E302" s="11" t="s">
        <v>47</v>
      </c>
      <c r="F302" s="13">
        <v>129</v>
      </c>
      <c r="G302" s="25" t="s">
        <v>110</v>
      </c>
      <c r="H302" s="11" t="s">
        <v>330</v>
      </c>
      <c r="I302" s="15" t="s">
        <v>2079</v>
      </c>
      <c r="J302" s="10" t="s">
        <v>2080</v>
      </c>
      <c r="K302" s="11" t="s">
        <v>2081</v>
      </c>
      <c r="L302" s="9" t="s">
        <v>481</v>
      </c>
      <c r="M302" s="10" t="s">
        <v>482</v>
      </c>
      <c r="N302" s="22"/>
      <c r="O302" s="17"/>
      <c r="P302" s="17"/>
      <c r="Q302" s="18" t="s">
        <v>78</v>
      </c>
      <c r="R302" s="18" t="s">
        <v>79</v>
      </c>
      <c r="S302" s="18" t="s">
        <v>61</v>
      </c>
      <c r="T302" s="18" t="s">
        <v>62</v>
      </c>
      <c r="U302" s="19" t="s">
        <v>80</v>
      </c>
    </row>
    <row r="303" spans="1:21" ht="15.75" customHeight="1" x14ac:dyDescent="0.25">
      <c r="A303" s="27" t="s">
        <v>2082</v>
      </c>
      <c r="B303" s="28" t="s">
        <v>2083</v>
      </c>
      <c r="C303" s="29" t="s">
        <v>2084</v>
      </c>
      <c r="D303" s="30" t="s">
        <v>2085</v>
      </c>
      <c r="E303" s="29"/>
      <c r="F303" s="31">
        <v>150</v>
      </c>
      <c r="G303" s="14" t="s">
        <v>119</v>
      </c>
      <c r="H303" s="29" t="s">
        <v>86</v>
      </c>
      <c r="I303" s="32" t="s">
        <v>2086</v>
      </c>
      <c r="J303" s="28" t="s">
        <v>2087</v>
      </c>
      <c r="K303" s="29"/>
      <c r="L303" s="27"/>
      <c r="M303" s="28"/>
      <c r="N303" s="39" t="s">
        <v>179</v>
      </c>
      <c r="O303" s="34" t="s">
        <v>2007</v>
      </c>
      <c r="P303" s="34" t="s">
        <v>2008</v>
      </c>
      <c r="Q303" s="35" t="s">
        <v>78</v>
      </c>
      <c r="R303" s="35" t="s">
        <v>79</v>
      </c>
      <c r="S303" s="35" t="s">
        <v>61</v>
      </c>
      <c r="T303" s="35" t="s">
        <v>62</v>
      </c>
      <c r="U303" s="36" t="s">
        <v>80</v>
      </c>
    </row>
    <row r="304" spans="1:21" ht="15.75" customHeight="1" x14ac:dyDescent="0.25">
      <c r="A304" s="9" t="s">
        <v>2088</v>
      </c>
      <c r="B304" s="10" t="s">
        <v>2089</v>
      </c>
      <c r="C304" s="11" t="s">
        <v>2090</v>
      </c>
      <c r="D304" s="12" t="s">
        <v>1810</v>
      </c>
      <c r="E304" s="11"/>
      <c r="F304" s="11"/>
      <c r="G304" s="20" t="s">
        <v>119</v>
      </c>
      <c r="H304" s="11" t="s">
        <v>120</v>
      </c>
      <c r="I304" s="15" t="s">
        <v>2091</v>
      </c>
      <c r="J304" s="10" t="s">
        <v>2092</v>
      </c>
      <c r="K304" s="11"/>
      <c r="L304" s="9"/>
      <c r="M304" s="10"/>
      <c r="N304" s="23" t="s">
        <v>179</v>
      </c>
      <c r="O304" s="17" t="s">
        <v>180</v>
      </c>
      <c r="P304" s="17" t="s">
        <v>181</v>
      </c>
      <c r="Q304" s="18" t="s">
        <v>78</v>
      </c>
      <c r="R304" s="18" t="s">
        <v>79</v>
      </c>
      <c r="S304" s="18" t="s">
        <v>61</v>
      </c>
      <c r="T304" s="18" t="s">
        <v>62</v>
      </c>
      <c r="U304" s="19" t="s">
        <v>80</v>
      </c>
    </row>
    <row r="305" spans="1:21" ht="15.75" customHeight="1" x14ac:dyDescent="0.25">
      <c r="A305" s="27" t="s">
        <v>2093</v>
      </c>
      <c r="B305" s="28" t="s">
        <v>2094</v>
      </c>
      <c r="C305" s="29" t="s">
        <v>2095</v>
      </c>
      <c r="D305" s="37" t="s">
        <v>109</v>
      </c>
      <c r="E305" s="29" t="s">
        <v>98</v>
      </c>
      <c r="F305" s="31">
        <v>210</v>
      </c>
      <c r="G305" s="24" t="s">
        <v>85</v>
      </c>
      <c r="H305" s="29" t="s">
        <v>129</v>
      </c>
      <c r="I305" s="32" t="s">
        <v>2096</v>
      </c>
      <c r="J305" s="28" t="s">
        <v>2097</v>
      </c>
      <c r="K305" s="29"/>
      <c r="L305" s="27"/>
      <c r="M305" s="28"/>
      <c r="N305" s="38"/>
      <c r="O305" s="34"/>
      <c r="P305" s="34"/>
      <c r="Q305" s="35" t="s">
        <v>78</v>
      </c>
      <c r="R305" s="35" t="s">
        <v>79</v>
      </c>
      <c r="S305" s="35" t="s">
        <v>61</v>
      </c>
      <c r="T305" s="35" t="s">
        <v>62</v>
      </c>
      <c r="U305" s="36" t="s">
        <v>80</v>
      </c>
    </row>
    <row r="306" spans="1:21" ht="15.75" customHeight="1" x14ac:dyDescent="0.25">
      <c r="A306" s="9" t="s">
        <v>2098</v>
      </c>
      <c r="B306" s="10" t="s">
        <v>2099</v>
      </c>
      <c r="C306" s="11" t="s">
        <v>2100</v>
      </c>
      <c r="D306" s="21" t="s">
        <v>109</v>
      </c>
      <c r="E306" s="11" t="s">
        <v>98</v>
      </c>
      <c r="F306" s="13">
        <v>284</v>
      </c>
      <c r="G306" s="25" t="s">
        <v>110</v>
      </c>
      <c r="H306" s="11" t="s">
        <v>129</v>
      </c>
      <c r="I306" s="15" t="s">
        <v>2101</v>
      </c>
      <c r="J306" s="10" t="s">
        <v>2102</v>
      </c>
      <c r="K306" s="11" t="s">
        <v>2103</v>
      </c>
      <c r="L306" s="9" t="s">
        <v>90</v>
      </c>
      <c r="M306" s="10" t="s">
        <v>91</v>
      </c>
      <c r="N306" s="22"/>
      <c r="O306" s="17"/>
      <c r="P306" s="17"/>
      <c r="Q306" s="18" t="s">
        <v>78</v>
      </c>
      <c r="R306" s="18" t="s">
        <v>79</v>
      </c>
      <c r="S306" s="18" t="s">
        <v>61</v>
      </c>
      <c r="T306" s="18" t="s">
        <v>62</v>
      </c>
      <c r="U306" s="19" t="s">
        <v>80</v>
      </c>
    </row>
    <row r="307" spans="1:21" ht="15.75" customHeight="1" x14ac:dyDescent="0.25">
      <c r="A307" s="27" t="s">
        <v>2104</v>
      </c>
      <c r="B307" s="28" t="s">
        <v>2105</v>
      </c>
      <c r="C307" s="29" t="s">
        <v>2106</v>
      </c>
      <c r="D307" s="37" t="s">
        <v>109</v>
      </c>
      <c r="E307" s="29" t="s">
        <v>98</v>
      </c>
      <c r="F307" s="29" t="s">
        <v>2107</v>
      </c>
      <c r="G307" s="25" t="s">
        <v>110</v>
      </c>
      <c r="H307" s="29" t="s">
        <v>100</v>
      </c>
      <c r="I307" s="32" t="s">
        <v>2108</v>
      </c>
      <c r="J307" s="28" t="s">
        <v>2109</v>
      </c>
      <c r="K307" s="29" t="s">
        <v>2103</v>
      </c>
      <c r="L307" s="27" t="s">
        <v>90</v>
      </c>
      <c r="M307" s="28" t="s">
        <v>91</v>
      </c>
      <c r="N307" s="38"/>
      <c r="O307" s="34"/>
      <c r="P307" s="34"/>
      <c r="Q307" s="35" t="s">
        <v>78</v>
      </c>
      <c r="R307" s="35" t="s">
        <v>79</v>
      </c>
      <c r="S307" s="35" t="s">
        <v>61</v>
      </c>
      <c r="T307" s="35" t="s">
        <v>62</v>
      </c>
      <c r="U307" s="36" t="s">
        <v>80</v>
      </c>
    </row>
    <row r="308" spans="1:21" ht="15.75" customHeight="1" x14ac:dyDescent="0.25">
      <c r="A308" s="9" t="s">
        <v>2110</v>
      </c>
      <c r="B308" s="10" t="s">
        <v>2111</v>
      </c>
      <c r="C308" s="11" t="s">
        <v>2112</v>
      </c>
      <c r="D308" s="21" t="s">
        <v>109</v>
      </c>
      <c r="E308" s="11" t="s">
        <v>98</v>
      </c>
      <c r="F308" s="13">
        <v>332</v>
      </c>
      <c r="G308" s="25" t="s">
        <v>110</v>
      </c>
      <c r="H308" s="11" t="s">
        <v>129</v>
      </c>
      <c r="I308" s="15" t="s">
        <v>2113</v>
      </c>
      <c r="J308" s="10" t="s">
        <v>2114</v>
      </c>
      <c r="K308" s="11" t="s">
        <v>2103</v>
      </c>
      <c r="L308" s="9" t="s">
        <v>90</v>
      </c>
      <c r="M308" s="10" t="s">
        <v>91</v>
      </c>
      <c r="N308" s="22"/>
      <c r="O308" s="17"/>
      <c r="P308" s="17"/>
      <c r="Q308" s="18" t="s">
        <v>78</v>
      </c>
      <c r="R308" s="18" t="s">
        <v>79</v>
      </c>
      <c r="S308" s="18" t="s">
        <v>61</v>
      </c>
      <c r="T308" s="18" t="s">
        <v>62</v>
      </c>
      <c r="U308" s="19" t="s">
        <v>80</v>
      </c>
    </row>
    <row r="309" spans="1:21" ht="15.75" customHeight="1" x14ac:dyDescent="0.25">
      <c r="A309" s="27" t="s">
        <v>2115</v>
      </c>
      <c r="B309" s="28" t="s">
        <v>2116</v>
      </c>
      <c r="C309" s="29" t="s">
        <v>2117</v>
      </c>
      <c r="D309" s="30" t="s">
        <v>2118</v>
      </c>
      <c r="E309" s="29" t="s">
        <v>47</v>
      </c>
      <c r="F309" s="31">
        <v>290</v>
      </c>
      <c r="G309" s="20" t="s">
        <v>85</v>
      </c>
      <c r="H309" s="29" t="s">
        <v>129</v>
      </c>
      <c r="I309" s="32" t="s">
        <v>2119</v>
      </c>
      <c r="J309" s="28" t="s">
        <v>2120</v>
      </c>
      <c r="K309" s="29" t="s">
        <v>2121</v>
      </c>
      <c r="L309" s="27" t="s">
        <v>481</v>
      </c>
      <c r="M309" s="28" t="s">
        <v>482</v>
      </c>
      <c r="N309" s="33" t="s">
        <v>75</v>
      </c>
      <c r="O309" s="34" t="s">
        <v>363</v>
      </c>
      <c r="P309" s="34" t="s">
        <v>364</v>
      </c>
      <c r="Q309" s="35" t="s">
        <v>78</v>
      </c>
      <c r="R309" s="35" t="s">
        <v>79</v>
      </c>
      <c r="S309" s="35" t="s">
        <v>61</v>
      </c>
      <c r="T309" s="35" t="s">
        <v>62</v>
      </c>
      <c r="U309" s="36" t="s">
        <v>80</v>
      </c>
    </row>
    <row r="310" spans="1:21" ht="15.75" customHeight="1" x14ac:dyDescent="0.25">
      <c r="A310" s="9" t="s">
        <v>2122</v>
      </c>
      <c r="B310" s="10" t="s">
        <v>2123</v>
      </c>
      <c r="C310" s="11" t="s">
        <v>2124</v>
      </c>
      <c r="D310" s="21" t="s">
        <v>109</v>
      </c>
      <c r="E310" s="11" t="s">
        <v>47</v>
      </c>
      <c r="F310" s="13">
        <v>175</v>
      </c>
      <c r="G310" s="24" t="s">
        <v>85</v>
      </c>
      <c r="H310" s="11" t="s">
        <v>86</v>
      </c>
      <c r="I310" s="15" t="s">
        <v>2125</v>
      </c>
      <c r="J310" s="10" t="s">
        <v>2126</v>
      </c>
      <c r="K310" s="11"/>
      <c r="L310" s="9"/>
      <c r="M310" s="10"/>
      <c r="N310" s="22"/>
      <c r="O310" s="17"/>
      <c r="P310" s="17"/>
      <c r="Q310" s="18" t="s">
        <v>78</v>
      </c>
      <c r="R310" s="18" t="s">
        <v>79</v>
      </c>
      <c r="S310" s="18" t="s">
        <v>61</v>
      </c>
      <c r="T310" s="18" t="s">
        <v>62</v>
      </c>
      <c r="U310" s="19" t="s">
        <v>80</v>
      </c>
    </row>
    <row r="311" spans="1:21" ht="15.75" customHeight="1" x14ac:dyDescent="0.25">
      <c r="A311" s="27" t="s">
        <v>2127</v>
      </c>
      <c r="B311" s="28" t="s">
        <v>2128</v>
      </c>
      <c r="C311" s="29" t="s">
        <v>2129</v>
      </c>
      <c r="D311" s="37" t="s">
        <v>109</v>
      </c>
      <c r="E311" s="29" t="s">
        <v>47</v>
      </c>
      <c r="F311" s="31">
        <v>147</v>
      </c>
      <c r="G311" s="25" t="s">
        <v>110</v>
      </c>
      <c r="H311" s="29" t="s">
        <v>330</v>
      </c>
      <c r="I311" s="32" t="s">
        <v>2130</v>
      </c>
      <c r="J311" s="28" t="s">
        <v>2131</v>
      </c>
      <c r="K311" s="29" t="s">
        <v>2132</v>
      </c>
      <c r="L311" s="27" t="s">
        <v>90</v>
      </c>
      <c r="M311" s="28" t="s">
        <v>91</v>
      </c>
      <c r="N311" s="38"/>
      <c r="O311" s="34"/>
      <c r="P311" s="34"/>
      <c r="Q311" s="35" t="s">
        <v>78</v>
      </c>
      <c r="R311" s="35" t="s">
        <v>79</v>
      </c>
      <c r="S311" s="35" t="s">
        <v>61</v>
      </c>
      <c r="T311" s="35" t="s">
        <v>62</v>
      </c>
      <c r="U311" s="36" t="s">
        <v>80</v>
      </c>
    </row>
    <row r="312" spans="1:21" ht="15.75" customHeight="1" x14ac:dyDescent="0.25">
      <c r="A312" s="9" t="s">
        <v>2133</v>
      </c>
      <c r="B312" s="10" t="s">
        <v>2134</v>
      </c>
      <c r="C312" s="11" t="s">
        <v>2135</v>
      </c>
      <c r="D312" s="21" t="s">
        <v>109</v>
      </c>
      <c r="E312" s="11" t="s">
        <v>47</v>
      </c>
      <c r="F312" s="11"/>
      <c r="G312" s="25" t="s">
        <v>110</v>
      </c>
      <c r="H312" s="11" t="s">
        <v>120</v>
      </c>
      <c r="I312" s="15" t="s">
        <v>2136</v>
      </c>
      <c r="J312" s="10" t="s">
        <v>2137</v>
      </c>
      <c r="K312" s="11" t="s">
        <v>1509</v>
      </c>
      <c r="L312" s="9" t="s">
        <v>90</v>
      </c>
      <c r="M312" s="10" t="s">
        <v>91</v>
      </c>
      <c r="N312" s="22"/>
      <c r="O312" s="17"/>
      <c r="P312" s="17"/>
      <c r="Q312" s="18" t="s">
        <v>78</v>
      </c>
      <c r="R312" s="18" t="s">
        <v>79</v>
      </c>
      <c r="S312" s="18" t="s">
        <v>61</v>
      </c>
      <c r="T312" s="18" t="s">
        <v>62</v>
      </c>
      <c r="U312" s="19" t="s">
        <v>80</v>
      </c>
    </row>
    <row r="313" spans="1:21" ht="15.75" customHeight="1" x14ac:dyDescent="0.25">
      <c r="A313" s="27" t="s">
        <v>2138</v>
      </c>
      <c r="B313" s="28" t="s">
        <v>2139</v>
      </c>
      <c r="C313" s="29" t="s">
        <v>2140</v>
      </c>
      <c r="D313" s="37" t="s">
        <v>109</v>
      </c>
      <c r="E313" s="29" t="s">
        <v>47</v>
      </c>
      <c r="F313" s="29" t="s">
        <v>2141</v>
      </c>
      <c r="G313" s="24" t="s">
        <v>85</v>
      </c>
      <c r="H313" s="29" t="s">
        <v>330</v>
      </c>
      <c r="I313" s="32" t="s">
        <v>2142</v>
      </c>
      <c r="J313" s="28" t="s">
        <v>2143</v>
      </c>
      <c r="K313" s="29"/>
      <c r="L313" s="27"/>
      <c r="M313" s="28"/>
      <c r="N313" s="38"/>
      <c r="O313" s="34"/>
      <c r="P313" s="34"/>
      <c r="Q313" s="35" t="s">
        <v>78</v>
      </c>
      <c r="R313" s="35" t="s">
        <v>79</v>
      </c>
      <c r="S313" s="35" t="s">
        <v>61</v>
      </c>
      <c r="T313" s="35" t="s">
        <v>62</v>
      </c>
      <c r="U313" s="36" t="s">
        <v>80</v>
      </c>
    </row>
    <row r="314" spans="1:21" ht="15.75" customHeight="1" x14ac:dyDescent="0.25">
      <c r="A314" s="9" t="s">
        <v>2144</v>
      </c>
      <c r="B314" s="10" t="s">
        <v>2145</v>
      </c>
      <c r="C314" s="11" t="s">
        <v>2146</v>
      </c>
      <c r="D314" s="12" t="s">
        <v>2147</v>
      </c>
      <c r="E314" s="11" t="s">
        <v>98</v>
      </c>
      <c r="F314" s="13">
        <v>185</v>
      </c>
      <c r="G314" s="20" t="s">
        <v>85</v>
      </c>
      <c r="H314" s="11" t="s">
        <v>86</v>
      </c>
      <c r="I314" s="15" t="s">
        <v>2148</v>
      </c>
      <c r="J314" s="10" t="s">
        <v>2149</v>
      </c>
      <c r="K314" s="11"/>
      <c r="L314" s="9"/>
      <c r="M314" s="10"/>
      <c r="N314" s="16" t="s">
        <v>75</v>
      </c>
      <c r="O314" s="17" t="s">
        <v>292</v>
      </c>
      <c r="P314" s="17" t="s">
        <v>293</v>
      </c>
      <c r="Q314" s="18" t="s">
        <v>78</v>
      </c>
      <c r="R314" s="18" t="s">
        <v>79</v>
      </c>
      <c r="S314" s="18" t="s">
        <v>61</v>
      </c>
      <c r="T314" s="18" t="s">
        <v>62</v>
      </c>
      <c r="U314" s="19" t="s">
        <v>80</v>
      </c>
    </row>
    <row r="315" spans="1:21" ht="15.75" customHeight="1" x14ac:dyDescent="0.25">
      <c r="A315" s="27" t="s">
        <v>2150</v>
      </c>
      <c r="B315" s="28" t="s">
        <v>2151</v>
      </c>
      <c r="C315" s="29" t="s">
        <v>2152</v>
      </c>
      <c r="D315" s="30" t="s">
        <v>2153</v>
      </c>
      <c r="E315" s="29" t="s">
        <v>98</v>
      </c>
      <c r="F315" s="31">
        <v>284</v>
      </c>
      <c r="G315" s="20" t="s">
        <v>119</v>
      </c>
      <c r="H315" s="29" t="s">
        <v>129</v>
      </c>
      <c r="I315" s="32" t="s">
        <v>2154</v>
      </c>
      <c r="J315" s="28" t="s">
        <v>2155</v>
      </c>
      <c r="K315" s="29"/>
      <c r="L315" s="27"/>
      <c r="M315" s="28"/>
      <c r="N315" s="33" t="s">
        <v>75</v>
      </c>
      <c r="O315" s="34" t="s">
        <v>2156</v>
      </c>
      <c r="P315" s="34" t="s">
        <v>2157</v>
      </c>
      <c r="Q315" s="35" t="s">
        <v>78</v>
      </c>
      <c r="R315" s="35" t="s">
        <v>79</v>
      </c>
      <c r="S315" s="35" t="s">
        <v>61</v>
      </c>
      <c r="T315" s="35" t="s">
        <v>62</v>
      </c>
      <c r="U315" s="36" t="s">
        <v>80</v>
      </c>
    </row>
    <row r="316" spans="1:21" ht="15.75" customHeight="1" x14ac:dyDescent="0.25">
      <c r="A316" s="9" t="s">
        <v>2158</v>
      </c>
      <c r="B316" s="10" t="s">
        <v>2159</v>
      </c>
      <c r="C316" s="11" t="s">
        <v>2160</v>
      </c>
      <c r="D316" s="12" t="s">
        <v>2161</v>
      </c>
      <c r="E316" s="11" t="s">
        <v>98</v>
      </c>
      <c r="F316" s="11" t="s">
        <v>2162</v>
      </c>
      <c r="G316" s="20" t="s">
        <v>119</v>
      </c>
      <c r="H316" s="11" t="s">
        <v>100</v>
      </c>
      <c r="I316" s="15" t="s">
        <v>2163</v>
      </c>
      <c r="J316" s="10" t="s">
        <v>2164</v>
      </c>
      <c r="K316" s="11" t="s">
        <v>1138</v>
      </c>
      <c r="L316" s="9" t="s">
        <v>1350</v>
      </c>
      <c r="M316" s="10" t="s">
        <v>1351</v>
      </c>
      <c r="N316" s="16" t="s">
        <v>75</v>
      </c>
      <c r="O316" s="17" t="s">
        <v>2165</v>
      </c>
      <c r="P316" s="17" t="s">
        <v>2166</v>
      </c>
      <c r="Q316" s="18" t="s">
        <v>78</v>
      </c>
      <c r="R316" s="18" t="s">
        <v>79</v>
      </c>
      <c r="S316" s="18" t="s">
        <v>61</v>
      </c>
      <c r="T316" s="18" t="s">
        <v>62</v>
      </c>
      <c r="U316" s="19" t="s">
        <v>80</v>
      </c>
    </row>
    <row r="317" spans="1:21" ht="15.75" customHeight="1" x14ac:dyDescent="0.25">
      <c r="A317" s="27" t="s">
        <v>2167</v>
      </c>
      <c r="B317" s="28" t="s">
        <v>2168</v>
      </c>
      <c r="C317" s="29" t="s">
        <v>2169</v>
      </c>
      <c r="D317" s="37" t="s">
        <v>109</v>
      </c>
      <c r="E317" s="29" t="s">
        <v>47</v>
      </c>
      <c r="F317" s="31">
        <v>106</v>
      </c>
      <c r="G317" s="25" t="s">
        <v>110</v>
      </c>
      <c r="H317" s="29" t="s">
        <v>330</v>
      </c>
      <c r="I317" s="32" t="s">
        <v>2170</v>
      </c>
      <c r="J317" s="28" t="s">
        <v>2171</v>
      </c>
      <c r="K317" s="29" t="s">
        <v>2172</v>
      </c>
      <c r="L317" s="27" t="s">
        <v>481</v>
      </c>
      <c r="M317" s="28" t="s">
        <v>482</v>
      </c>
      <c r="N317" s="38"/>
      <c r="O317" s="34"/>
      <c r="P317" s="34"/>
      <c r="Q317" s="35" t="s">
        <v>78</v>
      </c>
      <c r="R317" s="35" t="s">
        <v>79</v>
      </c>
      <c r="S317" s="35" t="s">
        <v>61</v>
      </c>
      <c r="T317" s="35" t="s">
        <v>62</v>
      </c>
      <c r="U317" s="36" t="s">
        <v>80</v>
      </c>
    </row>
    <row r="318" spans="1:21" ht="15.75" customHeight="1" x14ac:dyDescent="0.25">
      <c r="A318" s="9" t="s">
        <v>2173</v>
      </c>
      <c r="B318" s="10" t="s">
        <v>2174</v>
      </c>
      <c r="C318" s="11" t="s">
        <v>2175</v>
      </c>
      <c r="D318" s="21" t="s">
        <v>109</v>
      </c>
      <c r="E318" s="11" t="s">
        <v>47</v>
      </c>
      <c r="F318" s="11"/>
      <c r="G318" s="24" t="s">
        <v>85</v>
      </c>
      <c r="H318" s="11" t="s">
        <v>330</v>
      </c>
      <c r="I318" s="15" t="s">
        <v>2176</v>
      </c>
      <c r="J318" s="10" t="s">
        <v>2177</v>
      </c>
      <c r="K318" s="11"/>
      <c r="L318" s="9"/>
      <c r="M318" s="10"/>
      <c r="N318" s="22"/>
      <c r="O318" s="17"/>
      <c r="P318" s="17"/>
      <c r="Q318" s="18" t="s">
        <v>78</v>
      </c>
      <c r="R318" s="18" t="s">
        <v>79</v>
      </c>
      <c r="S318" s="18" t="s">
        <v>61</v>
      </c>
      <c r="T318" s="18" t="s">
        <v>62</v>
      </c>
      <c r="U318" s="19" t="s">
        <v>80</v>
      </c>
    </row>
    <row r="319" spans="1:21" ht="15.75" customHeight="1" x14ac:dyDescent="0.25">
      <c r="A319" s="27" t="s">
        <v>2178</v>
      </c>
      <c r="B319" s="28" t="s">
        <v>2179</v>
      </c>
      <c r="C319" s="29" t="s">
        <v>2180</v>
      </c>
      <c r="D319" s="37" t="s">
        <v>109</v>
      </c>
      <c r="E319" s="29" t="s">
        <v>67</v>
      </c>
      <c r="F319" s="31">
        <v>-42</v>
      </c>
      <c r="G319" s="14" t="s">
        <v>119</v>
      </c>
      <c r="H319" s="29" t="s">
        <v>69</v>
      </c>
      <c r="I319" s="32" t="s">
        <v>2181</v>
      </c>
      <c r="J319" s="28" t="s">
        <v>2182</v>
      </c>
      <c r="K319" s="29" t="s">
        <v>2183</v>
      </c>
      <c r="L319" s="27" t="s">
        <v>73</v>
      </c>
      <c r="M319" s="28" t="s">
        <v>74</v>
      </c>
      <c r="N319" s="38"/>
      <c r="O319" s="34"/>
      <c r="P319" s="34"/>
      <c r="Q319" s="35" t="s">
        <v>78</v>
      </c>
      <c r="R319" s="35" t="s">
        <v>79</v>
      </c>
      <c r="S319" s="35" t="s">
        <v>61</v>
      </c>
      <c r="T319" s="35" t="s">
        <v>62</v>
      </c>
      <c r="U319" s="36" t="s">
        <v>80</v>
      </c>
    </row>
    <row r="320" spans="1:21" ht="15.75" customHeight="1" x14ac:dyDescent="0.25">
      <c r="A320" s="9" t="s">
        <v>2184</v>
      </c>
      <c r="B320" s="10" t="s">
        <v>2185</v>
      </c>
      <c r="C320" s="11" t="s">
        <v>2186</v>
      </c>
      <c r="D320" s="12" t="s">
        <v>2187</v>
      </c>
      <c r="E320" s="11" t="s">
        <v>47</v>
      </c>
      <c r="F320" s="13">
        <v>97</v>
      </c>
      <c r="G320" s="20" t="s">
        <v>119</v>
      </c>
      <c r="H320" s="11" t="s">
        <v>48</v>
      </c>
      <c r="I320" s="15" t="s">
        <v>2188</v>
      </c>
      <c r="J320" s="10" t="s">
        <v>2189</v>
      </c>
      <c r="K320" s="11" t="s">
        <v>2190</v>
      </c>
      <c r="L320" s="9" t="s">
        <v>158</v>
      </c>
      <c r="M320" s="10" t="s">
        <v>159</v>
      </c>
      <c r="N320" s="16" t="s">
        <v>75</v>
      </c>
      <c r="O320" s="17" t="s">
        <v>492</v>
      </c>
      <c r="P320" s="17" t="s">
        <v>493</v>
      </c>
      <c r="Q320" s="18" t="s">
        <v>78</v>
      </c>
      <c r="R320" s="18" t="s">
        <v>79</v>
      </c>
      <c r="S320" s="18" t="s">
        <v>61</v>
      </c>
      <c r="T320" s="18" t="s">
        <v>62</v>
      </c>
      <c r="U320" s="19" t="s">
        <v>80</v>
      </c>
    </row>
    <row r="321" spans="1:21" ht="15.75" customHeight="1" x14ac:dyDescent="0.25">
      <c r="A321" s="27" t="s">
        <v>2191</v>
      </c>
      <c r="B321" s="28" t="s">
        <v>2192</v>
      </c>
      <c r="C321" s="29" t="s">
        <v>2193</v>
      </c>
      <c r="D321" s="37" t="s">
        <v>109</v>
      </c>
      <c r="E321" s="29" t="s">
        <v>47</v>
      </c>
      <c r="F321" s="31">
        <v>188.2</v>
      </c>
      <c r="G321" s="24" t="s">
        <v>85</v>
      </c>
      <c r="H321" s="29" t="s">
        <v>86</v>
      </c>
      <c r="I321" s="32" t="s">
        <v>2194</v>
      </c>
      <c r="J321" s="28" t="s">
        <v>2195</v>
      </c>
      <c r="K321" s="29"/>
      <c r="L321" s="27"/>
      <c r="M321" s="28"/>
      <c r="N321" s="38"/>
      <c r="O321" s="34"/>
      <c r="P321" s="34"/>
      <c r="Q321" s="35" t="s">
        <v>78</v>
      </c>
      <c r="R321" s="35" t="s">
        <v>79</v>
      </c>
      <c r="S321" s="35" t="s">
        <v>61</v>
      </c>
      <c r="T321" s="35" t="s">
        <v>62</v>
      </c>
      <c r="U321" s="36" t="s">
        <v>80</v>
      </c>
    </row>
    <row r="322" spans="1:21" ht="15.75" customHeight="1" x14ac:dyDescent="0.25">
      <c r="A322" s="9" t="s">
        <v>2196</v>
      </c>
      <c r="B322" s="10" t="s">
        <v>2197</v>
      </c>
      <c r="C322" s="11" t="s">
        <v>2198</v>
      </c>
      <c r="D322" s="12" t="s">
        <v>2199</v>
      </c>
      <c r="E322" s="11" t="s">
        <v>47</v>
      </c>
      <c r="F322" s="13">
        <v>67</v>
      </c>
      <c r="G322" s="20" t="s">
        <v>85</v>
      </c>
      <c r="H322" s="11" t="s">
        <v>48</v>
      </c>
      <c r="I322" s="15" t="s">
        <v>2200</v>
      </c>
      <c r="J322" s="10" t="s">
        <v>2201</v>
      </c>
      <c r="K322" s="11" t="s">
        <v>2202</v>
      </c>
      <c r="L322" s="9" t="s">
        <v>158</v>
      </c>
      <c r="M322" s="10" t="s">
        <v>159</v>
      </c>
      <c r="N322" s="16" t="s">
        <v>75</v>
      </c>
      <c r="O322" s="17" t="s">
        <v>492</v>
      </c>
      <c r="P322" s="17" t="s">
        <v>493</v>
      </c>
      <c r="Q322" s="18" t="s">
        <v>78</v>
      </c>
      <c r="R322" s="18" t="s">
        <v>79</v>
      </c>
      <c r="S322" s="18" t="s">
        <v>61</v>
      </c>
      <c r="T322" s="18" t="s">
        <v>62</v>
      </c>
      <c r="U322" s="19" t="s">
        <v>80</v>
      </c>
    </row>
    <row r="323" spans="1:21" ht="15.75" customHeight="1" x14ac:dyDescent="0.25">
      <c r="A323" s="27" t="s">
        <v>2203</v>
      </c>
      <c r="B323" s="28" t="s">
        <v>2204</v>
      </c>
      <c r="C323" s="29" t="s">
        <v>2205</v>
      </c>
      <c r="D323" s="30" t="s">
        <v>2206</v>
      </c>
      <c r="E323" s="29" t="s">
        <v>47</v>
      </c>
      <c r="F323" s="31">
        <v>115</v>
      </c>
      <c r="G323" s="20" t="s">
        <v>85</v>
      </c>
      <c r="H323" s="29" t="s">
        <v>330</v>
      </c>
      <c r="I323" s="32" t="s">
        <v>2207</v>
      </c>
      <c r="J323" s="28" t="s">
        <v>2208</v>
      </c>
      <c r="K323" s="29" t="s">
        <v>2209</v>
      </c>
      <c r="L323" s="27" t="s">
        <v>158</v>
      </c>
      <c r="M323" s="28" t="s">
        <v>159</v>
      </c>
      <c r="N323" s="33" t="s">
        <v>75</v>
      </c>
      <c r="O323" s="34" t="s">
        <v>382</v>
      </c>
      <c r="P323" s="34" t="s">
        <v>383</v>
      </c>
      <c r="Q323" s="35" t="s">
        <v>78</v>
      </c>
      <c r="R323" s="35" t="s">
        <v>79</v>
      </c>
      <c r="S323" s="35" t="s">
        <v>61</v>
      </c>
      <c r="T323" s="35" t="s">
        <v>62</v>
      </c>
      <c r="U323" s="36" t="s">
        <v>80</v>
      </c>
    </row>
    <row r="324" spans="1:21" ht="15.75" customHeight="1" x14ac:dyDescent="0.25">
      <c r="A324" s="9" t="s">
        <v>2210</v>
      </c>
      <c r="B324" s="10" t="s">
        <v>2211</v>
      </c>
      <c r="C324" s="11" t="s">
        <v>2212</v>
      </c>
      <c r="D324" s="21" t="s">
        <v>109</v>
      </c>
      <c r="E324" s="11" t="s">
        <v>98</v>
      </c>
      <c r="F324" s="11" t="s">
        <v>2213</v>
      </c>
      <c r="G324" s="25" t="s">
        <v>110</v>
      </c>
      <c r="H324" s="11" t="s">
        <v>120</v>
      </c>
      <c r="I324" s="15" t="s">
        <v>2214</v>
      </c>
      <c r="J324" s="10" t="s">
        <v>2215</v>
      </c>
      <c r="K324" s="11" t="s">
        <v>1690</v>
      </c>
      <c r="L324" s="9" t="s">
        <v>90</v>
      </c>
      <c r="M324" s="10" t="s">
        <v>91</v>
      </c>
      <c r="N324" s="22"/>
      <c r="O324" s="17"/>
      <c r="P324" s="17"/>
      <c r="Q324" s="18" t="s">
        <v>78</v>
      </c>
      <c r="R324" s="18" t="s">
        <v>79</v>
      </c>
      <c r="S324" s="18" t="s">
        <v>61</v>
      </c>
      <c r="T324" s="18" t="s">
        <v>62</v>
      </c>
      <c r="U324" s="19" t="s">
        <v>80</v>
      </c>
    </row>
    <row r="325" spans="1:21" ht="15.75" customHeight="1" x14ac:dyDescent="0.25">
      <c r="A325" s="27" t="s">
        <v>2216</v>
      </c>
      <c r="B325" s="28" t="s">
        <v>2217</v>
      </c>
      <c r="C325" s="29" t="s">
        <v>2218</v>
      </c>
      <c r="D325" s="37" t="s">
        <v>109</v>
      </c>
      <c r="E325" s="29" t="s">
        <v>1264</v>
      </c>
      <c r="F325" s="29"/>
      <c r="G325" s="24" t="s">
        <v>85</v>
      </c>
      <c r="H325" s="29" t="s">
        <v>100</v>
      </c>
      <c r="I325" s="32" t="s">
        <v>2219</v>
      </c>
      <c r="J325" s="28" t="s">
        <v>2220</v>
      </c>
      <c r="K325" s="29"/>
      <c r="L325" s="27"/>
      <c r="M325" s="28"/>
      <c r="N325" s="38"/>
      <c r="O325" s="34"/>
      <c r="P325" s="34"/>
      <c r="Q325" s="35" t="s">
        <v>78</v>
      </c>
      <c r="R325" s="35" t="s">
        <v>79</v>
      </c>
      <c r="S325" s="35" t="s">
        <v>61</v>
      </c>
      <c r="T325" s="35" t="s">
        <v>62</v>
      </c>
      <c r="U325" s="36" t="s">
        <v>80</v>
      </c>
    </row>
    <row r="326" spans="1:21" ht="15.75" customHeight="1" x14ac:dyDescent="0.25">
      <c r="A326" s="9" t="s">
        <v>2221</v>
      </c>
      <c r="B326" s="10" t="s">
        <v>2222</v>
      </c>
      <c r="C326" s="11" t="s">
        <v>2223</v>
      </c>
      <c r="D326" s="12" t="s">
        <v>2224</v>
      </c>
      <c r="E326" s="11" t="s">
        <v>98</v>
      </c>
      <c r="F326" s="11" t="s">
        <v>2225</v>
      </c>
      <c r="G326" s="20" t="s">
        <v>85</v>
      </c>
      <c r="H326" s="11" t="s">
        <v>100</v>
      </c>
      <c r="I326" s="15" t="s">
        <v>2226</v>
      </c>
      <c r="J326" s="10" t="s">
        <v>2227</v>
      </c>
      <c r="K326" s="11" t="s">
        <v>2228</v>
      </c>
      <c r="L326" s="9" t="s">
        <v>90</v>
      </c>
      <c r="M326" s="10" t="s">
        <v>91</v>
      </c>
      <c r="N326" s="16" t="s">
        <v>75</v>
      </c>
      <c r="O326" s="17" t="s">
        <v>92</v>
      </c>
      <c r="P326" s="17" t="s">
        <v>93</v>
      </c>
      <c r="Q326" s="18" t="s">
        <v>78</v>
      </c>
      <c r="R326" s="18" t="s">
        <v>79</v>
      </c>
      <c r="S326" s="18" t="s">
        <v>61</v>
      </c>
      <c r="T326" s="18" t="s">
        <v>62</v>
      </c>
      <c r="U326" s="19" t="s">
        <v>80</v>
      </c>
    </row>
    <row r="327" spans="1:21" ht="15.75" customHeight="1" x14ac:dyDescent="0.25">
      <c r="A327" s="27" t="s">
        <v>2229</v>
      </c>
      <c r="B327" s="28" t="s">
        <v>2230</v>
      </c>
      <c r="C327" s="29" t="s">
        <v>2231</v>
      </c>
      <c r="D327" s="37" t="s">
        <v>109</v>
      </c>
      <c r="E327" s="29" t="s">
        <v>98</v>
      </c>
      <c r="F327" s="29"/>
      <c r="G327" s="25" t="s">
        <v>110</v>
      </c>
      <c r="H327" s="29" t="s">
        <v>100</v>
      </c>
      <c r="I327" s="32" t="s">
        <v>2232</v>
      </c>
      <c r="J327" s="28" t="s">
        <v>2233</v>
      </c>
      <c r="K327" s="29" t="s">
        <v>1417</v>
      </c>
      <c r="L327" s="27" t="s">
        <v>90</v>
      </c>
      <c r="M327" s="28" t="s">
        <v>91</v>
      </c>
      <c r="N327" s="38"/>
      <c r="O327" s="34"/>
      <c r="P327" s="34"/>
      <c r="Q327" s="35" t="s">
        <v>78</v>
      </c>
      <c r="R327" s="35" t="s">
        <v>79</v>
      </c>
      <c r="S327" s="35" t="s">
        <v>61</v>
      </c>
      <c r="T327" s="35" t="s">
        <v>62</v>
      </c>
      <c r="U327" s="36" t="s">
        <v>80</v>
      </c>
    </row>
    <row r="328" spans="1:21" ht="15.75" customHeight="1" x14ac:dyDescent="0.25">
      <c r="A328" s="9" t="s">
        <v>2234</v>
      </c>
      <c r="B328" s="10" t="s">
        <v>2235</v>
      </c>
      <c r="C328" s="11" t="s">
        <v>2236</v>
      </c>
      <c r="D328" s="12" t="s">
        <v>655</v>
      </c>
      <c r="E328" s="11" t="s">
        <v>98</v>
      </c>
      <c r="F328" s="11" t="s">
        <v>2237</v>
      </c>
      <c r="G328" s="14" t="s">
        <v>110</v>
      </c>
      <c r="H328" s="11" t="s">
        <v>100</v>
      </c>
      <c r="I328" s="15" t="s">
        <v>2238</v>
      </c>
      <c r="J328" s="10" t="s">
        <v>2239</v>
      </c>
      <c r="K328" s="11" t="s">
        <v>2240</v>
      </c>
      <c r="L328" s="9" t="s">
        <v>481</v>
      </c>
      <c r="M328" s="10" t="s">
        <v>482</v>
      </c>
      <c r="N328" s="23" t="s">
        <v>179</v>
      </c>
      <c r="O328" s="17" t="s">
        <v>869</v>
      </c>
      <c r="P328" s="17" t="s">
        <v>870</v>
      </c>
      <c r="Q328" s="18" t="s">
        <v>78</v>
      </c>
      <c r="R328" s="18" t="s">
        <v>79</v>
      </c>
      <c r="S328" s="18" t="s">
        <v>61</v>
      </c>
      <c r="T328" s="18" t="s">
        <v>62</v>
      </c>
      <c r="U328" s="19" t="s">
        <v>80</v>
      </c>
    </row>
    <row r="329" spans="1:21" ht="15.75" customHeight="1" x14ac:dyDescent="0.25">
      <c r="A329" s="27" t="s">
        <v>2241</v>
      </c>
      <c r="B329" s="28" t="s">
        <v>2242</v>
      </c>
      <c r="C329" s="29" t="s">
        <v>2243</v>
      </c>
      <c r="D329" s="30" t="s">
        <v>1810</v>
      </c>
      <c r="E329" s="29" t="s">
        <v>1264</v>
      </c>
      <c r="F329" s="29"/>
      <c r="G329" s="20" t="s">
        <v>119</v>
      </c>
      <c r="H329" s="29" t="s">
        <v>100</v>
      </c>
      <c r="I329" s="32" t="s">
        <v>2244</v>
      </c>
      <c r="J329" s="28" t="s">
        <v>2245</v>
      </c>
      <c r="K329" s="29"/>
      <c r="L329" s="27"/>
      <c r="M329" s="28"/>
      <c r="N329" s="39" t="s">
        <v>179</v>
      </c>
      <c r="O329" s="34" t="s">
        <v>180</v>
      </c>
      <c r="P329" s="34" t="s">
        <v>181</v>
      </c>
      <c r="Q329" s="35" t="s">
        <v>78</v>
      </c>
      <c r="R329" s="35" t="s">
        <v>79</v>
      </c>
      <c r="S329" s="35" t="s">
        <v>61</v>
      </c>
      <c r="T329" s="35" t="s">
        <v>62</v>
      </c>
      <c r="U329" s="36" t="s">
        <v>80</v>
      </c>
    </row>
    <row r="330" spans="1:21" ht="15.75" customHeight="1" x14ac:dyDescent="0.25">
      <c r="A330" s="9" t="s">
        <v>2246</v>
      </c>
      <c r="B330" s="10" t="s">
        <v>2247</v>
      </c>
      <c r="C330" s="11" t="s">
        <v>2248</v>
      </c>
      <c r="D330" s="21" t="s">
        <v>109</v>
      </c>
      <c r="E330" s="11" t="s">
        <v>98</v>
      </c>
      <c r="F330" s="11" t="s">
        <v>2249</v>
      </c>
      <c r="G330" s="24" t="s">
        <v>85</v>
      </c>
      <c r="H330" s="11" t="s">
        <v>100</v>
      </c>
      <c r="I330" s="15" t="s">
        <v>2250</v>
      </c>
      <c r="J330" s="10" t="s">
        <v>2251</v>
      </c>
      <c r="K330" s="11"/>
      <c r="L330" s="9"/>
      <c r="M330" s="10"/>
      <c r="N330" s="22"/>
      <c r="O330" s="17"/>
      <c r="P330" s="17"/>
      <c r="Q330" s="18" t="s">
        <v>78</v>
      </c>
      <c r="R330" s="18" t="s">
        <v>79</v>
      </c>
      <c r="S330" s="18" t="s">
        <v>61</v>
      </c>
      <c r="T330" s="18" t="s">
        <v>62</v>
      </c>
      <c r="U330" s="19" t="s">
        <v>80</v>
      </c>
    </row>
    <row r="331" spans="1:21" ht="15.75" customHeight="1" x14ac:dyDescent="0.25">
      <c r="A331" s="27" t="s">
        <v>2252</v>
      </c>
      <c r="B331" s="28" t="s">
        <v>2253</v>
      </c>
      <c r="C331" s="29" t="s">
        <v>2254</v>
      </c>
      <c r="D331" s="30" t="s">
        <v>2255</v>
      </c>
      <c r="E331" s="29" t="s">
        <v>1264</v>
      </c>
      <c r="F331" s="31">
        <v>264</v>
      </c>
      <c r="G331" s="25" t="s">
        <v>119</v>
      </c>
      <c r="H331" s="29" t="s">
        <v>129</v>
      </c>
      <c r="I331" s="32" t="s">
        <v>2256</v>
      </c>
      <c r="J331" s="28" t="s">
        <v>2257</v>
      </c>
      <c r="K331" s="29"/>
      <c r="L331" s="27"/>
      <c r="M331" s="28"/>
      <c r="N331" s="33" t="s">
        <v>75</v>
      </c>
      <c r="O331" s="34" t="s">
        <v>2258</v>
      </c>
      <c r="P331" s="34" t="s">
        <v>2258</v>
      </c>
      <c r="Q331" s="35" t="s">
        <v>78</v>
      </c>
      <c r="R331" s="35" t="s">
        <v>79</v>
      </c>
      <c r="S331" s="35" t="s">
        <v>61</v>
      </c>
      <c r="T331" s="35" t="s">
        <v>62</v>
      </c>
      <c r="U331" s="36" t="s">
        <v>80</v>
      </c>
    </row>
    <row r="332" spans="1:21" ht="15.75" customHeight="1" x14ac:dyDescent="0.25">
      <c r="A332" s="9" t="s">
        <v>2259</v>
      </c>
      <c r="B332" s="10" t="s">
        <v>2260</v>
      </c>
      <c r="C332" s="11" t="s">
        <v>2261</v>
      </c>
      <c r="D332" s="12" t="s">
        <v>2262</v>
      </c>
      <c r="E332" s="11" t="s">
        <v>47</v>
      </c>
      <c r="F332" s="13">
        <v>146</v>
      </c>
      <c r="G332" s="20" t="s">
        <v>85</v>
      </c>
      <c r="H332" s="11" t="s">
        <v>330</v>
      </c>
      <c r="I332" s="15" t="s">
        <v>2263</v>
      </c>
      <c r="J332" s="10" t="s">
        <v>2264</v>
      </c>
      <c r="K332" s="11" t="s">
        <v>2265</v>
      </c>
      <c r="L332" s="9" t="s">
        <v>90</v>
      </c>
      <c r="M332" s="10" t="s">
        <v>91</v>
      </c>
      <c r="N332" s="16" t="s">
        <v>75</v>
      </c>
      <c r="O332" s="17" t="s">
        <v>92</v>
      </c>
      <c r="P332" s="17" t="s">
        <v>93</v>
      </c>
      <c r="Q332" s="18" t="s">
        <v>78</v>
      </c>
      <c r="R332" s="18" t="s">
        <v>79</v>
      </c>
      <c r="S332" s="18" t="s">
        <v>61</v>
      </c>
      <c r="T332" s="18" t="s">
        <v>62</v>
      </c>
      <c r="U332" s="19" t="s">
        <v>80</v>
      </c>
    </row>
    <row r="333" spans="1:21" ht="15.75" customHeight="1" x14ac:dyDescent="0.25">
      <c r="A333" s="27" t="s">
        <v>2266</v>
      </c>
      <c r="B333" s="28" t="s">
        <v>2267</v>
      </c>
      <c r="C333" s="29" t="s">
        <v>2268</v>
      </c>
      <c r="D333" s="37" t="s">
        <v>109</v>
      </c>
      <c r="E333" s="29" t="s">
        <v>47</v>
      </c>
      <c r="F333" s="31">
        <v>168</v>
      </c>
      <c r="G333" s="14" t="s">
        <v>119</v>
      </c>
      <c r="H333" s="29" t="s">
        <v>86</v>
      </c>
      <c r="I333" s="32" t="s">
        <v>2269</v>
      </c>
      <c r="J333" s="28" t="s">
        <v>2270</v>
      </c>
      <c r="K333" s="29" t="s">
        <v>2271</v>
      </c>
      <c r="L333" s="27" t="s">
        <v>158</v>
      </c>
      <c r="M333" s="28" t="s">
        <v>159</v>
      </c>
      <c r="N333" s="38"/>
      <c r="O333" s="34"/>
      <c r="P333" s="34"/>
      <c r="Q333" s="35" t="s">
        <v>78</v>
      </c>
      <c r="R333" s="35" t="s">
        <v>79</v>
      </c>
      <c r="S333" s="35" t="s">
        <v>61</v>
      </c>
      <c r="T333" s="35" t="s">
        <v>62</v>
      </c>
      <c r="U333" s="36" t="s">
        <v>80</v>
      </c>
    </row>
    <row r="334" spans="1:21" ht="15.75" customHeight="1" x14ac:dyDescent="0.25">
      <c r="A334" s="9" t="s">
        <v>2272</v>
      </c>
      <c r="B334" s="10" t="s">
        <v>2273</v>
      </c>
      <c r="C334" s="11" t="s">
        <v>2274</v>
      </c>
      <c r="D334" s="21" t="s">
        <v>109</v>
      </c>
      <c r="E334" s="11" t="s">
        <v>98</v>
      </c>
      <c r="F334" s="11" t="s">
        <v>2275</v>
      </c>
      <c r="G334" s="24" t="s">
        <v>85</v>
      </c>
      <c r="H334" s="11" t="s">
        <v>100</v>
      </c>
      <c r="I334" s="15" t="s">
        <v>2276</v>
      </c>
      <c r="J334" s="10" t="s">
        <v>2277</v>
      </c>
      <c r="K334" s="11"/>
      <c r="L334" s="9"/>
      <c r="M334" s="10"/>
      <c r="N334" s="22"/>
      <c r="O334" s="17"/>
      <c r="P334" s="17"/>
      <c r="Q334" s="18" t="s">
        <v>78</v>
      </c>
      <c r="R334" s="18" t="s">
        <v>79</v>
      </c>
      <c r="S334" s="18" t="s">
        <v>61</v>
      </c>
      <c r="T334" s="18" t="s">
        <v>62</v>
      </c>
      <c r="U334" s="19" t="s">
        <v>80</v>
      </c>
    </row>
    <row r="335" spans="1:21" ht="15.75" customHeight="1" x14ac:dyDescent="0.25">
      <c r="A335" s="27" t="s">
        <v>2278</v>
      </c>
      <c r="B335" s="28" t="s">
        <v>2279</v>
      </c>
      <c r="C335" s="29" t="s">
        <v>2274</v>
      </c>
      <c r="D335" s="37" t="s">
        <v>109</v>
      </c>
      <c r="E335" s="29" t="s">
        <v>98</v>
      </c>
      <c r="F335" s="29" t="s">
        <v>2275</v>
      </c>
      <c r="G335" s="24" t="s">
        <v>85</v>
      </c>
      <c r="H335" s="29" t="s">
        <v>120</v>
      </c>
      <c r="I335" s="32" t="s">
        <v>2280</v>
      </c>
      <c r="J335" s="28" t="s">
        <v>2281</v>
      </c>
      <c r="K335" s="29"/>
      <c r="L335" s="27"/>
      <c r="M335" s="28"/>
      <c r="N335" s="38"/>
      <c r="O335" s="34"/>
      <c r="P335" s="34"/>
      <c r="Q335" s="35" t="s">
        <v>78</v>
      </c>
      <c r="R335" s="35" t="s">
        <v>79</v>
      </c>
      <c r="S335" s="35" t="s">
        <v>61</v>
      </c>
      <c r="T335" s="35" t="s">
        <v>62</v>
      </c>
      <c r="U335" s="36" t="s">
        <v>80</v>
      </c>
    </row>
    <row r="336" spans="1:21" ht="15.75" customHeight="1" x14ac:dyDescent="0.25">
      <c r="A336" s="9" t="s">
        <v>2282</v>
      </c>
      <c r="B336" s="10" t="s">
        <v>2283</v>
      </c>
      <c r="C336" s="11" t="s">
        <v>2284</v>
      </c>
      <c r="D336" s="12" t="s">
        <v>2285</v>
      </c>
      <c r="E336" s="11" t="s">
        <v>98</v>
      </c>
      <c r="F336" s="11" t="s">
        <v>1283</v>
      </c>
      <c r="G336" s="20" t="s">
        <v>119</v>
      </c>
      <c r="H336" s="11" t="s">
        <v>100</v>
      </c>
      <c r="I336" s="15" t="s">
        <v>2286</v>
      </c>
      <c r="J336" s="10" t="s">
        <v>2287</v>
      </c>
      <c r="K336" s="11" t="s">
        <v>642</v>
      </c>
      <c r="L336" s="9" t="s">
        <v>90</v>
      </c>
      <c r="M336" s="10" t="s">
        <v>91</v>
      </c>
      <c r="N336" s="16" t="s">
        <v>75</v>
      </c>
      <c r="O336" s="17" t="s">
        <v>124</v>
      </c>
      <c r="P336" s="17" t="s">
        <v>125</v>
      </c>
      <c r="Q336" s="18" t="s">
        <v>78</v>
      </c>
      <c r="R336" s="18" t="s">
        <v>79</v>
      </c>
      <c r="S336" s="18" t="s">
        <v>61</v>
      </c>
      <c r="T336" s="18" t="s">
        <v>62</v>
      </c>
      <c r="U336" s="19" t="s">
        <v>80</v>
      </c>
    </row>
    <row r="337" spans="1:21" ht="15.75" customHeight="1" x14ac:dyDescent="0.25">
      <c r="A337" s="27" t="s">
        <v>2288</v>
      </c>
      <c r="B337" s="28" t="s">
        <v>2289</v>
      </c>
      <c r="C337" s="29" t="s">
        <v>2290</v>
      </c>
      <c r="D337" s="30" t="s">
        <v>193</v>
      </c>
      <c r="E337" s="29"/>
      <c r="F337" s="31">
        <v>4788</v>
      </c>
      <c r="G337" s="20" t="s">
        <v>85</v>
      </c>
      <c r="H337" s="29" t="s">
        <v>129</v>
      </c>
      <c r="I337" s="32" t="s">
        <v>2291</v>
      </c>
      <c r="J337" s="28" t="s">
        <v>2292</v>
      </c>
      <c r="K337" s="29" t="s">
        <v>2293</v>
      </c>
      <c r="L337" s="27" t="s">
        <v>2294</v>
      </c>
      <c r="M337" s="28" t="s">
        <v>2295</v>
      </c>
      <c r="N337" s="33" t="s">
        <v>75</v>
      </c>
      <c r="O337" s="34" t="s">
        <v>517</v>
      </c>
      <c r="P337" s="34" t="s">
        <v>518</v>
      </c>
      <c r="Q337" s="35" t="s">
        <v>78</v>
      </c>
      <c r="R337" s="35" t="s">
        <v>79</v>
      </c>
      <c r="S337" s="35" t="s">
        <v>61</v>
      </c>
      <c r="T337" s="35" t="s">
        <v>62</v>
      </c>
      <c r="U337" s="36" t="s">
        <v>80</v>
      </c>
    </row>
    <row r="338" spans="1:21" ht="15.75" customHeight="1" x14ac:dyDescent="0.25">
      <c r="A338" s="9" t="s">
        <v>2296</v>
      </c>
      <c r="B338" s="10" t="s">
        <v>2297</v>
      </c>
      <c r="C338" s="11" t="s">
        <v>2298</v>
      </c>
      <c r="D338" s="12" t="s">
        <v>193</v>
      </c>
      <c r="E338" s="11" t="s">
        <v>98</v>
      </c>
      <c r="F338" s="13">
        <v>2500</v>
      </c>
      <c r="G338" s="20" t="s">
        <v>85</v>
      </c>
      <c r="H338" s="11" t="s">
        <v>129</v>
      </c>
      <c r="I338" s="15" t="s">
        <v>2299</v>
      </c>
      <c r="J338" s="10" t="s">
        <v>2300</v>
      </c>
      <c r="K338" s="11"/>
      <c r="L338" s="9"/>
      <c r="M338" s="10"/>
      <c r="N338" s="16" t="s">
        <v>75</v>
      </c>
      <c r="O338" s="17" t="s">
        <v>180</v>
      </c>
      <c r="P338" s="17" t="s">
        <v>181</v>
      </c>
      <c r="Q338" s="18" t="s">
        <v>78</v>
      </c>
      <c r="R338" s="18" t="s">
        <v>79</v>
      </c>
      <c r="S338" s="18" t="s">
        <v>61</v>
      </c>
      <c r="T338" s="18" t="s">
        <v>62</v>
      </c>
      <c r="U338" s="19" t="s">
        <v>80</v>
      </c>
    </row>
    <row r="339" spans="1:21" ht="15.75" customHeight="1" x14ac:dyDescent="0.25">
      <c r="A339" s="27" t="s">
        <v>2301</v>
      </c>
      <c r="B339" s="28" t="s">
        <v>2302</v>
      </c>
      <c r="C339" s="29" t="s">
        <v>2303</v>
      </c>
      <c r="D339" s="30" t="s">
        <v>2304</v>
      </c>
      <c r="E339" s="29" t="s">
        <v>47</v>
      </c>
      <c r="F339" s="31">
        <v>251</v>
      </c>
      <c r="G339" s="20" t="s">
        <v>85</v>
      </c>
      <c r="H339" s="29" t="s">
        <v>129</v>
      </c>
      <c r="I339" s="32" t="s">
        <v>2305</v>
      </c>
      <c r="J339" s="28" t="s">
        <v>2306</v>
      </c>
      <c r="K339" s="29" t="s">
        <v>2307</v>
      </c>
      <c r="L339" s="27" t="s">
        <v>90</v>
      </c>
      <c r="M339" s="28" t="s">
        <v>91</v>
      </c>
      <c r="N339" s="33" t="s">
        <v>75</v>
      </c>
      <c r="O339" s="34" t="s">
        <v>92</v>
      </c>
      <c r="P339" s="34" t="s">
        <v>93</v>
      </c>
      <c r="Q339" s="35" t="s">
        <v>78</v>
      </c>
      <c r="R339" s="35" t="s">
        <v>79</v>
      </c>
      <c r="S339" s="35" t="s">
        <v>61</v>
      </c>
      <c r="T339" s="35" t="s">
        <v>62</v>
      </c>
      <c r="U339" s="36" t="s">
        <v>80</v>
      </c>
    </row>
    <row r="340" spans="1:21" ht="15.75" customHeight="1" x14ac:dyDescent="0.25">
      <c r="A340" s="9" t="s">
        <v>2308</v>
      </c>
      <c r="B340" s="10" t="s">
        <v>2309</v>
      </c>
      <c r="C340" s="11" t="s">
        <v>2310</v>
      </c>
      <c r="D340" s="21" t="s">
        <v>109</v>
      </c>
      <c r="E340" s="11" t="s">
        <v>98</v>
      </c>
      <c r="F340" s="13">
        <v>289</v>
      </c>
      <c r="G340" s="24" t="s">
        <v>85</v>
      </c>
      <c r="H340" s="11" t="s">
        <v>129</v>
      </c>
      <c r="I340" s="15" t="s">
        <v>2311</v>
      </c>
      <c r="J340" s="10" t="s">
        <v>2312</v>
      </c>
      <c r="K340" s="11"/>
      <c r="L340" s="9"/>
      <c r="M340" s="10"/>
      <c r="N340" s="22"/>
      <c r="O340" s="17"/>
      <c r="P340" s="17"/>
      <c r="Q340" s="18" t="s">
        <v>78</v>
      </c>
      <c r="R340" s="18" t="s">
        <v>79</v>
      </c>
      <c r="S340" s="18" t="s">
        <v>61</v>
      </c>
      <c r="T340" s="18" t="s">
        <v>62</v>
      </c>
      <c r="U340" s="19" t="s">
        <v>80</v>
      </c>
    </row>
    <row r="341" spans="1:21" ht="15.75" customHeight="1" x14ac:dyDescent="0.25">
      <c r="A341" s="27" t="s">
        <v>2313</v>
      </c>
      <c r="B341" s="28" t="s">
        <v>2314</v>
      </c>
      <c r="C341" s="29" t="s">
        <v>2315</v>
      </c>
      <c r="D341" s="30" t="s">
        <v>2316</v>
      </c>
      <c r="E341" s="29" t="s">
        <v>47</v>
      </c>
      <c r="F341" s="31">
        <v>200</v>
      </c>
      <c r="G341" s="20" t="s">
        <v>85</v>
      </c>
      <c r="H341" s="29" t="s">
        <v>129</v>
      </c>
      <c r="I341" s="32" t="s">
        <v>2317</v>
      </c>
      <c r="J341" s="28" t="s">
        <v>2318</v>
      </c>
      <c r="K341" s="29" t="s">
        <v>2319</v>
      </c>
      <c r="L341" s="27" t="s">
        <v>90</v>
      </c>
      <c r="M341" s="28" t="s">
        <v>91</v>
      </c>
      <c r="N341" s="33" t="s">
        <v>75</v>
      </c>
      <c r="O341" s="34" t="s">
        <v>355</v>
      </c>
      <c r="P341" s="34" t="s">
        <v>356</v>
      </c>
      <c r="Q341" s="35" t="s">
        <v>78</v>
      </c>
      <c r="R341" s="35" t="s">
        <v>79</v>
      </c>
      <c r="S341" s="35" t="s">
        <v>61</v>
      </c>
      <c r="T341" s="35" t="s">
        <v>62</v>
      </c>
      <c r="U341" s="36" t="s">
        <v>80</v>
      </c>
    </row>
    <row r="342" spans="1:21" ht="15.75" customHeight="1" x14ac:dyDescent="0.25">
      <c r="A342" s="9" t="s">
        <v>2320</v>
      </c>
      <c r="B342" s="10" t="s">
        <v>2321</v>
      </c>
      <c r="C342" s="11" t="s">
        <v>2322</v>
      </c>
      <c r="D342" s="12" t="s">
        <v>2323</v>
      </c>
      <c r="E342" s="11" t="s">
        <v>47</v>
      </c>
      <c r="F342" s="13">
        <v>203</v>
      </c>
      <c r="G342" s="20" t="s">
        <v>119</v>
      </c>
      <c r="H342" s="11" t="s">
        <v>129</v>
      </c>
      <c r="I342" s="15" t="s">
        <v>2324</v>
      </c>
      <c r="J342" s="10" t="s">
        <v>2325</v>
      </c>
      <c r="K342" s="11" t="s">
        <v>2319</v>
      </c>
      <c r="L342" s="9" t="s">
        <v>90</v>
      </c>
      <c r="M342" s="10" t="s">
        <v>91</v>
      </c>
      <c r="N342" s="23" t="s">
        <v>179</v>
      </c>
      <c r="O342" s="17" t="s">
        <v>355</v>
      </c>
      <c r="P342" s="17" t="s">
        <v>356</v>
      </c>
      <c r="Q342" s="18" t="s">
        <v>78</v>
      </c>
      <c r="R342" s="18" t="s">
        <v>79</v>
      </c>
      <c r="S342" s="18" t="s">
        <v>61</v>
      </c>
      <c r="T342" s="18" t="s">
        <v>62</v>
      </c>
      <c r="U342" s="19" t="s">
        <v>80</v>
      </c>
    </row>
    <row r="343" spans="1:21" ht="15.75" customHeight="1" x14ac:dyDescent="0.25">
      <c r="A343" s="27" t="s">
        <v>2326</v>
      </c>
      <c r="B343" s="28" t="s">
        <v>2327</v>
      </c>
      <c r="C343" s="29" t="s">
        <v>2328</v>
      </c>
      <c r="D343" s="30" t="s">
        <v>2329</v>
      </c>
      <c r="E343" s="29" t="s">
        <v>98</v>
      </c>
      <c r="F343" s="31">
        <v>200</v>
      </c>
      <c r="G343" s="20" t="s">
        <v>119</v>
      </c>
      <c r="H343" s="29" t="s">
        <v>129</v>
      </c>
      <c r="I343" s="32" t="s">
        <v>2330</v>
      </c>
      <c r="J343" s="28" t="s">
        <v>2331</v>
      </c>
      <c r="K343" s="29" t="s">
        <v>2332</v>
      </c>
      <c r="L343" s="27" t="s">
        <v>90</v>
      </c>
      <c r="M343" s="28" t="s">
        <v>91</v>
      </c>
      <c r="N343" s="33" t="s">
        <v>75</v>
      </c>
      <c r="O343" s="34" t="s">
        <v>124</v>
      </c>
      <c r="P343" s="34" t="s">
        <v>125</v>
      </c>
      <c r="Q343" s="35" t="s">
        <v>78</v>
      </c>
      <c r="R343" s="35" t="s">
        <v>79</v>
      </c>
      <c r="S343" s="35" t="s">
        <v>61</v>
      </c>
      <c r="T343" s="35" t="s">
        <v>62</v>
      </c>
      <c r="U343" s="36" t="s">
        <v>80</v>
      </c>
    </row>
    <row r="344" spans="1:21" ht="15.75" customHeight="1" x14ac:dyDescent="0.25">
      <c r="A344" s="9" t="s">
        <v>2333</v>
      </c>
      <c r="B344" s="10" t="s">
        <v>2334</v>
      </c>
      <c r="C344" s="11" t="s">
        <v>2335</v>
      </c>
      <c r="D344" s="21" t="s">
        <v>109</v>
      </c>
      <c r="E344" s="11" t="s">
        <v>98</v>
      </c>
      <c r="F344" s="13">
        <v>208</v>
      </c>
      <c r="G344" s="24" t="s">
        <v>85</v>
      </c>
      <c r="H344" s="11" t="s">
        <v>129</v>
      </c>
      <c r="I344" s="15" t="s">
        <v>2336</v>
      </c>
      <c r="J344" s="10" t="s">
        <v>2337</v>
      </c>
      <c r="K344" s="11"/>
      <c r="L344" s="9"/>
      <c r="M344" s="10"/>
      <c r="N344" s="22"/>
      <c r="O344" s="17"/>
      <c r="P344" s="17"/>
      <c r="Q344" s="18" t="s">
        <v>78</v>
      </c>
      <c r="R344" s="18" t="s">
        <v>79</v>
      </c>
      <c r="S344" s="18" t="s">
        <v>61</v>
      </c>
      <c r="T344" s="18" t="s">
        <v>62</v>
      </c>
      <c r="U344" s="19" t="s">
        <v>80</v>
      </c>
    </row>
    <row r="345" spans="1:21" ht="15.75" customHeight="1" x14ac:dyDescent="0.25">
      <c r="A345" s="27" t="s">
        <v>2338</v>
      </c>
      <c r="B345" s="28" t="s">
        <v>2339</v>
      </c>
      <c r="C345" s="29" t="s">
        <v>2340</v>
      </c>
      <c r="D345" s="37" t="s">
        <v>109</v>
      </c>
      <c r="E345" s="29" t="s">
        <v>98</v>
      </c>
      <c r="F345" s="31">
        <v>240</v>
      </c>
      <c r="G345" s="24" t="s">
        <v>85</v>
      </c>
      <c r="H345" s="29" t="s">
        <v>129</v>
      </c>
      <c r="I345" s="32" t="s">
        <v>2341</v>
      </c>
      <c r="J345" s="28" t="s">
        <v>2342</v>
      </c>
      <c r="K345" s="29"/>
      <c r="L345" s="27"/>
      <c r="M345" s="28"/>
      <c r="N345" s="38"/>
      <c r="O345" s="34"/>
      <c r="P345" s="34"/>
      <c r="Q345" s="35" t="s">
        <v>78</v>
      </c>
      <c r="R345" s="35" t="s">
        <v>79</v>
      </c>
      <c r="S345" s="35" t="s">
        <v>61</v>
      </c>
      <c r="T345" s="35" t="s">
        <v>62</v>
      </c>
      <c r="U345" s="36" t="s">
        <v>80</v>
      </c>
    </row>
    <row r="346" spans="1:21" ht="15.75" customHeight="1" x14ac:dyDescent="0.25">
      <c r="A346" s="9" t="s">
        <v>2343</v>
      </c>
      <c r="B346" s="10" t="s">
        <v>2344</v>
      </c>
      <c r="C346" s="11" t="s">
        <v>2345</v>
      </c>
      <c r="D346" s="21" t="s">
        <v>109</v>
      </c>
      <c r="E346" s="11" t="s">
        <v>47</v>
      </c>
      <c r="F346" s="13">
        <v>186</v>
      </c>
      <c r="G346" s="25" t="s">
        <v>110</v>
      </c>
      <c r="H346" s="11" t="s">
        <v>86</v>
      </c>
      <c r="I346" s="15" t="s">
        <v>2346</v>
      </c>
      <c r="J346" s="10" t="s">
        <v>2347</v>
      </c>
      <c r="K346" s="11" t="s">
        <v>2348</v>
      </c>
      <c r="L346" s="9" t="s">
        <v>481</v>
      </c>
      <c r="M346" s="10" t="s">
        <v>482</v>
      </c>
      <c r="N346" s="22"/>
      <c r="O346" s="17"/>
      <c r="P346" s="17"/>
      <c r="Q346" s="18" t="s">
        <v>78</v>
      </c>
      <c r="R346" s="18" t="s">
        <v>79</v>
      </c>
      <c r="S346" s="18" t="s">
        <v>61</v>
      </c>
      <c r="T346" s="18" t="s">
        <v>62</v>
      </c>
      <c r="U346" s="19" t="s">
        <v>80</v>
      </c>
    </row>
    <row r="347" spans="1:21" ht="15.75" customHeight="1" x14ac:dyDescent="0.25">
      <c r="A347" s="27" t="s">
        <v>2349</v>
      </c>
      <c r="B347" s="28" t="s">
        <v>2350</v>
      </c>
      <c r="C347" s="29" t="s">
        <v>2351</v>
      </c>
      <c r="D347" s="30" t="s">
        <v>2352</v>
      </c>
      <c r="E347" s="29" t="s">
        <v>47</v>
      </c>
      <c r="F347" s="31">
        <v>72.7</v>
      </c>
      <c r="G347" s="20" t="s">
        <v>85</v>
      </c>
      <c r="H347" s="29" t="s">
        <v>48</v>
      </c>
      <c r="I347" s="32" t="s">
        <v>2353</v>
      </c>
      <c r="J347" s="28" t="s">
        <v>2354</v>
      </c>
      <c r="K347" s="29" t="s">
        <v>2355</v>
      </c>
      <c r="L347" s="27" t="s">
        <v>158</v>
      </c>
      <c r="M347" s="28" t="s">
        <v>159</v>
      </c>
      <c r="N347" s="33" t="s">
        <v>75</v>
      </c>
      <c r="O347" s="34" t="s">
        <v>492</v>
      </c>
      <c r="P347" s="34" t="s">
        <v>493</v>
      </c>
      <c r="Q347" s="35" t="s">
        <v>78</v>
      </c>
      <c r="R347" s="35" t="s">
        <v>79</v>
      </c>
      <c r="S347" s="35" t="s">
        <v>61</v>
      </c>
      <c r="T347" s="35" t="s">
        <v>62</v>
      </c>
      <c r="U347" s="36" t="s">
        <v>80</v>
      </c>
    </row>
    <row r="348" spans="1:21" ht="15.75" customHeight="1" x14ac:dyDescent="0.25">
      <c r="A348" s="9" t="s">
        <v>2356</v>
      </c>
      <c r="B348" s="10" t="s">
        <v>2357</v>
      </c>
      <c r="C348" s="11" t="s">
        <v>2358</v>
      </c>
      <c r="D348" s="21" t="s">
        <v>109</v>
      </c>
      <c r="E348" s="11" t="s">
        <v>1264</v>
      </c>
      <c r="F348" s="11"/>
      <c r="G348" s="25" t="s">
        <v>110</v>
      </c>
      <c r="H348" s="11" t="s">
        <v>100</v>
      </c>
      <c r="I348" s="15" t="s">
        <v>2359</v>
      </c>
      <c r="J348" s="10" t="s">
        <v>2360</v>
      </c>
      <c r="K348" s="11" t="s">
        <v>2361</v>
      </c>
      <c r="L348" s="9" t="s">
        <v>90</v>
      </c>
      <c r="M348" s="10" t="s">
        <v>91</v>
      </c>
      <c r="N348" s="22"/>
      <c r="O348" s="17"/>
      <c r="P348" s="17"/>
      <c r="Q348" s="18" t="s">
        <v>78</v>
      </c>
      <c r="R348" s="18" t="s">
        <v>79</v>
      </c>
      <c r="S348" s="18" t="s">
        <v>61</v>
      </c>
      <c r="T348" s="18" t="s">
        <v>62</v>
      </c>
      <c r="U348" s="19" t="s">
        <v>80</v>
      </c>
    </row>
    <row r="349" spans="1:21" ht="15.75" customHeight="1" x14ac:dyDescent="0.25">
      <c r="A349" s="27" t="s">
        <v>2362</v>
      </c>
      <c r="B349" s="28" t="s">
        <v>2363</v>
      </c>
      <c r="C349" s="29" t="s">
        <v>2364</v>
      </c>
      <c r="D349" s="37" t="s">
        <v>109</v>
      </c>
      <c r="E349" s="29" t="s">
        <v>98</v>
      </c>
      <c r="F349" s="29"/>
      <c r="G349" s="24" t="s">
        <v>85</v>
      </c>
      <c r="H349" s="29" t="s">
        <v>120</v>
      </c>
      <c r="I349" s="32" t="s">
        <v>2365</v>
      </c>
      <c r="J349" s="28" t="s">
        <v>2366</v>
      </c>
      <c r="K349" s="29"/>
      <c r="L349" s="27"/>
      <c r="M349" s="28"/>
      <c r="N349" s="38"/>
      <c r="O349" s="34"/>
      <c r="P349" s="34"/>
      <c r="Q349" s="35" t="s">
        <v>78</v>
      </c>
      <c r="R349" s="35" t="s">
        <v>79</v>
      </c>
      <c r="S349" s="35" t="s">
        <v>61</v>
      </c>
      <c r="T349" s="35" t="s">
        <v>62</v>
      </c>
      <c r="U349" s="36" t="s">
        <v>80</v>
      </c>
    </row>
    <row r="350" spans="1:21" ht="15.75" customHeight="1" x14ac:dyDescent="0.25">
      <c r="A350" s="9" t="s">
        <v>2367</v>
      </c>
      <c r="B350" s="10" t="s">
        <v>2368</v>
      </c>
      <c r="C350" s="11" t="s">
        <v>2369</v>
      </c>
      <c r="D350" s="12" t="s">
        <v>2370</v>
      </c>
      <c r="E350" s="11" t="s">
        <v>1264</v>
      </c>
      <c r="F350" s="11" t="s">
        <v>2237</v>
      </c>
      <c r="G350" s="20" t="s">
        <v>119</v>
      </c>
      <c r="H350" s="11" t="s">
        <v>100</v>
      </c>
      <c r="I350" s="15" t="s">
        <v>2371</v>
      </c>
      <c r="J350" s="10" t="s">
        <v>2372</v>
      </c>
      <c r="K350" s="11" t="s">
        <v>2361</v>
      </c>
      <c r="L350" s="9" t="s">
        <v>90</v>
      </c>
      <c r="M350" s="10" t="s">
        <v>91</v>
      </c>
      <c r="N350" s="23" t="s">
        <v>179</v>
      </c>
      <c r="O350" s="17" t="s">
        <v>355</v>
      </c>
      <c r="P350" s="17" t="s">
        <v>356</v>
      </c>
      <c r="Q350" s="18" t="s">
        <v>78</v>
      </c>
      <c r="R350" s="18" t="s">
        <v>79</v>
      </c>
      <c r="S350" s="18" t="s">
        <v>61</v>
      </c>
      <c r="T350" s="18" t="s">
        <v>62</v>
      </c>
      <c r="U350" s="19" t="s">
        <v>80</v>
      </c>
    </row>
    <row r="351" spans="1:21" ht="15.75" customHeight="1" x14ac:dyDescent="0.25">
      <c r="A351" s="27" t="s">
        <v>2373</v>
      </c>
      <c r="B351" s="28" t="s">
        <v>2374</v>
      </c>
      <c r="C351" s="29" t="s">
        <v>2375</v>
      </c>
      <c r="D351" s="37" t="s">
        <v>109</v>
      </c>
      <c r="E351" s="29" t="s">
        <v>1264</v>
      </c>
      <c r="F351" s="31">
        <v>3000</v>
      </c>
      <c r="G351" s="24" t="s">
        <v>85</v>
      </c>
      <c r="H351" s="29" t="s">
        <v>129</v>
      </c>
      <c r="I351" s="32" t="s">
        <v>2376</v>
      </c>
      <c r="J351" s="28" t="s">
        <v>2377</v>
      </c>
      <c r="K351" s="29"/>
      <c r="L351" s="27"/>
      <c r="M351" s="28"/>
      <c r="N351" s="38"/>
      <c r="O351" s="34"/>
      <c r="P351" s="34"/>
      <c r="Q351" s="35" t="s">
        <v>78</v>
      </c>
      <c r="R351" s="35" t="s">
        <v>79</v>
      </c>
      <c r="S351" s="35" t="s">
        <v>61</v>
      </c>
      <c r="T351" s="35" t="s">
        <v>62</v>
      </c>
      <c r="U351" s="36" t="s">
        <v>80</v>
      </c>
    </row>
    <row r="352" spans="1:21" ht="15.75" customHeight="1" x14ac:dyDescent="0.25">
      <c r="A352" s="9" t="s">
        <v>2378</v>
      </c>
      <c r="B352" s="10" t="s">
        <v>2379</v>
      </c>
      <c r="C352" s="11" t="s">
        <v>1158</v>
      </c>
      <c r="D352" s="12" t="s">
        <v>2380</v>
      </c>
      <c r="E352" s="11" t="s">
        <v>47</v>
      </c>
      <c r="F352" s="13">
        <v>101</v>
      </c>
      <c r="G352" s="20" t="s">
        <v>119</v>
      </c>
      <c r="H352" s="11" t="s">
        <v>330</v>
      </c>
      <c r="I352" s="15" t="s">
        <v>2381</v>
      </c>
      <c r="J352" s="10" t="s">
        <v>2382</v>
      </c>
      <c r="K352" s="11" t="s">
        <v>507</v>
      </c>
      <c r="L352" s="9" t="s">
        <v>90</v>
      </c>
      <c r="M352" s="10" t="s">
        <v>91</v>
      </c>
      <c r="N352" s="16" t="s">
        <v>75</v>
      </c>
      <c r="O352" s="17" t="s">
        <v>483</v>
      </c>
      <c r="P352" s="17" t="s">
        <v>484</v>
      </c>
      <c r="Q352" s="18" t="s">
        <v>78</v>
      </c>
      <c r="R352" s="18" t="s">
        <v>79</v>
      </c>
      <c r="S352" s="18" t="s">
        <v>61</v>
      </c>
      <c r="T352" s="18" t="s">
        <v>62</v>
      </c>
      <c r="U352" s="19" t="s">
        <v>80</v>
      </c>
    </row>
    <row r="353" spans="1:21" ht="15.75" customHeight="1" x14ac:dyDescent="0.25">
      <c r="A353" s="27" t="s">
        <v>2383</v>
      </c>
      <c r="B353" s="28" t="s">
        <v>2384</v>
      </c>
      <c r="C353" s="29" t="s">
        <v>2385</v>
      </c>
      <c r="D353" s="30" t="s">
        <v>2386</v>
      </c>
      <c r="E353" s="29" t="s">
        <v>47</v>
      </c>
      <c r="F353" s="31">
        <v>49</v>
      </c>
      <c r="G353" s="20" t="s">
        <v>119</v>
      </c>
      <c r="H353" s="29" t="s">
        <v>69</v>
      </c>
      <c r="I353" s="32" t="s">
        <v>2387</v>
      </c>
      <c r="J353" s="28" t="s">
        <v>2388</v>
      </c>
      <c r="K353" s="29" t="s">
        <v>2389</v>
      </c>
      <c r="L353" s="27" t="s">
        <v>158</v>
      </c>
      <c r="M353" s="28" t="s">
        <v>159</v>
      </c>
      <c r="N353" s="33" t="s">
        <v>75</v>
      </c>
      <c r="O353" s="34" t="s">
        <v>382</v>
      </c>
      <c r="P353" s="34" t="s">
        <v>383</v>
      </c>
      <c r="Q353" s="35" t="s">
        <v>78</v>
      </c>
      <c r="R353" s="35" t="s">
        <v>79</v>
      </c>
      <c r="S353" s="35" t="s">
        <v>61</v>
      </c>
      <c r="T353" s="35" t="s">
        <v>62</v>
      </c>
      <c r="U353" s="36" t="s">
        <v>80</v>
      </c>
    </row>
    <row r="354" spans="1:21" ht="15.75" customHeight="1" x14ac:dyDescent="0.25">
      <c r="A354" s="9" t="s">
        <v>2390</v>
      </c>
      <c r="B354" s="10" t="s">
        <v>2391</v>
      </c>
      <c r="C354" s="11" t="s">
        <v>2392</v>
      </c>
      <c r="D354" s="12" t="s">
        <v>2393</v>
      </c>
      <c r="E354" s="11" t="s">
        <v>47</v>
      </c>
      <c r="F354" s="13">
        <v>97</v>
      </c>
      <c r="G354" s="20" t="s">
        <v>119</v>
      </c>
      <c r="H354" s="11" t="s">
        <v>48</v>
      </c>
      <c r="I354" s="15" t="s">
        <v>2394</v>
      </c>
      <c r="J354" s="10" t="s">
        <v>2395</v>
      </c>
      <c r="K354" s="11" t="s">
        <v>2396</v>
      </c>
      <c r="L354" s="9" t="s">
        <v>90</v>
      </c>
      <c r="M354" s="10" t="s">
        <v>91</v>
      </c>
      <c r="N354" s="23" t="s">
        <v>179</v>
      </c>
      <c r="O354" s="17" t="s">
        <v>292</v>
      </c>
      <c r="P354" s="17" t="s">
        <v>293</v>
      </c>
      <c r="Q354" s="18" t="s">
        <v>78</v>
      </c>
      <c r="R354" s="18" t="s">
        <v>79</v>
      </c>
      <c r="S354" s="18" t="s">
        <v>61</v>
      </c>
      <c r="T354" s="18" t="s">
        <v>62</v>
      </c>
      <c r="U354" s="19" t="s">
        <v>80</v>
      </c>
    </row>
    <row r="355" spans="1:21" ht="15.75" customHeight="1" x14ac:dyDescent="0.25">
      <c r="A355" s="27" t="s">
        <v>2397</v>
      </c>
      <c r="B355" s="28" t="s">
        <v>2398</v>
      </c>
      <c r="C355" s="29" t="s">
        <v>2399</v>
      </c>
      <c r="D355" s="30" t="s">
        <v>2400</v>
      </c>
      <c r="E355" s="29" t="s">
        <v>47</v>
      </c>
      <c r="F355" s="31">
        <v>35</v>
      </c>
      <c r="G355" s="14" t="s">
        <v>119</v>
      </c>
      <c r="H355" s="29" t="s">
        <v>69</v>
      </c>
      <c r="I355" s="32" t="s">
        <v>2401</v>
      </c>
      <c r="J355" s="28" t="s">
        <v>2402</v>
      </c>
      <c r="K355" s="29" t="s">
        <v>2403</v>
      </c>
      <c r="L355" s="27" t="s">
        <v>158</v>
      </c>
      <c r="M355" s="28" t="s">
        <v>159</v>
      </c>
      <c r="N355" s="33" t="s">
        <v>75</v>
      </c>
      <c r="O355" s="34" t="s">
        <v>712</v>
      </c>
      <c r="P355" s="34" t="s">
        <v>713</v>
      </c>
      <c r="Q355" s="35" t="s">
        <v>78</v>
      </c>
      <c r="R355" s="35" t="s">
        <v>79</v>
      </c>
      <c r="S355" s="35" t="s">
        <v>61</v>
      </c>
      <c r="T355" s="35" t="s">
        <v>62</v>
      </c>
      <c r="U355" s="36" t="s">
        <v>80</v>
      </c>
    </row>
    <row r="356" spans="1:21" ht="15.75" customHeight="1" x14ac:dyDescent="0.25">
      <c r="A356" s="9" t="s">
        <v>2404</v>
      </c>
      <c r="B356" s="10" t="s">
        <v>2405</v>
      </c>
      <c r="C356" s="11" t="s">
        <v>2406</v>
      </c>
      <c r="D356" s="21" t="s">
        <v>109</v>
      </c>
      <c r="E356" s="11" t="s">
        <v>47</v>
      </c>
      <c r="F356" s="13">
        <v>142</v>
      </c>
      <c r="G356" s="14" t="s">
        <v>119</v>
      </c>
      <c r="H356" s="11" t="s">
        <v>330</v>
      </c>
      <c r="I356" s="15" t="s">
        <v>2407</v>
      </c>
      <c r="J356" s="10" t="s">
        <v>2408</v>
      </c>
      <c r="K356" s="11" t="s">
        <v>1547</v>
      </c>
      <c r="L356" s="9" t="s">
        <v>158</v>
      </c>
      <c r="M356" s="10" t="s">
        <v>159</v>
      </c>
      <c r="N356" s="22"/>
      <c r="O356" s="17"/>
      <c r="P356" s="17"/>
      <c r="Q356" s="18" t="s">
        <v>78</v>
      </c>
      <c r="R356" s="18" t="s">
        <v>79</v>
      </c>
      <c r="S356" s="18" t="s">
        <v>61</v>
      </c>
      <c r="T356" s="18" t="s">
        <v>62</v>
      </c>
      <c r="U356" s="19" t="s">
        <v>80</v>
      </c>
    </row>
    <row r="357" spans="1:21" ht="15.75" customHeight="1" x14ac:dyDescent="0.25">
      <c r="A357" s="27" t="s">
        <v>2409</v>
      </c>
      <c r="B357" s="28" t="s">
        <v>2410</v>
      </c>
      <c r="C357" s="29" t="s">
        <v>2411</v>
      </c>
      <c r="D357" s="30" t="s">
        <v>2412</v>
      </c>
      <c r="E357" s="29" t="s">
        <v>98</v>
      </c>
      <c r="F357" s="31">
        <v>1324</v>
      </c>
      <c r="G357" s="25" t="s">
        <v>119</v>
      </c>
      <c r="H357" s="29" t="s">
        <v>129</v>
      </c>
      <c r="I357" s="32" t="s">
        <v>2413</v>
      </c>
      <c r="J357" s="28" t="s">
        <v>2414</v>
      </c>
      <c r="K357" s="29" t="s">
        <v>2415</v>
      </c>
      <c r="L357" s="27" t="s">
        <v>481</v>
      </c>
      <c r="M357" s="28" t="s">
        <v>482</v>
      </c>
      <c r="N357" s="33" t="s">
        <v>75</v>
      </c>
      <c r="O357" s="34" t="s">
        <v>1127</v>
      </c>
      <c r="P357" s="34" t="s">
        <v>1128</v>
      </c>
      <c r="Q357" s="35" t="s">
        <v>78</v>
      </c>
      <c r="R357" s="35" t="s">
        <v>79</v>
      </c>
      <c r="S357" s="35" t="s">
        <v>61</v>
      </c>
      <c r="T357" s="35" t="s">
        <v>62</v>
      </c>
      <c r="U357" s="36" t="s">
        <v>80</v>
      </c>
    </row>
    <row r="358" spans="1:21" ht="15.75" customHeight="1" x14ac:dyDescent="0.25">
      <c r="A358" s="9" t="s">
        <v>2416</v>
      </c>
      <c r="B358" s="10" t="s">
        <v>2417</v>
      </c>
      <c r="C358" s="11" t="s">
        <v>2418</v>
      </c>
      <c r="D358" s="21" t="s">
        <v>109</v>
      </c>
      <c r="E358" s="11"/>
      <c r="F358" s="11"/>
      <c r="G358" s="24" t="s">
        <v>85</v>
      </c>
      <c r="H358" s="11" t="s">
        <v>120</v>
      </c>
      <c r="I358" s="15" t="s">
        <v>2419</v>
      </c>
      <c r="J358" s="10" t="s">
        <v>2420</v>
      </c>
      <c r="K358" s="11"/>
      <c r="L358" s="9"/>
      <c r="M358" s="10"/>
      <c r="N358" s="22"/>
      <c r="O358" s="17"/>
      <c r="P358" s="17"/>
      <c r="Q358" s="18" t="s">
        <v>78</v>
      </c>
      <c r="R358" s="18" t="s">
        <v>79</v>
      </c>
      <c r="S358" s="18" t="s">
        <v>61</v>
      </c>
      <c r="T358" s="18" t="s">
        <v>62</v>
      </c>
      <c r="U358" s="19" t="s">
        <v>80</v>
      </c>
    </row>
    <row r="359" spans="1:21" ht="15.75" customHeight="1" x14ac:dyDescent="0.25">
      <c r="A359" s="27" t="s">
        <v>2421</v>
      </c>
      <c r="B359" s="28" t="s">
        <v>2422</v>
      </c>
      <c r="C359" s="29" t="s">
        <v>2423</v>
      </c>
      <c r="D359" s="37" t="s">
        <v>109</v>
      </c>
      <c r="E359" s="29" t="s">
        <v>98</v>
      </c>
      <c r="F359" s="29" t="s">
        <v>2424</v>
      </c>
      <c r="G359" s="25" t="s">
        <v>110</v>
      </c>
      <c r="H359" s="29" t="s">
        <v>120</v>
      </c>
      <c r="I359" s="32" t="s">
        <v>2425</v>
      </c>
      <c r="J359" s="28" t="s">
        <v>2426</v>
      </c>
      <c r="K359" s="29" t="s">
        <v>2427</v>
      </c>
      <c r="L359" s="27" t="s">
        <v>481</v>
      </c>
      <c r="M359" s="28" t="s">
        <v>482</v>
      </c>
      <c r="N359" s="38"/>
      <c r="O359" s="34"/>
      <c r="P359" s="34"/>
      <c r="Q359" s="35" t="s">
        <v>78</v>
      </c>
      <c r="R359" s="35" t="s">
        <v>79</v>
      </c>
      <c r="S359" s="35" t="s">
        <v>61</v>
      </c>
      <c r="T359" s="35" t="s">
        <v>62</v>
      </c>
      <c r="U359" s="36" t="s">
        <v>80</v>
      </c>
    </row>
    <row r="360" spans="1:21" ht="15.75" customHeight="1" x14ac:dyDescent="0.25">
      <c r="A360" s="9" t="s">
        <v>2428</v>
      </c>
      <c r="B360" s="10" t="s">
        <v>2429</v>
      </c>
      <c r="C360" s="11" t="s">
        <v>2430</v>
      </c>
      <c r="D360" s="12" t="s">
        <v>2412</v>
      </c>
      <c r="E360" s="11" t="s">
        <v>98</v>
      </c>
      <c r="F360" s="13">
        <v>1388</v>
      </c>
      <c r="G360" s="25" t="s">
        <v>119</v>
      </c>
      <c r="H360" s="11" t="s">
        <v>129</v>
      </c>
      <c r="I360" s="15" t="s">
        <v>2431</v>
      </c>
      <c r="J360" s="10" t="s">
        <v>2432</v>
      </c>
      <c r="K360" s="11" t="s">
        <v>2433</v>
      </c>
      <c r="L360" s="9" t="s">
        <v>481</v>
      </c>
      <c r="M360" s="10" t="s">
        <v>482</v>
      </c>
      <c r="N360" s="16" t="s">
        <v>75</v>
      </c>
      <c r="O360" s="17" t="s">
        <v>1127</v>
      </c>
      <c r="P360" s="17" t="s">
        <v>1128</v>
      </c>
      <c r="Q360" s="18" t="s">
        <v>78</v>
      </c>
      <c r="R360" s="18" t="s">
        <v>79</v>
      </c>
      <c r="S360" s="18" t="s">
        <v>61</v>
      </c>
      <c r="T360" s="18" t="s">
        <v>62</v>
      </c>
      <c r="U360" s="19" t="s">
        <v>80</v>
      </c>
    </row>
    <row r="361" spans="1:21" ht="15.75" customHeight="1" x14ac:dyDescent="0.25">
      <c r="A361" s="27" t="s">
        <v>2434</v>
      </c>
      <c r="B361" s="28" t="s">
        <v>2435</v>
      </c>
      <c r="C361" s="29" t="s">
        <v>2436</v>
      </c>
      <c r="D361" s="37" t="s">
        <v>109</v>
      </c>
      <c r="E361" s="29" t="s">
        <v>47</v>
      </c>
      <c r="F361" s="31">
        <v>130</v>
      </c>
      <c r="G361" s="14" t="s">
        <v>119</v>
      </c>
      <c r="H361" s="29" t="s">
        <v>330</v>
      </c>
      <c r="I361" s="32" t="s">
        <v>2437</v>
      </c>
      <c r="J361" s="28" t="s">
        <v>2438</v>
      </c>
      <c r="K361" s="29" t="s">
        <v>2439</v>
      </c>
      <c r="L361" s="27" t="s">
        <v>158</v>
      </c>
      <c r="M361" s="28" t="s">
        <v>159</v>
      </c>
      <c r="N361" s="38"/>
      <c r="O361" s="34"/>
      <c r="P361" s="34"/>
      <c r="Q361" s="35" t="s">
        <v>78</v>
      </c>
      <c r="R361" s="35" t="s">
        <v>79</v>
      </c>
      <c r="S361" s="35" t="s">
        <v>61</v>
      </c>
      <c r="T361" s="35" t="s">
        <v>62</v>
      </c>
      <c r="U361" s="36" t="s">
        <v>80</v>
      </c>
    </row>
    <row r="362" spans="1:21" ht="15.75" customHeight="1" x14ac:dyDescent="0.25">
      <c r="A362" s="9" t="s">
        <v>2440</v>
      </c>
      <c r="B362" s="10" t="s">
        <v>2441</v>
      </c>
      <c r="C362" s="11" t="s">
        <v>2442</v>
      </c>
      <c r="D362" s="12" t="s">
        <v>2443</v>
      </c>
      <c r="E362" s="11" t="s">
        <v>47</v>
      </c>
      <c r="F362" s="11" t="s">
        <v>2444</v>
      </c>
      <c r="G362" s="20" t="s">
        <v>119</v>
      </c>
      <c r="H362" s="11" t="s">
        <v>330</v>
      </c>
      <c r="I362" s="15" t="s">
        <v>2445</v>
      </c>
      <c r="J362" s="10" t="s">
        <v>2446</v>
      </c>
      <c r="K362" s="11" t="s">
        <v>2447</v>
      </c>
      <c r="L362" s="9" t="s">
        <v>481</v>
      </c>
      <c r="M362" s="10" t="s">
        <v>482</v>
      </c>
      <c r="N362" s="16" t="s">
        <v>75</v>
      </c>
      <c r="O362" s="17" t="s">
        <v>1905</v>
      </c>
      <c r="P362" s="17" t="s">
        <v>1906</v>
      </c>
      <c r="Q362" s="18" t="s">
        <v>78</v>
      </c>
      <c r="R362" s="18" t="s">
        <v>79</v>
      </c>
      <c r="S362" s="18" t="s">
        <v>61</v>
      </c>
      <c r="T362" s="18" t="s">
        <v>62</v>
      </c>
      <c r="U362" s="19" t="s">
        <v>80</v>
      </c>
    </row>
    <row r="363" spans="1:21" ht="15.75" customHeight="1" x14ac:dyDescent="0.25">
      <c r="A363" s="27" t="s">
        <v>2448</v>
      </c>
      <c r="B363" s="28" t="s">
        <v>2449</v>
      </c>
      <c r="C363" s="29" t="s">
        <v>2450</v>
      </c>
      <c r="D363" s="30" t="s">
        <v>2451</v>
      </c>
      <c r="E363" s="29" t="s">
        <v>47</v>
      </c>
      <c r="F363" s="31">
        <v>118</v>
      </c>
      <c r="G363" s="20" t="s">
        <v>119</v>
      </c>
      <c r="H363" s="29" t="s">
        <v>330</v>
      </c>
      <c r="I363" s="32" t="s">
        <v>2452</v>
      </c>
      <c r="J363" s="28" t="s">
        <v>2453</v>
      </c>
      <c r="K363" s="29" t="s">
        <v>2454</v>
      </c>
      <c r="L363" s="27" t="s">
        <v>481</v>
      </c>
      <c r="M363" s="28" t="s">
        <v>482</v>
      </c>
      <c r="N363" s="33" t="s">
        <v>75</v>
      </c>
      <c r="O363" s="34" t="s">
        <v>878</v>
      </c>
      <c r="P363" s="34" t="s">
        <v>879</v>
      </c>
      <c r="Q363" s="35" t="s">
        <v>78</v>
      </c>
      <c r="R363" s="35" t="s">
        <v>79</v>
      </c>
      <c r="S363" s="35" t="s">
        <v>61</v>
      </c>
      <c r="T363" s="35" t="s">
        <v>62</v>
      </c>
      <c r="U363" s="36" t="s">
        <v>80</v>
      </c>
    </row>
    <row r="364" spans="1:21" ht="15.75" customHeight="1" x14ac:dyDescent="0.25">
      <c r="A364" s="9" t="s">
        <v>2455</v>
      </c>
      <c r="B364" s="10" t="s">
        <v>2456</v>
      </c>
      <c r="C364" s="11" t="s">
        <v>2457</v>
      </c>
      <c r="D364" s="21" t="s">
        <v>109</v>
      </c>
      <c r="E364" s="11" t="s">
        <v>47</v>
      </c>
      <c r="F364" s="13">
        <v>156</v>
      </c>
      <c r="G364" s="14" t="s">
        <v>119</v>
      </c>
      <c r="H364" s="11" t="s">
        <v>86</v>
      </c>
      <c r="I364" s="15" t="s">
        <v>2458</v>
      </c>
      <c r="J364" s="10" t="s">
        <v>2459</v>
      </c>
      <c r="K364" s="11" t="s">
        <v>2460</v>
      </c>
      <c r="L364" s="9" t="s">
        <v>158</v>
      </c>
      <c r="M364" s="10" t="s">
        <v>159</v>
      </c>
      <c r="N364" s="22"/>
      <c r="O364" s="17"/>
      <c r="P364" s="17"/>
      <c r="Q364" s="18" t="s">
        <v>78</v>
      </c>
      <c r="R364" s="18" t="s">
        <v>79</v>
      </c>
      <c r="S364" s="18" t="s">
        <v>61</v>
      </c>
      <c r="T364" s="18" t="s">
        <v>62</v>
      </c>
      <c r="U364" s="19" t="s">
        <v>80</v>
      </c>
    </row>
    <row r="365" spans="1:21" ht="15.75" customHeight="1" x14ac:dyDescent="0.25">
      <c r="A365" s="27" t="s">
        <v>2461</v>
      </c>
      <c r="B365" s="28" t="s">
        <v>2462</v>
      </c>
      <c r="C365" s="29" t="s">
        <v>2463</v>
      </c>
      <c r="D365" s="37" t="s">
        <v>109</v>
      </c>
      <c r="E365" s="29" t="s">
        <v>47</v>
      </c>
      <c r="F365" s="31">
        <v>76</v>
      </c>
      <c r="G365" s="25" t="s">
        <v>110</v>
      </c>
      <c r="H365" s="29" t="s">
        <v>48</v>
      </c>
      <c r="I365" s="32" t="s">
        <v>2464</v>
      </c>
      <c r="J365" s="28" t="s">
        <v>2465</v>
      </c>
      <c r="K365" s="29" t="s">
        <v>2466</v>
      </c>
      <c r="L365" s="27" t="s">
        <v>481</v>
      </c>
      <c r="M365" s="28" t="s">
        <v>482</v>
      </c>
      <c r="N365" s="38"/>
      <c r="O365" s="34"/>
      <c r="P365" s="34"/>
      <c r="Q365" s="35" t="s">
        <v>78</v>
      </c>
      <c r="R365" s="35" t="s">
        <v>79</v>
      </c>
      <c r="S365" s="35" t="s">
        <v>61</v>
      </c>
      <c r="T365" s="35" t="s">
        <v>62</v>
      </c>
      <c r="U365" s="36" t="s">
        <v>80</v>
      </c>
    </row>
    <row r="366" spans="1:21" ht="15.75" customHeight="1" x14ac:dyDescent="0.25">
      <c r="A366" s="9" t="s">
        <v>2467</v>
      </c>
      <c r="B366" s="10" t="s">
        <v>2468</v>
      </c>
      <c r="C366" s="11" t="s">
        <v>2469</v>
      </c>
      <c r="D366" s="21" t="s">
        <v>109</v>
      </c>
      <c r="E366" s="11" t="s">
        <v>98</v>
      </c>
      <c r="F366" s="13">
        <v>292</v>
      </c>
      <c r="G366" s="24" t="s">
        <v>85</v>
      </c>
      <c r="H366" s="11" t="s">
        <v>129</v>
      </c>
      <c r="I366" s="15" t="s">
        <v>2470</v>
      </c>
      <c r="J366" s="10" t="s">
        <v>2471</v>
      </c>
      <c r="K366" s="11"/>
      <c r="L366" s="9"/>
      <c r="M366" s="10"/>
      <c r="N366" s="22"/>
      <c r="O366" s="17"/>
      <c r="P366" s="17"/>
      <c r="Q366" s="18" t="s">
        <v>78</v>
      </c>
      <c r="R366" s="18" t="s">
        <v>79</v>
      </c>
      <c r="S366" s="18" t="s">
        <v>61</v>
      </c>
      <c r="T366" s="18" t="s">
        <v>62</v>
      </c>
      <c r="U366" s="19" t="s">
        <v>80</v>
      </c>
    </row>
    <row r="367" spans="1:21" ht="15.75" customHeight="1" x14ac:dyDescent="0.25">
      <c r="A367" s="27" t="s">
        <v>2472</v>
      </c>
      <c r="B367" s="28" t="s">
        <v>2473</v>
      </c>
      <c r="C367" s="29" t="s">
        <v>2474</v>
      </c>
      <c r="D367" s="30" t="s">
        <v>2475</v>
      </c>
      <c r="E367" s="29" t="s">
        <v>47</v>
      </c>
      <c r="F367" s="31">
        <v>77</v>
      </c>
      <c r="G367" s="14" t="s">
        <v>708</v>
      </c>
      <c r="H367" s="29" t="s">
        <v>48</v>
      </c>
      <c r="I367" s="32" t="s">
        <v>2476</v>
      </c>
      <c r="J367" s="28" t="s">
        <v>2477</v>
      </c>
      <c r="K367" s="29" t="s">
        <v>2478</v>
      </c>
      <c r="L367" s="27" t="s">
        <v>158</v>
      </c>
      <c r="M367" s="28" t="s">
        <v>159</v>
      </c>
      <c r="N367" s="33" t="s">
        <v>75</v>
      </c>
      <c r="O367" s="34" t="s">
        <v>712</v>
      </c>
      <c r="P367" s="34" t="s">
        <v>713</v>
      </c>
      <c r="Q367" s="35" t="s">
        <v>78</v>
      </c>
      <c r="R367" s="35" t="s">
        <v>79</v>
      </c>
      <c r="S367" s="35" t="s">
        <v>61</v>
      </c>
      <c r="T367" s="35" t="s">
        <v>62</v>
      </c>
      <c r="U367" s="36" t="s">
        <v>80</v>
      </c>
    </row>
    <row r="368" spans="1:21" ht="15.75" customHeight="1" x14ac:dyDescent="0.25">
      <c r="A368" s="9" t="s">
        <v>2479</v>
      </c>
      <c r="B368" s="10" t="s">
        <v>2480</v>
      </c>
      <c r="C368" s="11" t="s">
        <v>2481</v>
      </c>
      <c r="D368" s="21" t="s">
        <v>109</v>
      </c>
      <c r="E368" s="11" t="s">
        <v>47</v>
      </c>
      <c r="F368" s="11" t="s">
        <v>2482</v>
      </c>
      <c r="G368" s="24" t="s">
        <v>85</v>
      </c>
      <c r="H368" s="11" t="s">
        <v>120</v>
      </c>
      <c r="I368" s="15" t="s">
        <v>2483</v>
      </c>
      <c r="J368" s="10" t="s">
        <v>2484</v>
      </c>
      <c r="K368" s="11"/>
      <c r="L368" s="9"/>
      <c r="M368" s="10"/>
      <c r="N368" s="22"/>
      <c r="O368" s="17"/>
      <c r="P368" s="17"/>
      <c r="Q368" s="18" t="s">
        <v>78</v>
      </c>
      <c r="R368" s="18" t="s">
        <v>79</v>
      </c>
      <c r="S368" s="18" t="s">
        <v>61</v>
      </c>
      <c r="T368" s="18" t="s">
        <v>62</v>
      </c>
      <c r="U368" s="19" t="s">
        <v>80</v>
      </c>
    </row>
    <row r="369" spans="1:21" ht="15.75" customHeight="1" x14ac:dyDescent="0.25">
      <c r="A369" s="27" t="s">
        <v>2485</v>
      </c>
      <c r="B369" s="28" t="s">
        <v>2486</v>
      </c>
      <c r="C369" s="29" t="s">
        <v>2487</v>
      </c>
      <c r="D369" s="37" t="s">
        <v>109</v>
      </c>
      <c r="E369" s="29" t="s">
        <v>98</v>
      </c>
      <c r="F369" s="31">
        <v>338</v>
      </c>
      <c r="G369" s="24" t="s">
        <v>85</v>
      </c>
      <c r="H369" s="29" t="s">
        <v>129</v>
      </c>
      <c r="I369" s="32" t="s">
        <v>2488</v>
      </c>
      <c r="J369" s="28" t="s">
        <v>2489</v>
      </c>
      <c r="K369" s="29"/>
      <c r="L369" s="27"/>
      <c r="M369" s="28"/>
      <c r="N369" s="38"/>
      <c r="O369" s="34"/>
      <c r="P369" s="34"/>
      <c r="Q369" s="35" t="s">
        <v>78</v>
      </c>
      <c r="R369" s="35" t="s">
        <v>79</v>
      </c>
      <c r="S369" s="35" t="s">
        <v>61</v>
      </c>
      <c r="T369" s="35" t="s">
        <v>62</v>
      </c>
      <c r="U369" s="36" t="s">
        <v>80</v>
      </c>
    </row>
    <row r="370" spans="1:21" ht="15.75" customHeight="1" x14ac:dyDescent="0.25">
      <c r="A370" s="9" t="s">
        <v>2490</v>
      </c>
      <c r="B370" s="10" t="s">
        <v>2491</v>
      </c>
      <c r="C370" s="11" t="s">
        <v>2492</v>
      </c>
      <c r="D370" s="12" t="s">
        <v>2493</v>
      </c>
      <c r="E370" s="11" t="s">
        <v>98</v>
      </c>
      <c r="F370" s="11" t="s">
        <v>2494</v>
      </c>
      <c r="G370" s="20" t="s">
        <v>85</v>
      </c>
      <c r="H370" s="11" t="s">
        <v>100</v>
      </c>
      <c r="I370" s="15" t="s">
        <v>2495</v>
      </c>
      <c r="J370" s="10" t="s">
        <v>2496</v>
      </c>
      <c r="K370" s="11" t="s">
        <v>332</v>
      </c>
      <c r="L370" s="9" t="s">
        <v>197</v>
      </c>
      <c r="M370" s="10" t="s">
        <v>198</v>
      </c>
      <c r="N370" s="23" t="s">
        <v>179</v>
      </c>
      <c r="O370" s="17" t="s">
        <v>448</v>
      </c>
      <c r="P370" s="17" t="s">
        <v>449</v>
      </c>
      <c r="Q370" s="18" t="s">
        <v>78</v>
      </c>
      <c r="R370" s="18" t="s">
        <v>79</v>
      </c>
      <c r="S370" s="18" t="s">
        <v>61</v>
      </c>
      <c r="T370" s="18" t="s">
        <v>62</v>
      </c>
      <c r="U370" s="19" t="s">
        <v>80</v>
      </c>
    </row>
    <row r="371" spans="1:21" ht="15.75" customHeight="1" x14ac:dyDescent="0.25">
      <c r="A371" s="27" t="s">
        <v>2497</v>
      </c>
      <c r="B371" s="28" t="s">
        <v>2498</v>
      </c>
      <c r="C371" s="29" t="s">
        <v>2499</v>
      </c>
      <c r="D371" s="37" t="s">
        <v>109</v>
      </c>
      <c r="E371" s="29" t="s">
        <v>47</v>
      </c>
      <c r="F371" s="31">
        <v>148</v>
      </c>
      <c r="G371" s="25" t="s">
        <v>110</v>
      </c>
      <c r="H371" s="29" t="s">
        <v>330</v>
      </c>
      <c r="I371" s="32" t="s">
        <v>2500</v>
      </c>
      <c r="J371" s="28" t="s">
        <v>2501</v>
      </c>
      <c r="K371" s="29" t="s">
        <v>2502</v>
      </c>
      <c r="L371" s="27" t="s">
        <v>90</v>
      </c>
      <c r="M371" s="28" t="s">
        <v>91</v>
      </c>
      <c r="N371" s="38"/>
      <c r="O371" s="34"/>
      <c r="P371" s="34"/>
      <c r="Q371" s="35" t="s">
        <v>78</v>
      </c>
      <c r="R371" s="35" t="s">
        <v>79</v>
      </c>
      <c r="S371" s="35" t="s">
        <v>61</v>
      </c>
      <c r="T371" s="35" t="s">
        <v>62</v>
      </c>
      <c r="U371" s="36" t="s">
        <v>80</v>
      </c>
    </row>
    <row r="372" spans="1:21" ht="15.75" customHeight="1" x14ac:dyDescent="0.25">
      <c r="A372" s="9" t="s">
        <v>2503</v>
      </c>
      <c r="B372" s="10" t="s">
        <v>2504</v>
      </c>
      <c r="C372" s="11" t="s">
        <v>2505</v>
      </c>
      <c r="D372" s="21" t="s">
        <v>109</v>
      </c>
      <c r="E372" s="11" t="s">
        <v>98</v>
      </c>
      <c r="F372" s="11"/>
      <c r="G372" s="24" t="s">
        <v>85</v>
      </c>
      <c r="H372" s="11" t="s">
        <v>100</v>
      </c>
      <c r="I372" s="15" t="s">
        <v>2506</v>
      </c>
      <c r="J372" s="10" t="s">
        <v>2507</v>
      </c>
      <c r="K372" s="11"/>
      <c r="L372" s="9"/>
      <c r="M372" s="10"/>
      <c r="N372" s="22"/>
      <c r="O372" s="17"/>
      <c r="P372" s="17"/>
      <c r="Q372" s="18" t="s">
        <v>78</v>
      </c>
      <c r="R372" s="18" t="s">
        <v>79</v>
      </c>
      <c r="S372" s="18" t="s">
        <v>61</v>
      </c>
      <c r="T372" s="18" t="s">
        <v>62</v>
      </c>
      <c r="U372" s="19" t="s">
        <v>80</v>
      </c>
    </row>
    <row r="373" spans="1:21" ht="15.75" customHeight="1" x14ac:dyDescent="0.25">
      <c r="A373" s="27" t="s">
        <v>2508</v>
      </c>
      <c r="B373" s="28" t="s">
        <v>2509</v>
      </c>
      <c r="C373" s="29" t="s">
        <v>2510</v>
      </c>
      <c r="D373" s="37" t="s">
        <v>109</v>
      </c>
      <c r="E373" s="29" t="s">
        <v>47</v>
      </c>
      <c r="F373" s="31">
        <v>78</v>
      </c>
      <c r="G373" s="14" t="s">
        <v>119</v>
      </c>
      <c r="H373" s="29" t="s">
        <v>48</v>
      </c>
      <c r="I373" s="32" t="s">
        <v>2511</v>
      </c>
      <c r="J373" s="28" t="s">
        <v>2512</v>
      </c>
      <c r="K373" s="29" t="s">
        <v>2513</v>
      </c>
      <c r="L373" s="27" t="s">
        <v>158</v>
      </c>
      <c r="M373" s="28" t="s">
        <v>159</v>
      </c>
      <c r="N373" s="38"/>
      <c r="O373" s="34"/>
      <c r="P373" s="34"/>
      <c r="Q373" s="35" t="s">
        <v>78</v>
      </c>
      <c r="R373" s="35" t="s">
        <v>79</v>
      </c>
      <c r="S373" s="35" t="s">
        <v>61</v>
      </c>
      <c r="T373" s="35" t="s">
        <v>62</v>
      </c>
      <c r="U373" s="36" t="s">
        <v>80</v>
      </c>
    </row>
    <row r="374" spans="1:21" ht="15.75" customHeight="1" x14ac:dyDescent="0.25">
      <c r="A374" s="9" t="s">
        <v>2514</v>
      </c>
      <c r="B374" s="10" t="s">
        <v>2515</v>
      </c>
      <c r="C374" s="11" t="s">
        <v>2516</v>
      </c>
      <c r="D374" s="21" t="s">
        <v>109</v>
      </c>
      <c r="E374" s="11" t="s">
        <v>47</v>
      </c>
      <c r="F374" s="13">
        <v>251</v>
      </c>
      <c r="G374" s="25" t="s">
        <v>110</v>
      </c>
      <c r="H374" s="11" t="s">
        <v>129</v>
      </c>
      <c r="I374" s="15" t="s">
        <v>2517</v>
      </c>
      <c r="J374" s="10" t="s">
        <v>2518</v>
      </c>
      <c r="K374" s="11" t="s">
        <v>2519</v>
      </c>
      <c r="L374" s="9" t="s">
        <v>90</v>
      </c>
      <c r="M374" s="10" t="s">
        <v>91</v>
      </c>
      <c r="N374" s="22"/>
      <c r="O374" s="17"/>
      <c r="P374" s="17"/>
      <c r="Q374" s="18" t="s">
        <v>78</v>
      </c>
      <c r="R374" s="18" t="s">
        <v>79</v>
      </c>
      <c r="S374" s="18" t="s">
        <v>61</v>
      </c>
      <c r="T374" s="18" t="s">
        <v>62</v>
      </c>
      <c r="U374" s="19" t="s">
        <v>80</v>
      </c>
    </row>
    <row r="375" spans="1:21" ht="15.75" customHeight="1" x14ac:dyDescent="0.25">
      <c r="A375" s="27" t="s">
        <v>2520</v>
      </c>
      <c r="B375" s="28" t="s">
        <v>2521</v>
      </c>
      <c r="C375" s="29" t="s">
        <v>2522</v>
      </c>
      <c r="D375" s="30" t="s">
        <v>1786</v>
      </c>
      <c r="E375" s="29" t="s">
        <v>98</v>
      </c>
      <c r="F375" s="31">
        <v>319</v>
      </c>
      <c r="G375" s="14" t="s">
        <v>119</v>
      </c>
      <c r="H375" s="29" t="s">
        <v>129</v>
      </c>
      <c r="I375" s="32" t="s">
        <v>2523</v>
      </c>
      <c r="J375" s="28" t="s">
        <v>2524</v>
      </c>
      <c r="K375" s="29"/>
      <c r="L375" s="27"/>
      <c r="M375" s="28"/>
      <c r="N375" s="39" t="s">
        <v>179</v>
      </c>
      <c r="O375" s="34" t="s">
        <v>869</v>
      </c>
      <c r="P375" s="34" t="s">
        <v>870</v>
      </c>
      <c r="Q375" s="35" t="s">
        <v>78</v>
      </c>
      <c r="R375" s="35" t="s">
        <v>79</v>
      </c>
      <c r="S375" s="35" t="s">
        <v>61</v>
      </c>
      <c r="T375" s="35" t="s">
        <v>62</v>
      </c>
      <c r="U375" s="36" t="s">
        <v>80</v>
      </c>
    </row>
    <row r="376" spans="1:21" ht="15.75" customHeight="1" x14ac:dyDescent="0.25">
      <c r="A376" s="9" t="s">
        <v>2525</v>
      </c>
      <c r="B376" s="10" t="s">
        <v>2526</v>
      </c>
      <c r="C376" s="11" t="s">
        <v>2527</v>
      </c>
      <c r="D376" s="12" t="s">
        <v>2528</v>
      </c>
      <c r="E376" s="11" t="s">
        <v>98</v>
      </c>
      <c r="F376" s="11" t="s">
        <v>2529</v>
      </c>
      <c r="G376" s="20" t="s">
        <v>85</v>
      </c>
      <c r="H376" s="11" t="s">
        <v>120</v>
      </c>
      <c r="I376" s="15" t="s">
        <v>2530</v>
      </c>
      <c r="J376" s="10" t="s">
        <v>2531</v>
      </c>
      <c r="K376" s="11" t="s">
        <v>2532</v>
      </c>
      <c r="L376" s="9" t="s">
        <v>90</v>
      </c>
      <c r="M376" s="10" t="s">
        <v>91</v>
      </c>
      <c r="N376" s="16" t="s">
        <v>75</v>
      </c>
      <c r="O376" s="17" t="s">
        <v>92</v>
      </c>
      <c r="P376" s="17" t="s">
        <v>93</v>
      </c>
      <c r="Q376" s="18" t="s">
        <v>78</v>
      </c>
      <c r="R376" s="18" t="s">
        <v>79</v>
      </c>
      <c r="S376" s="18" t="s">
        <v>61</v>
      </c>
      <c r="T376" s="18" t="s">
        <v>62</v>
      </c>
      <c r="U376" s="19" t="s">
        <v>80</v>
      </c>
    </row>
    <row r="377" spans="1:21" ht="15.75" customHeight="1" x14ac:dyDescent="0.25">
      <c r="A377" s="27" t="s">
        <v>2533</v>
      </c>
      <c r="B377" s="28" t="s">
        <v>2534</v>
      </c>
      <c r="C377" s="29" t="s">
        <v>2535</v>
      </c>
      <c r="D377" s="30" t="s">
        <v>2536</v>
      </c>
      <c r="E377" s="29" t="s">
        <v>98</v>
      </c>
      <c r="F377" s="31">
        <v>460</v>
      </c>
      <c r="G377" s="20" t="s">
        <v>85</v>
      </c>
      <c r="H377" s="29" t="s">
        <v>129</v>
      </c>
      <c r="I377" s="32" t="s">
        <v>2537</v>
      </c>
      <c r="J377" s="28" t="s">
        <v>2538</v>
      </c>
      <c r="K377" s="29" t="s">
        <v>2539</v>
      </c>
      <c r="L377" s="27" t="s">
        <v>90</v>
      </c>
      <c r="M377" s="28" t="s">
        <v>91</v>
      </c>
      <c r="N377" s="33" t="s">
        <v>75</v>
      </c>
      <c r="O377" s="34" t="s">
        <v>313</v>
      </c>
      <c r="P377" s="34" t="s">
        <v>314</v>
      </c>
      <c r="Q377" s="35" t="s">
        <v>78</v>
      </c>
      <c r="R377" s="35" t="s">
        <v>79</v>
      </c>
      <c r="S377" s="35" t="s">
        <v>61</v>
      </c>
      <c r="T377" s="35" t="s">
        <v>62</v>
      </c>
      <c r="U377" s="36" t="s">
        <v>80</v>
      </c>
    </row>
    <row r="378" spans="1:21" ht="15.75" customHeight="1" x14ac:dyDescent="0.25">
      <c r="A378" s="9" t="s">
        <v>2540</v>
      </c>
      <c r="B378" s="10" t="s">
        <v>2541</v>
      </c>
      <c r="C378" s="11" t="s">
        <v>2542</v>
      </c>
      <c r="D378" s="21" t="s">
        <v>109</v>
      </c>
      <c r="E378" s="11" t="s">
        <v>98</v>
      </c>
      <c r="F378" s="11"/>
      <c r="G378" s="24" t="s">
        <v>85</v>
      </c>
      <c r="H378" s="11" t="s">
        <v>100</v>
      </c>
      <c r="I378" s="15" t="s">
        <v>2543</v>
      </c>
      <c r="J378" s="10" t="s">
        <v>2544</v>
      </c>
      <c r="K378" s="11"/>
      <c r="L378" s="9"/>
      <c r="M378" s="10"/>
      <c r="N378" s="22"/>
      <c r="O378" s="17"/>
      <c r="P378" s="17"/>
      <c r="Q378" s="18" t="s">
        <v>78</v>
      </c>
      <c r="R378" s="18" t="s">
        <v>79</v>
      </c>
      <c r="S378" s="18" t="s">
        <v>61</v>
      </c>
      <c r="T378" s="18" t="s">
        <v>62</v>
      </c>
      <c r="U378" s="19" t="s">
        <v>80</v>
      </c>
    </row>
    <row r="379" spans="1:21" ht="15.75" customHeight="1" x14ac:dyDescent="0.25">
      <c r="A379" s="27" t="s">
        <v>2545</v>
      </c>
      <c r="B379" s="28" t="s">
        <v>2546</v>
      </c>
      <c r="C379" s="29" t="s">
        <v>2547</v>
      </c>
      <c r="D379" s="37" t="s">
        <v>109</v>
      </c>
      <c r="E379" s="29" t="s">
        <v>1264</v>
      </c>
      <c r="F379" s="29" t="s">
        <v>99</v>
      </c>
      <c r="G379" s="14" t="s">
        <v>119</v>
      </c>
      <c r="H379" s="29" t="s">
        <v>100</v>
      </c>
      <c r="I379" s="32" t="s">
        <v>2548</v>
      </c>
      <c r="J379" s="28" t="s">
        <v>2549</v>
      </c>
      <c r="K379" s="29" t="s">
        <v>2550</v>
      </c>
      <c r="L379" s="27" t="s">
        <v>1698</v>
      </c>
      <c r="M379" s="28" t="s">
        <v>1699</v>
      </c>
      <c r="N379" s="38"/>
      <c r="O379" s="34"/>
      <c r="P379" s="34"/>
      <c r="Q379" s="35" t="s">
        <v>78</v>
      </c>
      <c r="R379" s="35" t="s">
        <v>79</v>
      </c>
      <c r="S379" s="35" t="s">
        <v>61</v>
      </c>
      <c r="T379" s="35" t="s">
        <v>62</v>
      </c>
      <c r="U379" s="36" t="s">
        <v>80</v>
      </c>
    </row>
    <row r="380" spans="1:21" ht="15.75" customHeight="1" x14ac:dyDescent="0.25">
      <c r="A380" s="9" t="s">
        <v>2551</v>
      </c>
      <c r="B380" s="10" t="s">
        <v>2552</v>
      </c>
      <c r="C380" s="11" t="s">
        <v>2553</v>
      </c>
      <c r="D380" s="21" t="s">
        <v>109</v>
      </c>
      <c r="E380" s="11" t="s">
        <v>1264</v>
      </c>
      <c r="F380" s="11" t="s">
        <v>2554</v>
      </c>
      <c r="G380" s="14" t="s">
        <v>119</v>
      </c>
      <c r="H380" s="11" t="s">
        <v>100</v>
      </c>
      <c r="I380" s="15" t="s">
        <v>2555</v>
      </c>
      <c r="J380" s="10" t="s">
        <v>2556</v>
      </c>
      <c r="K380" s="11" t="s">
        <v>2557</v>
      </c>
      <c r="L380" s="9" t="s">
        <v>1203</v>
      </c>
      <c r="M380" s="10" t="s">
        <v>1204</v>
      </c>
      <c r="N380" s="22"/>
      <c r="O380" s="17"/>
      <c r="P380" s="17"/>
      <c r="Q380" s="18" t="s">
        <v>78</v>
      </c>
      <c r="R380" s="18" t="s">
        <v>79</v>
      </c>
      <c r="S380" s="18" t="s">
        <v>61</v>
      </c>
      <c r="T380" s="18" t="s">
        <v>62</v>
      </c>
      <c r="U380" s="19" t="s">
        <v>80</v>
      </c>
    </row>
    <row r="381" spans="1:21" ht="15.75" customHeight="1" x14ac:dyDescent="0.25">
      <c r="A381" s="27" t="s">
        <v>2558</v>
      </c>
      <c r="B381" s="28" t="s">
        <v>2559</v>
      </c>
      <c r="C381" s="29" t="s">
        <v>2560</v>
      </c>
      <c r="D381" s="30" t="s">
        <v>2561</v>
      </c>
      <c r="E381" s="29" t="s">
        <v>98</v>
      </c>
      <c r="F381" s="29" t="s">
        <v>99</v>
      </c>
      <c r="G381" s="20" t="s">
        <v>85</v>
      </c>
      <c r="H381" s="29" t="s">
        <v>100</v>
      </c>
      <c r="I381" s="32" t="s">
        <v>2562</v>
      </c>
      <c r="J381" s="28" t="s">
        <v>2563</v>
      </c>
      <c r="K381" s="29" t="s">
        <v>332</v>
      </c>
      <c r="L381" s="27" t="s">
        <v>197</v>
      </c>
      <c r="M381" s="28" t="s">
        <v>198</v>
      </c>
      <c r="N381" s="33" t="s">
        <v>75</v>
      </c>
      <c r="O381" s="34" t="s">
        <v>355</v>
      </c>
      <c r="P381" s="34" t="s">
        <v>356</v>
      </c>
      <c r="Q381" s="35" t="s">
        <v>78</v>
      </c>
      <c r="R381" s="35" t="s">
        <v>79</v>
      </c>
      <c r="S381" s="35" t="s">
        <v>61</v>
      </c>
      <c r="T381" s="35" t="s">
        <v>62</v>
      </c>
      <c r="U381" s="36" t="s">
        <v>80</v>
      </c>
    </row>
    <row r="382" spans="1:21" ht="15.75" customHeight="1" x14ac:dyDescent="0.25">
      <c r="A382" s="9" t="s">
        <v>2564</v>
      </c>
      <c r="B382" s="10" t="s">
        <v>2565</v>
      </c>
      <c r="C382" s="11" t="s">
        <v>2566</v>
      </c>
      <c r="D382" s="12" t="s">
        <v>2567</v>
      </c>
      <c r="E382" s="11" t="s">
        <v>98</v>
      </c>
      <c r="F382" s="11"/>
      <c r="G382" s="20" t="s">
        <v>119</v>
      </c>
      <c r="H382" s="11" t="s">
        <v>100</v>
      </c>
      <c r="I382" s="15" t="s">
        <v>2568</v>
      </c>
      <c r="J382" s="10" t="s">
        <v>2569</v>
      </c>
      <c r="K382" s="11" t="s">
        <v>1286</v>
      </c>
      <c r="L382" s="9" t="s">
        <v>90</v>
      </c>
      <c r="M382" s="10" t="s">
        <v>91</v>
      </c>
      <c r="N382" s="16" t="s">
        <v>75</v>
      </c>
      <c r="O382" s="17" t="s">
        <v>1020</v>
      </c>
      <c r="P382" s="17" t="s">
        <v>1021</v>
      </c>
      <c r="Q382" s="18" t="s">
        <v>78</v>
      </c>
      <c r="R382" s="18" t="s">
        <v>79</v>
      </c>
      <c r="S382" s="18" t="s">
        <v>61</v>
      </c>
      <c r="T382" s="18" t="s">
        <v>62</v>
      </c>
      <c r="U382" s="19" t="s">
        <v>80</v>
      </c>
    </row>
    <row r="383" spans="1:21" ht="15.75" customHeight="1" x14ac:dyDescent="0.25">
      <c r="A383" s="27" t="s">
        <v>2570</v>
      </c>
      <c r="B383" s="28" t="s">
        <v>2571</v>
      </c>
      <c r="C383" s="29" t="s">
        <v>2572</v>
      </c>
      <c r="D383" s="30" t="s">
        <v>1810</v>
      </c>
      <c r="E383" s="29" t="s">
        <v>1264</v>
      </c>
      <c r="F383" s="29"/>
      <c r="G383" s="20" t="s">
        <v>119</v>
      </c>
      <c r="H383" s="29" t="s">
        <v>100</v>
      </c>
      <c r="I383" s="32" t="s">
        <v>2573</v>
      </c>
      <c r="J383" s="28" t="s">
        <v>2574</v>
      </c>
      <c r="K383" s="29"/>
      <c r="L383" s="27"/>
      <c r="M383" s="28"/>
      <c r="N383" s="33" t="s">
        <v>75</v>
      </c>
      <c r="O383" s="34" t="s">
        <v>180</v>
      </c>
      <c r="P383" s="34" t="s">
        <v>181</v>
      </c>
      <c r="Q383" s="35" t="s">
        <v>78</v>
      </c>
      <c r="R383" s="35" t="s">
        <v>79</v>
      </c>
      <c r="S383" s="35" t="s">
        <v>61</v>
      </c>
      <c r="T383" s="35" t="s">
        <v>62</v>
      </c>
      <c r="U383" s="36" t="s">
        <v>80</v>
      </c>
    </row>
    <row r="384" spans="1:21" ht="15.75" customHeight="1" x14ac:dyDescent="0.25">
      <c r="A384" s="9" t="s">
        <v>2575</v>
      </c>
      <c r="B384" s="10" t="s">
        <v>2576</v>
      </c>
      <c r="C384" s="11" t="s">
        <v>2577</v>
      </c>
      <c r="D384" s="12" t="s">
        <v>2578</v>
      </c>
      <c r="E384" s="11" t="s">
        <v>98</v>
      </c>
      <c r="F384" s="11" t="s">
        <v>2579</v>
      </c>
      <c r="G384" s="20" t="s">
        <v>85</v>
      </c>
      <c r="H384" s="11" t="s">
        <v>120</v>
      </c>
      <c r="I384" s="15" t="s">
        <v>2580</v>
      </c>
      <c r="J384" s="10" t="s">
        <v>2581</v>
      </c>
      <c r="K384" s="11" t="s">
        <v>332</v>
      </c>
      <c r="L384" s="9" t="s">
        <v>197</v>
      </c>
      <c r="M384" s="10" t="s">
        <v>198</v>
      </c>
      <c r="N384" s="16" t="s">
        <v>75</v>
      </c>
      <c r="O384" s="17" t="s">
        <v>104</v>
      </c>
      <c r="P384" s="17" t="s">
        <v>105</v>
      </c>
      <c r="Q384" s="18" t="s">
        <v>78</v>
      </c>
      <c r="R384" s="18" t="s">
        <v>79</v>
      </c>
      <c r="S384" s="18" t="s">
        <v>61</v>
      </c>
      <c r="T384" s="18" t="s">
        <v>62</v>
      </c>
      <c r="U384" s="19" t="s">
        <v>80</v>
      </c>
    </row>
    <row r="385" spans="1:21" ht="15.75" customHeight="1" x14ac:dyDescent="0.25">
      <c r="A385" s="27" t="s">
        <v>2582</v>
      </c>
      <c r="B385" s="28" t="s">
        <v>2583</v>
      </c>
      <c r="C385" s="29" t="s">
        <v>2584</v>
      </c>
      <c r="D385" s="37" t="s">
        <v>109</v>
      </c>
      <c r="E385" s="29" t="s">
        <v>98</v>
      </c>
      <c r="F385" s="29"/>
      <c r="G385" s="25" t="s">
        <v>110</v>
      </c>
      <c r="H385" s="29" t="s">
        <v>120</v>
      </c>
      <c r="I385" s="32" t="s">
        <v>2585</v>
      </c>
      <c r="J385" s="28" t="s">
        <v>2586</v>
      </c>
      <c r="K385" s="29" t="s">
        <v>2587</v>
      </c>
      <c r="L385" s="27" t="s">
        <v>90</v>
      </c>
      <c r="M385" s="28" t="s">
        <v>91</v>
      </c>
      <c r="N385" s="38"/>
      <c r="O385" s="34"/>
      <c r="P385" s="34"/>
      <c r="Q385" s="35" t="s">
        <v>78</v>
      </c>
      <c r="R385" s="35" t="s">
        <v>79</v>
      </c>
      <c r="S385" s="35" t="s">
        <v>61</v>
      </c>
      <c r="T385" s="35" t="s">
        <v>62</v>
      </c>
      <c r="U385" s="36" t="s">
        <v>80</v>
      </c>
    </row>
    <row r="386" spans="1:21" ht="15.75" customHeight="1" x14ac:dyDescent="0.25">
      <c r="A386" s="9" t="s">
        <v>2588</v>
      </c>
      <c r="B386" s="10" t="s">
        <v>2589</v>
      </c>
      <c r="C386" s="11" t="s">
        <v>2590</v>
      </c>
      <c r="D386" s="12" t="s">
        <v>2591</v>
      </c>
      <c r="E386" s="11" t="s">
        <v>98</v>
      </c>
      <c r="F386" s="11"/>
      <c r="G386" s="25" t="s">
        <v>119</v>
      </c>
      <c r="H386" s="11" t="s">
        <v>120</v>
      </c>
      <c r="I386" s="15" t="s">
        <v>2592</v>
      </c>
      <c r="J386" s="10" t="s">
        <v>2593</v>
      </c>
      <c r="K386" s="11"/>
      <c r="L386" s="9"/>
      <c r="M386" s="10"/>
      <c r="N386" s="16" t="s">
        <v>75</v>
      </c>
      <c r="O386" s="17" t="s">
        <v>2594</v>
      </c>
      <c r="P386" s="17" t="s">
        <v>2595</v>
      </c>
      <c r="Q386" s="18" t="s">
        <v>78</v>
      </c>
      <c r="R386" s="18" t="s">
        <v>79</v>
      </c>
      <c r="S386" s="18" t="s">
        <v>61</v>
      </c>
      <c r="T386" s="18" t="s">
        <v>62</v>
      </c>
      <c r="U386" s="19" t="s">
        <v>80</v>
      </c>
    </row>
    <row r="387" spans="1:21" ht="15.75" customHeight="1" x14ac:dyDescent="0.25">
      <c r="A387" s="27" t="s">
        <v>2596</v>
      </c>
      <c r="B387" s="28" t="s">
        <v>2597</v>
      </c>
      <c r="C387" s="29" t="s">
        <v>2598</v>
      </c>
      <c r="D387" s="37" t="s">
        <v>109</v>
      </c>
      <c r="E387" s="29" t="s">
        <v>47</v>
      </c>
      <c r="F387" s="31">
        <v>174</v>
      </c>
      <c r="G387" s="14" t="s">
        <v>119</v>
      </c>
      <c r="H387" s="29" t="s">
        <v>86</v>
      </c>
      <c r="I387" s="32" t="s">
        <v>2599</v>
      </c>
      <c r="J387" s="28" t="s">
        <v>2597</v>
      </c>
      <c r="K387" s="29" t="s">
        <v>903</v>
      </c>
      <c r="L387" s="27" t="s">
        <v>158</v>
      </c>
      <c r="M387" s="28" t="s">
        <v>159</v>
      </c>
      <c r="N387" s="38"/>
      <c r="O387" s="34"/>
      <c r="P387" s="34"/>
      <c r="Q387" s="35" t="s">
        <v>78</v>
      </c>
      <c r="R387" s="35" t="s">
        <v>79</v>
      </c>
      <c r="S387" s="35" t="s">
        <v>61</v>
      </c>
      <c r="T387" s="35" t="s">
        <v>62</v>
      </c>
      <c r="U387" s="36" t="s">
        <v>80</v>
      </c>
    </row>
    <row r="388" spans="1:21" ht="15.75" customHeight="1" x14ac:dyDescent="0.25">
      <c r="A388" s="9" t="s">
        <v>2600</v>
      </c>
      <c r="B388" s="10" t="s">
        <v>2601</v>
      </c>
      <c r="C388" s="11" t="s">
        <v>2602</v>
      </c>
      <c r="D388" s="12" t="s">
        <v>2603</v>
      </c>
      <c r="E388" s="11" t="s">
        <v>98</v>
      </c>
      <c r="F388" s="13">
        <v>305</v>
      </c>
      <c r="G388" s="20" t="s">
        <v>119</v>
      </c>
      <c r="H388" s="11" t="s">
        <v>129</v>
      </c>
      <c r="I388" s="15" t="s">
        <v>2604</v>
      </c>
      <c r="J388" s="10" t="s">
        <v>2605</v>
      </c>
      <c r="K388" s="11"/>
      <c r="L388" s="9"/>
      <c r="M388" s="10"/>
      <c r="N388" s="23" t="s">
        <v>179</v>
      </c>
      <c r="O388" s="17" t="s">
        <v>180</v>
      </c>
      <c r="P388" s="17" t="s">
        <v>181</v>
      </c>
      <c r="Q388" s="18" t="s">
        <v>78</v>
      </c>
      <c r="R388" s="18" t="s">
        <v>79</v>
      </c>
      <c r="S388" s="18" t="s">
        <v>61</v>
      </c>
      <c r="T388" s="18" t="s">
        <v>62</v>
      </c>
      <c r="U388" s="19" t="s">
        <v>80</v>
      </c>
    </row>
    <row r="389" spans="1:21" ht="15.75" customHeight="1" x14ac:dyDescent="0.25">
      <c r="A389" s="27" t="s">
        <v>2606</v>
      </c>
      <c r="B389" s="28" t="s">
        <v>2607</v>
      </c>
      <c r="C389" s="29" t="s">
        <v>2608</v>
      </c>
      <c r="D389" s="37" t="s">
        <v>109</v>
      </c>
      <c r="E389" s="29" t="s">
        <v>47</v>
      </c>
      <c r="F389" s="31">
        <v>324</v>
      </c>
      <c r="G389" s="24" t="s">
        <v>85</v>
      </c>
      <c r="H389" s="29" t="s">
        <v>129</v>
      </c>
      <c r="I389" s="32" t="s">
        <v>2609</v>
      </c>
      <c r="J389" s="28" t="s">
        <v>2610</v>
      </c>
      <c r="K389" s="29"/>
      <c r="L389" s="27"/>
      <c r="M389" s="28"/>
      <c r="N389" s="38"/>
      <c r="O389" s="34"/>
      <c r="P389" s="34"/>
      <c r="Q389" s="35" t="s">
        <v>78</v>
      </c>
      <c r="R389" s="35" t="s">
        <v>79</v>
      </c>
      <c r="S389" s="35" t="s">
        <v>61</v>
      </c>
      <c r="T389" s="35" t="s">
        <v>62</v>
      </c>
      <c r="U389" s="36" t="s">
        <v>80</v>
      </c>
    </row>
    <row r="390" spans="1:21" ht="15.75" customHeight="1" x14ac:dyDescent="0.25">
      <c r="A390" s="9" t="s">
        <v>2611</v>
      </c>
      <c r="B390" s="10" t="s">
        <v>2612</v>
      </c>
      <c r="C390" s="11" t="s">
        <v>2613</v>
      </c>
      <c r="D390" s="21" t="s">
        <v>109</v>
      </c>
      <c r="E390" s="11" t="s">
        <v>98</v>
      </c>
      <c r="F390" s="11"/>
      <c r="G390" s="25" t="s">
        <v>110</v>
      </c>
      <c r="H390" s="11" t="s">
        <v>100</v>
      </c>
      <c r="I390" s="15" t="s">
        <v>2614</v>
      </c>
      <c r="J390" s="10" t="s">
        <v>2615</v>
      </c>
      <c r="K390" s="11" t="s">
        <v>2616</v>
      </c>
      <c r="L390" s="9" t="s">
        <v>90</v>
      </c>
      <c r="M390" s="10" t="s">
        <v>91</v>
      </c>
      <c r="N390" s="22"/>
      <c r="O390" s="17"/>
      <c r="P390" s="17"/>
      <c r="Q390" s="18" t="s">
        <v>78</v>
      </c>
      <c r="R390" s="18" t="s">
        <v>79</v>
      </c>
      <c r="S390" s="18" t="s">
        <v>61</v>
      </c>
      <c r="T390" s="18" t="s">
        <v>62</v>
      </c>
      <c r="U390" s="19" t="s">
        <v>80</v>
      </c>
    </row>
    <row r="391" spans="1:21" ht="15.75" customHeight="1" x14ac:dyDescent="0.25">
      <c r="A391" s="27" t="s">
        <v>2617</v>
      </c>
      <c r="B391" s="28" t="s">
        <v>2618</v>
      </c>
      <c r="C391" s="29" t="s">
        <v>2619</v>
      </c>
      <c r="D391" s="30" t="s">
        <v>2620</v>
      </c>
      <c r="E391" s="29" t="s">
        <v>47</v>
      </c>
      <c r="F391" s="31">
        <v>68</v>
      </c>
      <c r="G391" s="20" t="s">
        <v>119</v>
      </c>
      <c r="H391" s="29" t="s">
        <v>48</v>
      </c>
      <c r="I391" s="32" t="s">
        <v>2621</v>
      </c>
      <c r="J391" s="28" t="s">
        <v>2622</v>
      </c>
      <c r="K391" s="29" t="s">
        <v>2623</v>
      </c>
      <c r="L391" s="27" t="s">
        <v>90</v>
      </c>
      <c r="M391" s="28" t="s">
        <v>91</v>
      </c>
      <c r="N391" s="39" t="s">
        <v>179</v>
      </c>
      <c r="O391" s="34" t="s">
        <v>292</v>
      </c>
      <c r="P391" s="34" t="s">
        <v>293</v>
      </c>
      <c r="Q391" s="35" t="s">
        <v>78</v>
      </c>
      <c r="R391" s="35" t="s">
        <v>79</v>
      </c>
      <c r="S391" s="35" t="s">
        <v>61</v>
      </c>
      <c r="T391" s="35" t="s">
        <v>62</v>
      </c>
      <c r="U391" s="36" t="s">
        <v>80</v>
      </c>
    </row>
    <row r="392" spans="1:21" ht="15.75" customHeight="1" x14ac:dyDescent="0.25">
      <c r="A392" s="9" t="s">
        <v>2624</v>
      </c>
      <c r="B392" s="10" t="s">
        <v>2625</v>
      </c>
      <c r="C392" s="11" t="s">
        <v>2626</v>
      </c>
      <c r="D392" s="12" t="s">
        <v>2627</v>
      </c>
      <c r="E392" s="11" t="s">
        <v>47</v>
      </c>
      <c r="F392" s="13">
        <v>90</v>
      </c>
      <c r="G392" s="20" t="s">
        <v>85</v>
      </c>
      <c r="H392" s="11" t="s">
        <v>48</v>
      </c>
      <c r="I392" s="15" t="s">
        <v>2628</v>
      </c>
      <c r="J392" s="10" t="s">
        <v>2629</v>
      </c>
      <c r="K392" s="11"/>
      <c r="L392" s="9"/>
      <c r="M392" s="10"/>
      <c r="N392" s="23" t="s">
        <v>179</v>
      </c>
      <c r="O392" s="17" t="s">
        <v>292</v>
      </c>
      <c r="P392" s="17" t="s">
        <v>293</v>
      </c>
      <c r="Q392" s="18" t="s">
        <v>78</v>
      </c>
      <c r="R392" s="18" t="s">
        <v>79</v>
      </c>
      <c r="S392" s="18" t="s">
        <v>61</v>
      </c>
      <c r="T392" s="18" t="s">
        <v>62</v>
      </c>
      <c r="U392" s="19" t="s">
        <v>80</v>
      </c>
    </row>
    <row r="393" spans="1:21" ht="15.75" customHeight="1" x14ac:dyDescent="0.25">
      <c r="A393" s="27" t="s">
        <v>2630</v>
      </c>
      <c r="B393" s="28" t="s">
        <v>2631</v>
      </c>
      <c r="C393" s="29" t="s">
        <v>2632</v>
      </c>
      <c r="D393" s="30" t="s">
        <v>2633</v>
      </c>
      <c r="E393" s="29" t="s">
        <v>47</v>
      </c>
      <c r="F393" s="31">
        <v>194</v>
      </c>
      <c r="G393" s="20" t="s">
        <v>119</v>
      </c>
      <c r="H393" s="29" t="s">
        <v>86</v>
      </c>
      <c r="I393" s="32" t="s">
        <v>2634</v>
      </c>
      <c r="J393" s="28" t="s">
        <v>2635</v>
      </c>
      <c r="K393" s="29" t="s">
        <v>903</v>
      </c>
      <c r="L393" s="27" t="s">
        <v>158</v>
      </c>
      <c r="M393" s="28" t="s">
        <v>159</v>
      </c>
      <c r="N393" s="39" t="s">
        <v>179</v>
      </c>
      <c r="O393" s="34" t="s">
        <v>180</v>
      </c>
      <c r="P393" s="34" t="s">
        <v>181</v>
      </c>
      <c r="Q393" s="35" t="s">
        <v>78</v>
      </c>
      <c r="R393" s="35" t="s">
        <v>79</v>
      </c>
      <c r="S393" s="35" t="s">
        <v>61</v>
      </c>
      <c r="T393" s="35" t="s">
        <v>62</v>
      </c>
      <c r="U393" s="36" t="s">
        <v>80</v>
      </c>
    </row>
    <row r="394" spans="1:21" ht="15.75" customHeight="1" x14ac:dyDescent="0.25">
      <c r="A394" s="9" t="s">
        <v>2636</v>
      </c>
      <c r="B394" s="10" t="s">
        <v>2637</v>
      </c>
      <c r="C394" s="11" t="s">
        <v>2638</v>
      </c>
      <c r="D394" s="21" t="s">
        <v>109</v>
      </c>
      <c r="E394" s="11" t="s">
        <v>67</v>
      </c>
      <c r="F394" s="13">
        <v>-6</v>
      </c>
      <c r="G394" s="14" t="s">
        <v>119</v>
      </c>
      <c r="H394" s="11" t="s">
        <v>69</v>
      </c>
      <c r="I394" s="15" t="s">
        <v>2639</v>
      </c>
      <c r="J394" s="10" t="s">
        <v>2640</v>
      </c>
      <c r="K394" s="11" t="s">
        <v>2641</v>
      </c>
      <c r="L394" s="9" t="s">
        <v>73</v>
      </c>
      <c r="M394" s="10" t="s">
        <v>74</v>
      </c>
      <c r="N394" s="22"/>
      <c r="O394" s="17"/>
      <c r="P394" s="17"/>
      <c r="Q394" s="18" t="s">
        <v>78</v>
      </c>
      <c r="R394" s="18" t="s">
        <v>79</v>
      </c>
      <c r="S394" s="18" t="s">
        <v>61</v>
      </c>
      <c r="T394" s="18" t="s">
        <v>62</v>
      </c>
      <c r="U394" s="19" t="s">
        <v>80</v>
      </c>
    </row>
    <row r="395" spans="1:21" ht="15.75" customHeight="1" x14ac:dyDescent="0.25">
      <c r="A395" s="27" t="s">
        <v>2642</v>
      </c>
      <c r="B395" s="28" t="s">
        <v>2643</v>
      </c>
      <c r="C395" s="29" t="s">
        <v>2644</v>
      </c>
      <c r="D395" s="30" t="s">
        <v>66</v>
      </c>
      <c r="E395" s="29" t="s">
        <v>67</v>
      </c>
      <c r="F395" s="31">
        <v>3.7</v>
      </c>
      <c r="G395" s="14" t="s">
        <v>68</v>
      </c>
      <c r="H395" s="29" t="s">
        <v>69</v>
      </c>
      <c r="I395" s="32" t="s">
        <v>2645</v>
      </c>
      <c r="J395" s="28" t="s">
        <v>2646</v>
      </c>
      <c r="K395" s="29" t="s">
        <v>2641</v>
      </c>
      <c r="L395" s="27" t="s">
        <v>73</v>
      </c>
      <c r="M395" s="28" t="s">
        <v>74</v>
      </c>
      <c r="N395" s="33" t="s">
        <v>75</v>
      </c>
      <c r="O395" s="34" t="s">
        <v>76</v>
      </c>
      <c r="P395" s="34" t="s">
        <v>77</v>
      </c>
      <c r="Q395" s="35" t="s">
        <v>78</v>
      </c>
      <c r="R395" s="35" t="s">
        <v>79</v>
      </c>
      <c r="S395" s="35" t="s">
        <v>61</v>
      </c>
      <c r="T395" s="35" t="s">
        <v>62</v>
      </c>
      <c r="U395" s="36" t="s">
        <v>80</v>
      </c>
    </row>
    <row r="396" spans="1:21" ht="15.75" customHeight="1" x14ac:dyDescent="0.25">
      <c r="A396" s="9" t="s">
        <v>2647</v>
      </c>
      <c r="B396" s="10" t="s">
        <v>2648</v>
      </c>
      <c r="C396" s="11" t="s">
        <v>2649</v>
      </c>
      <c r="D396" s="12" t="s">
        <v>66</v>
      </c>
      <c r="E396" s="11" t="s">
        <v>67</v>
      </c>
      <c r="F396" s="13">
        <v>0.9</v>
      </c>
      <c r="G396" s="14" t="s">
        <v>68</v>
      </c>
      <c r="H396" s="11" t="s">
        <v>69</v>
      </c>
      <c r="I396" s="15" t="s">
        <v>2650</v>
      </c>
      <c r="J396" s="10" t="s">
        <v>2651</v>
      </c>
      <c r="K396" s="11" t="s">
        <v>2641</v>
      </c>
      <c r="L396" s="9" t="s">
        <v>73</v>
      </c>
      <c r="M396" s="10" t="s">
        <v>74</v>
      </c>
      <c r="N396" s="16" t="s">
        <v>75</v>
      </c>
      <c r="O396" s="17" t="s">
        <v>76</v>
      </c>
      <c r="P396" s="17" t="s">
        <v>77</v>
      </c>
      <c r="Q396" s="18" t="s">
        <v>78</v>
      </c>
      <c r="R396" s="18" t="s">
        <v>79</v>
      </c>
      <c r="S396" s="18" t="s">
        <v>61</v>
      </c>
      <c r="T396" s="18" t="s">
        <v>62</v>
      </c>
      <c r="U396" s="19" t="s">
        <v>80</v>
      </c>
    </row>
    <row r="397" spans="1:21" ht="15.75" customHeight="1" x14ac:dyDescent="0.25">
      <c r="A397" s="27" t="s">
        <v>2652</v>
      </c>
      <c r="B397" s="28" t="s">
        <v>2653</v>
      </c>
      <c r="C397" s="29" t="s">
        <v>2654</v>
      </c>
      <c r="D397" s="37" t="s">
        <v>109</v>
      </c>
      <c r="E397" s="29" t="s">
        <v>47</v>
      </c>
      <c r="F397" s="31">
        <v>126</v>
      </c>
      <c r="G397" s="14" t="s">
        <v>119</v>
      </c>
      <c r="H397" s="29" t="s">
        <v>330</v>
      </c>
      <c r="I397" s="32" t="s">
        <v>2655</v>
      </c>
      <c r="J397" s="28" t="s">
        <v>2656</v>
      </c>
      <c r="K397" s="29" t="s">
        <v>2657</v>
      </c>
      <c r="L397" s="27" t="s">
        <v>158</v>
      </c>
      <c r="M397" s="28" t="s">
        <v>159</v>
      </c>
      <c r="N397" s="38"/>
      <c r="O397" s="34"/>
      <c r="P397" s="34"/>
      <c r="Q397" s="35" t="s">
        <v>78</v>
      </c>
      <c r="R397" s="35" t="s">
        <v>79</v>
      </c>
      <c r="S397" s="35" t="s">
        <v>61</v>
      </c>
      <c r="T397" s="35" t="s">
        <v>62</v>
      </c>
      <c r="U397" s="36" t="s">
        <v>80</v>
      </c>
    </row>
    <row r="398" spans="1:21" ht="15.75" customHeight="1" x14ac:dyDescent="0.25">
      <c r="A398" s="9" t="s">
        <v>2658</v>
      </c>
      <c r="B398" s="10" t="s">
        <v>2659</v>
      </c>
      <c r="C398" s="11" t="s">
        <v>2660</v>
      </c>
      <c r="D398" s="21" t="s">
        <v>109</v>
      </c>
      <c r="E398" s="11" t="s">
        <v>47</v>
      </c>
      <c r="F398" s="13">
        <v>145</v>
      </c>
      <c r="G398" s="14" t="s">
        <v>119</v>
      </c>
      <c r="H398" s="11" t="s">
        <v>330</v>
      </c>
      <c r="I398" s="15" t="s">
        <v>2661</v>
      </c>
      <c r="J398" s="10" t="s">
        <v>2662</v>
      </c>
      <c r="K398" s="11" t="s">
        <v>2663</v>
      </c>
      <c r="L398" s="9" t="s">
        <v>158</v>
      </c>
      <c r="M398" s="10" t="s">
        <v>159</v>
      </c>
      <c r="N398" s="22"/>
      <c r="O398" s="17"/>
      <c r="P398" s="17"/>
      <c r="Q398" s="18" t="s">
        <v>78</v>
      </c>
      <c r="R398" s="18" t="s">
        <v>79</v>
      </c>
      <c r="S398" s="18" t="s">
        <v>61</v>
      </c>
      <c r="T398" s="18" t="s">
        <v>62</v>
      </c>
      <c r="U398" s="19" t="s">
        <v>80</v>
      </c>
    </row>
    <row r="399" spans="1:21" ht="15.75" customHeight="1" x14ac:dyDescent="0.25">
      <c r="A399" s="27" t="s">
        <v>2664</v>
      </c>
      <c r="B399" s="28" t="s">
        <v>2665</v>
      </c>
      <c r="C399" s="29" t="s">
        <v>2666</v>
      </c>
      <c r="D399" s="37" t="s">
        <v>109</v>
      </c>
      <c r="E399" s="29" t="s">
        <v>47</v>
      </c>
      <c r="F399" s="31">
        <v>63</v>
      </c>
      <c r="G399" s="14" t="s">
        <v>119</v>
      </c>
      <c r="H399" s="29" t="s">
        <v>48</v>
      </c>
      <c r="I399" s="32" t="s">
        <v>2667</v>
      </c>
      <c r="J399" s="28" t="s">
        <v>2668</v>
      </c>
      <c r="K399" s="29" t="s">
        <v>2669</v>
      </c>
      <c r="L399" s="27" t="s">
        <v>158</v>
      </c>
      <c r="M399" s="28" t="s">
        <v>159</v>
      </c>
      <c r="N399" s="38"/>
      <c r="O399" s="34"/>
      <c r="P399" s="34"/>
      <c r="Q399" s="35" t="s">
        <v>78</v>
      </c>
      <c r="R399" s="35" t="s">
        <v>79</v>
      </c>
      <c r="S399" s="35" t="s">
        <v>61</v>
      </c>
      <c r="T399" s="35" t="s">
        <v>62</v>
      </c>
      <c r="U399" s="36" t="s">
        <v>80</v>
      </c>
    </row>
    <row r="400" spans="1:21" ht="15.75" customHeight="1" x14ac:dyDescent="0.25">
      <c r="A400" s="9" t="s">
        <v>2670</v>
      </c>
      <c r="B400" s="10" t="s">
        <v>2671</v>
      </c>
      <c r="C400" s="11" t="s">
        <v>2672</v>
      </c>
      <c r="D400" s="12" t="s">
        <v>2673</v>
      </c>
      <c r="E400" s="11" t="s">
        <v>47</v>
      </c>
      <c r="F400" s="13">
        <v>106</v>
      </c>
      <c r="G400" s="14" t="s">
        <v>119</v>
      </c>
      <c r="H400" s="11" t="s">
        <v>330</v>
      </c>
      <c r="I400" s="15" t="s">
        <v>2674</v>
      </c>
      <c r="J400" s="10" t="s">
        <v>2675</v>
      </c>
      <c r="K400" s="11" t="s">
        <v>2676</v>
      </c>
      <c r="L400" s="9" t="s">
        <v>158</v>
      </c>
      <c r="M400" s="10" t="s">
        <v>159</v>
      </c>
      <c r="N400" s="16" t="s">
        <v>75</v>
      </c>
      <c r="O400" s="17" t="s">
        <v>712</v>
      </c>
      <c r="P400" s="17" t="s">
        <v>713</v>
      </c>
      <c r="Q400" s="18" t="s">
        <v>78</v>
      </c>
      <c r="R400" s="18" t="s">
        <v>79</v>
      </c>
      <c r="S400" s="18" t="s">
        <v>61</v>
      </c>
      <c r="T400" s="18" t="s">
        <v>62</v>
      </c>
      <c r="U400" s="19" t="s">
        <v>80</v>
      </c>
    </row>
    <row r="401" spans="1:21" ht="15.75" customHeight="1" x14ac:dyDescent="0.25">
      <c r="A401" s="27" t="s">
        <v>2677</v>
      </c>
      <c r="B401" s="28" t="s">
        <v>2678</v>
      </c>
      <c r="C401" s="29" t="s">
        <v>2679</v>
      </c>
      <c r="D401" s="30" t="s">
        <v>2680</v>
      </c>
      <c r="E401" s="29" t="s">
        <v>47</v>
      </c>
      <c r="F401" s="31">
        <v>74.8</v>
      </c>
      <c r="G401" s="14" t="s">
        <v>119</v>
      </c>
      <c r="H401" s="29" t="s">
        <v>48</v>
      </c>
      <c r="I401" s="32" t="s">
        <v>2681</v>
      </c>
      <c r="J401" s="28" t="s">
        <v>2682</v>
      </c>
      <c r="K401" s="29" t="s">
        <v>2683</v>
      </c>
      <c r="L401" s="27" t="s">
        <v>158</v>
      </c>
      <c r="M401" s="28" t="s">
        <v>159</v>
      </c>
      <c r="N401" s="33" t="s">
        <v>75</v>
      </c>
      <c r="O401" s="34" t="s">
        <v>712</v>
      </c>
      <c r="P401" s="34" t="s">
        <v>713</v>
      </c>
      <c r="Q401" s="35" t="s">
        <v>78</v>
      </c>
      <c r="R401" s="35" t="s">
        <v>79</v>
      </c>
      <c r="S401" s="35" t="s">
        <v>61</v>
      </c>
      <c r="T401" s="35" t="s">
        <v>62</v>
      </c>
      <c r="U401" s="36" t="s">
        <v>80</v>
      </c>
    </row>
    <row r="402" spans="1:21" ht="15.75" customHeight="1" x14ac:dyDescent="0.25">
      <c r="A402" s="9" t="s">
        <v>2684</v>
      </c>
      <c r="B402" s="10" t="s">
        <v>2685</v>
      </c>
      <c r="C402" s="11" t="s">
        <v>2686</v>
      </c>
      <c r="D402" s="12" t="s">
        <v>193</v>
      </c>
      <c r="E402" s="11" t="s">
        <v>1264</v>
      </c>
      <c r="F402" s="11"/>
      <c r="G402" s="20" t="s">
        <v>85</v>
      </c>
      <c r="H402" s="11" t="s">
        <v>100</v>
      </c>
      <c r="I402" s="15" t="s">
        <v>2687</v>
      </c>
      <c r="J402" s="10" t="s">
        <v>2688</v>
      </c>
      <c r="K402" s="11" t="s">
        <v>239</v>
      </c>
      <c r="L402" s="9" t="s">
        <v>90</v>
      </c>
      <c r="M402" s="10" t="s">
        <v>91</v>
      </c>
      <c r="N402" s="16" t="s">
        <v>75</v>
      </c>
      <c r="O402" s="17" t="s">
        <v>180</v>
      </c>
      <c r="P402" s="17" t="s">
        <v>181</v>
      </c>
      <c r="Q402" s="18" t="s">
        <v>78</v>
      </c>
      <c r="R402" s="18" t="s">
        <v>79</v>
      </c>
      <c r="S402" s="18" t="s">
        <v>61</v>
      </c>
      <c r="T402" s="18" t="s">
        <v>62</v>
      </c>
      <c r="U402" s="19" t="s">
        <v>80</v>
      </c>
    </row>
    <row r="403" spans="1:21" ht="15.75" customHeight="1" x14ac:dyDescent="0.25">
      <c r="A403" s="27" t="s">
        <v>2689</v>
      </c>
      <c r="B403" s="28" t="s">
        <v>2690</v>
      </c>
      <c r="C403" s="29" t="s">
        <v>2691</v>
      </c>
      <c r="D403" s="37" t="s">
        <v>109</v>
      </c>
      <c r="E403" s="29" t="s">
        <v>98</v>
      </c>
      <c r="F403" s="31">
        <v>178</v>
      </c>
      <c r="G403" s="25" t="s">
        <v>110</v>
      </c>
      <c r="H403" s="29" t="s">
        <v>86</v>
      </c>
      <c r="I403" s="32" t="s">
        <v>2692</v>
      </c>
      <c r="J403" s="28" t="s">
        <v>2693</v>
      </c>
      <c r="K403" s="29" t="s">
        <v>2694</v>
      </c>
      <c r="L403" s="27" t="s">
        <v>90</v>
      </c>
      <c r="M403" s="28" t="s">
        <v>91</v>
      </c>
      <c r="N403" s="38"/>
      <c r="O403" s="34"/>
      <c r="P403" s="34"/>
      <c r="Q403" s="35" t="s">
        <v>78</v>
      </c>
      <c r="R403" s="35" t="s">
        <v>79</v>
      </c>
      <c r="S403" s="35" t="s">
        <v>61</v>
      </c>
      <c r="T403" s="35" t="s">
        <v>62</v>
      </c>
      <c r="U403" s="36" t="s">
        <v>80</v>
      </c>
    </row>
    <row r="404" spans="1:21" ht="15.75" customHeight="1" x14ac:dyDescent="0.25">
      <c r="A404" s="9" t="s">
        <v>2695</v>
      </c>
      <c r="B404" s="10" t="s">
        <v>2696</v>
      </c>
      <c r="C404" s="11" t="s">
        <v>2697</v>
      </c>
      <c r="D404" s="12" t="s">
        <v>2698</v>
      </c>
      <c r="E404" s="11"/>
      <c r="F404" s="11"/>
      <c r="G404" s="14" t="s">
        <v>708</v>
      </c>
      <c r="H404" s="11" t="s">
        <v>120</v>
      </c>
      <c r="I404" s="15" t="s">
        <v>2699</v>
      </c>
      <c r="J404" s="10" t="s">
        <v>2700</v>
      </c>
      <c r="K404" s="11" t="s">
        <v>2701</v>
      </c>
      <c r="L404" s="9" t="s">
        <v>2005</v>
      </c>
      <c r="M404" s="10" t="s">
        <v>2006</v>
      </c>
      <c r="N404" s="16" t="s">
        <v>75</v>
      </c>
      <c r="O404" s="17" t="s">
        <v>2702</v>
      </c>
      <c r="P404" s="17" t="s">
        <v>2703</v>
      </c>
      <c r="Q404" s="18" t="s">
        <v>78</v>
      </c>
      <c r="R404" s="18" t="s">
        <v>79</v>
      </c>
      <c r="S404" s="18" t="s">
        <v>61</v>
      </c>
      <c r="T404" s="18" t="s">
        <v>62</v>
      </c>
      <c r="U404" s="19" t="s">
        <v>80</v>
      </c>
    </row>
    <row r="405" spans="1:21" ht="15.75" customHeight="1" x14ac:dyDescent="0.25">
      <c r="A405" s="27" t="s">
        <v>2704</v>
      </c>
      <c r="B405" s="28" t="s">
        <v>2705</v>
      </c>
      <c r="C405" s="29" t="s">
        <v>2706</v>
      </c>
      <c r="D405" s="30" t="s">
        <v>2707</v>
      </c>
      <c r="E405" s="29" t="s">
        <v>98</v>
      </c>
      <c r="F405" s="29"/>
      <c r="G405" s="20" t="s">
        <v>119</v>
      </c>
      <c r="H405" s="29" t="s">
        <v>100</v>
      </c>
      <c r="I405" s="32" t="s">
        <v>2708</v>
      </c>
      <c r="J405" s="28" t="s">
        <v>2709</v>
      </c>
      <c r="K405" s="29" t="s">
        <v>2710</v>
      </c>
      <c r="L405" s="27" t="s">
        <v>90</v>
      </c>
      <c r="M405" s="28" t="s">
        <v>91</v>
      </c>
      <c r="N405" s="33" t="s">
        <v>75</v>
      </c>
      <c r="O405" s="34" t="s">
        <v>1020</v>
      </c>
      <c r="P405" s="34" t="s">
        <v>1021</v>
      </c>
      <c r="Q405" s="35" t="s">
        <v>78</v>
      </c>
      <c r="R405" s="35" t="s">
        <v>79</v>
      </c>
      <c r="S405" s="35" t="s">
        <v>61</v>
      </c>
      <c r="T405" s="35" t="s">
        <v>62</v>
      </c>
      <c r="U405" s="36" t="s">
        <v>80</v>
      </c>
    </row>
    <row r="406" spans="1:21" ht="15.75" customHeight="1" x14ac:dyDescent="0.25">
      <c r="A406" s="9" t="s">
        <v>2711</v>
      </c>
      <c r="B406" s="10" t="s">
        <v>2712</v>
      </c>
      <c r="C406" s="11" t="s">
        <v>2713</v>
      </c>
      <c r="D406" s="21" t="s">
        <v>109</v>
      </c>
      <c r="E406" s="11" t="s">
        <v>98</v>
      </c>
      <c r="F406" s="11" t="s">
        <v>118</v>
      </c>
      <c r="G406" s="24" t="s">
        <v>85</v>
      </c>
      <c r="H406" s="11" t="s">
        <v>100</v>
      </c>
      <c r="I406" s="15" t="s">
        <v>2714</v>
      </c>
      <c r="J406" s="10" t="s">
        <v>2715</v>
      </c>
      <c r="K406" s="11"/>
      <c r="L406" s="9"/>
      <c r="M406" s="10"/>
      <c r="N406" s="22"/>
      <c r="O406" s="17"/>
      <c r="P406" s="17"/>
      <c r="Q406" s="18" t="s">
        <v>78</v>
      </c>
      <c r="R406" s="18" t="s">
        <v>79</v>
      </c>
      <c r="S406" s="18" t="s">
        <v>61</v>
      </c>
      <c r="T406" s="18" t="s">
        <v>62</v>
      </c>
      <c r="U406" s="19" t="s">
        <v>80</v>
      </c>
    </row>
    <row r="407" spans="1:21" ht="15.75" customHeight="1" x14ac:dyDescent="0.25">
      <c r="A407" s="27" t="s">
        <v>2716</v>
      </c>
      <c r="B407" s="28" t="s">
        <v>2717</v>
      </c>
      <c r="C407" s="29" t="s">
        <v>2718</v>
      </c>
      <c r="D407" s="37" t="s">
        <v>109</v>
      </c>
      <c r="E407" s="29" t="s">
        <v>98</v>
      </c>
      <c r="F407" s="31">
        <v>2850</v>
      </c>
      <c r="G407" s="25" t="s">
        <v>110</v>
      </c>
      <c r="H407" s="29" t="s">
        <v>129</v>
      </c>
      <c r="I407" s="32" t="s">
        <v>2719</v>
      </c>
      <c r="J407" s="28" t="s">
        <v>2720</v>
      </c>
      <c r="K407" s="29" t="s">
        <v>2721</v>
      </c>
      <c r="L407" s="27" t="s">
        <v>481</v>
      </c>
      <c r="M407" s="28" t="s">
        <v>482</v>
      </c>
      <c r="N407" s="38"/>
      <c r="O407" s="34"/>
      <c r="P407" s="34"/>
      <c r="Q407" s="35" t="s">
        <v>78</v>
      </c>
      <c r="R407" s="35" t="s">
        <v>79</v>
      </c>
      <c r="S407" s="35" t="s">
        <v>61</v>
      </c>
      <c r="T407" s="35" t="s">
        <v>62</v>
      </c>
      <c r="U407" s="36" t="s">
        <v>80</v>
      </c>
    </row>
    <row r="408" spans="1:21" ht="15.75" customHeight="1" x14ac:dyDescent="0.25">
      <c r="A408" s="9" t="s">
        <v>2722</v>
      </c>
      <c r="B408" s="10" t="s">
        <v>2723</v>
      </c>
      <c r="C408" s="11" t="s">
        <v>2724</v>
      </c>
      <c r="D408" s="21" t="s">
        <v>109</v>
      </c>
      <c r="E408" s="11" t="s">
        <v>47</v>
      </c>
      <c r="F408" s="13">
        <v>82</v>
      </c>
      <c r="G408" s="25" t="s">
        <v>110</v>
      </c>
      <c r="H408" s="11" t="s">
        <v>48</v>
      </c>
      <c r="I408" s="15" t="s">
        <v>2725</v>
      </c>
      <c r="J408" s="10" t="s">
        <v>2726</v>
      </c>
      <c r="K408" s="11" t="s">
        <v>132</v>
      </c>
      <c r="L408" s="9" t="s">
        <v>90</v>
      </c>
      <c r="M408" s="10" t="s">
        <v>91</v>
      </c>
      <c r="N408" s="22"/>
      <c r="O408" s="17"/>
      <c r="P408" s="17"/>
      <c r="Q408" s="18" t="s">
        <v>78</v>
      </c>
      <c r="R408" s="18" t="s">
        <v>79</v>
      </c>
      <c r="S408" s="18" t="s">
        <v>61</v>
      </c>
      <c r="T408" s="18" t="s">
        <v>62</v>
      </c>
      <c r="U408" s="19" t="s">
        <v>80</v>
      </c>
    </row>
    <row r="409" spans="1:21" ht="15.75" customHeight="1" x14ac:dyDescent="0.25">
      <c r="A409" s="27" t="s">
        <v>2727</v>
      </c>
      <c r="B409" s="28" t="s">
        <v>2728</v>
      </c>
      <c r="C409" s="29" t="s">
        <v>2729</v>
      </c>
      <c r="D409" s="30" t="s">
        <v>2730</v>
      </c>
      <c r="E409" s="29" t="s">
        <v>98</v>
      </c>
      <c r="F409" s="31">
        <v>245.5</v>
      </c>
      <c r="G409" s="20" t="s">
        <v>85</v>
      </c>
      <c r="H409" s="29" t="s">
        <v>129</v>
      </c>
      <c r="I409" s="32" t="s">
        <v>2731</v>
      </c>
      <c r="J409" s="28" t="s">
        <v>2732</v>
      </c>
      <c r="K409" s="29" t="s">
        <v>1655</v>
      </c>
      <c r="L409" s="27" t="s">
        <v>90</v>
      </c>
      <c r="M409" s="28" t="s">
        <v>91</v>
      </c>
      <c r="N409" s="33" t="s">
        <v>75</v>
      </c>
      <c r="O409" s="34" t="s">
        <v>591</v>
      </c>
      <c r="P409" s="34" t="s">
        <v>592</v>
      </c>
      <c r="Q409" s="35" t="s">
        <v>78</v>
      </c>
      <c r="R409" s="35" t="s">
        <v>79</v>
      </c>
      <c r="S409" s="35" t="s">
        <v>61</v>
      </c>
      <c r="T409" s="35" t="s">
        <v>62</v>
      </c>
      <c r="U409" s="36" t="s">
        <v>80</v>
      </c>
    </row>
    <row r="410" spans="1:21" ht="15.75" customHeight="1" x14ac:dyDescent="0.25">
      <c r="A410" s="9" t="s">
        <v>2733</v>
      </c>
      <c r="B410" s="10" t="s">
        <v>2734</v>
      </c>
      <c r="C410" s="11" t="s">
        <v>2735</v>
      </c>
      <c r="D410" s="21" t="s">
        <v>109</v>
      </c>
      <c r="E410" s="11" t="s">
        <v>98</v>
      </c>
      <c r="F410" s="11"/>
      <c r="G410" s="25" t="s">
        <v>110</v>
      </c>
      <c r="H410" s="11" t="s">
        <v>100</v>
      </c>
      <c r="I410" s="15" t="s">
        <v>2736</v>
      </c>
      <c r="J410" s="10" t="s">
        <v>2737</v>
      </c>
      <c r="K410" s="11" t="s">
        <v>2738</v>
      </c>
      <c r="L410" s="9" t="s">
        <v>481</v>
      </c>
      <c r="M410" s="10" t="s">
        <v>482</v>
      </c>
      <c r="N410" s="22"/>
      <c r="O410" s="17"/>
      <c r="P410" s="17"/>
      <c r="Q410" s="18" t="s">
        <v>78</v>
      </c>
      <c r="R410" s="18" t="s">
        <v>79</v>
      </c>
      <c r="S410" s="18" t="s">
        <v>61</v>
      </c>
      <c r="T410" s="18" t="s">
        <v>62</v>
      </c>
      <c r="U410" s="19" t="s">
        <v>80</v>
      </c>
    </row>
    <row r="411" spans="1:21" ht="15.75" customHeight="1" x14ac:dyDescent="0.25">
      <c r="A411" s="27" t="s">
        <v>2739</v>
      </c>
      <c r="B411" s="28" t="s">
        <v>2740</v>
      </c>
      <c r="C411" s="29" t="s">
        <v>2741</v>
      </c>
      <c r="D411" s="30" t="s">
        <v>2742</v>
      </c>
      <c r="E411" s="29" t="s">
        <v>67</v>
      </c>
      <c r="F411" s="31">
        <v>-33</v>
      </c>
      <c r="G411" s="20" t="s">
        <v>119</v>
      </c>
      <c r="H411" s="29" t="s">
        <v>421</v>
      </c>
      <c r="I411" s="32" t="s">
        <v>2743</v>
      </c>
      <c r="J411" s="28" t="s">
        <v>2744</v>
      </c>
      <c r="K411" s="29" t="s">
        <v>2745</v>
      </c>
      <c r="L411" s="27" t="s">
        <v>140</v>
      </c>
      <c r="M411" s="28" t="s">
        <v>141</v>
      </c>
      <c r="N411" s="33" t="s">
        <v>75</v>
      </c>
      <c r="O411" s="34" t="s">
        <v>2746</v>
      </c>
      <c r="P411" s="34" t="s">
        <v>2747</v>
      </c>
      <c r="Q411" s="35" t="s">
        <v>78</v>
      </c>
      <c r="R411" s="35" t="s">
        <v>79</v>
      </c>
      <c r="S411" s="35" t="s">
        <v>61</v>
      </c>
      <c r="T411" s="35" t="s">
        <v>62</v>
      </c>
      <c r="U411" s="36" t="s">
        <v>80</v>
      </c>
    </row>
    <row r="412" spans="1:21" ht="15.75" customHeight="1" x14ac:dyDescent="0.25">
      <c r="A412" s="9" t="s">
        <v>2748</v>
      </c>
      <c r="B412" s="10" t="s">
        <v>2749</v>
      </c>
      <c r="C412" s="11" t="s">
        <v>2750</v>
      </c>
      <c r="D412" s="12" t="s">
        <v>2751</v>
      </c>
      <c r="E412" s="11" t="s">
        <v>98</v>
      </c>
      <c r="F412" s="11" t="s">
        <v>2752</v>
      </c>
      <c r="G412" s="26" t="s">
        <v>119</v>
      </c>
      <c r="H412" s="11" t="s">
        <v>100</v>
      </c>
      <c r="I412" s="15" t="s">
        <v>2753</v>
      </c>
      <c r="J412" s="10" t="s">
        <v>2754</v>
      </c>
      <c r="K412" s="11" t="s">
        <v>2755</v>
      </c>
      <c r="L412" s="9" t="s">
        <v>1698</v>
      </c>
      <c r="M412" s="10" t="s">
        <v>1699</v>
      </c>
      <c r="N412" s="16" t="s">
        <v>75</v>
      </c>
      <c r="O412" s="17" t="s">
        <v>2756</v>
      </c>
      <c r="P412" s="17" t="s">
        <v>2757</v>
      </c>
      <c r="Q412" s="18" t="s">
        <v>78</v>
      </c>
      <c r="R412" s="18" t="s">
        <v>79</v>
      </c>
      <c r="S412" s="18" t="s">
        <v>61</v>
      </c>
      <c r="T412" s="18" t="s">
        <v>62</v>
      </c>
      <c r="U412" s="19" t="s">
        <v>80</v>
      </c>
    </row>
    <row r="413" spans="1:21" ht="15.75" customHeight="1" x14ac:dyDescent="0.25">
      <c r="A413" s="27" t="s">
        <v>2758</v>
      </c>
      <c r="B413" s="28" t="s">
        <v>2759</v>
      </c>
      <c r="C413" s="29" t="s">
        <v>2760</v>
      </c>
      <c r="D413" s="30" t="s">
        <v>2761</v>
      </c>
      <c r="E413" s="29" t="s">
        <v>98</v>
      </c>
      <c r="F413" s="31">
        <v>315</v>
      </c>
      <c r="G413" s="20" t="s">
        <v>119</v>
      </c>
      <c r="H413" s="29" t="s">
        <v>129</v>
      </c>
      <c r="I413" s="32" t="s">
        <v>2762</v>
      </c>
      <c r="J413" s="28" t="s">
        <v>2763</v>
      </c>
      <c r="K413" s="29" t="s">
        <v>2764</v>
      </c>
      <c r="L413" s="27" t="s">
        <v>90</v>
      </c>
      <c r="M413" s="28" t="s">
        <v>91</v>
      </c>
      <c r="N413" s="33" t="s">
        <v>75</v>
      </c>
      <c r="O413" s="34" t="s">
        <v>124</v>
      </c>
      <c r="P413" s="34" t="s">
        <v>125</v>
      </c>
      <c r="Q413" s="35" t="s">
        <v>78</v>
      </c>
      <c r="R413" s="35" t="s">
        <v>79</v>
      </c>
      <c r="S413" s="35" t="s">
        <v>61</v>
      </c>
      <c r="T413" s="35" t="s">
        <v>62</v>
      </c>
      <c r="U413" s="36" t="s">
        <v>80</v>
      </c>
    </row>
    <row r="414" spans="1:21" ht="15.75" customHeight="1" x14ac:dyDescent="0.25">
      <c r="A414" s="9" t="s">
        <v>2765</v>
      </c>
      <c r="B414" s="10" t="s">
        <v>2766</v>
      </c>
      <c r="C414" s="11" t="s">
        <v>2767</v>
      </c>
      <c r="D414" s="21" t="s">
        <v>109</v>
      </c>
      <c r="E414" s="11" t="s">
        <v>47</v>
      </c>
      <c r="F414" s="13">
        <v>178</v>
      </c>
      <c r="G414" s="25" t="s">
        <v>110</v>
      </c>
      <c r="H414" s="11" t="s">
        <v>86</v>
      </c>
      <c r="I414" s="15" t="s">
        <v>2768</v>
      </c>
      <c r="J414" s="10" t="s">
        <v>2769</v>
      </c>
      <c r="K414" s="11" t="s">
        <v>2770</v>
      </c>
      <c r="L414" s="9" t="s">
        <v>90</v>
      </c>
      <c r="M414" s="10" t="s">
        <v>91</v>
      </c>
      <c r="N414" s="22"/>
      <c r="O414" s="17"/>
      <c r="P414" s="17"/>
      <c r="Q414" s="18" t="s">
        <v>78</v>
      </c>
      <c r="R414" s="18" t="s">
        <v>79</v>
      </c>
      <c r="S414" s="18" t="s">
        <v>61</v>
      </c>
      <c r="T414" s="18" t="s">
        <v>62</v>
      </c>
      <c r="U414" s="19" t="s">
        <v>80</v>
      </c>
    </row>
    <row r="415" spans="1:21" ht="15.75" customHeight="1" x14ac:dyDescent="0.25">
      <c r="A415" s="27" t="s">
        <v>2771</v>
      </c>
      <c r="B415" s="28" t="s">
        <v>2772</v>
      </c>
      <c r="C415" s="29" t="s">
        <v>2773</v>
      </c>
      <c r="D415" s="37" t="s">
        <v>109</v>
      </c>
      <c r="E415" s="29" t="s">
        <v>47</v>
      </c>
      <c r="F415" s="31">
        <v>216</v>
      </c>
      <c r="G415" s="25" t="s">
        <v>110</v>
      </c>
      <c r="H415" s="29" t="s">
        <v>129</v>
      </c>
      <c r="I415" s="32" t="s">
        <v>2774</v>
      </c>
      <c r="J415" s="28" t="s">
        <v>2775</v>
      </c>
      <c r="K415" s="29" t="s">
        <v>507</v>
      </c>
      <c r="L415" s="27" t="s">
        <v>90</v>
      </c>
      <c r="M415" s="28" t="s">
        <v>91</v>
      </c>
      <c r="N415" s="38"/>
      <c r="O415" s="34"/>
      <c r="P415" s="34"/>
      <c r="Q415" s="35" t="s">
        <v>78</v>
      </c>
      <c r="R415" s="35" t="s">
        <v>79</v>
      </c>
      <c r="S415" s="35" t="s">
        <v>61</v>
      </c>
      <c r="T415" s="35" t="s">
        <v>62</v>
      </c>
      <c r="U415" s="36" t="s">
        <v>80</v>
      </c>
    </row>
    <row r="416" spans="1:21" ht="15.75" customHeight="1" x14ac:dyDescent="0.25">
      <c r="A416" s="9" t="s">
        <v>2776</v>
      </c>
      <c r="B416" s="10" t="s">
        <v>2777</v>
      </c>
      <c r="C416" s="11" t="s">
        <v>2778</v>
      </c>
      <c r="D416" s="12" t="s">
        <v>2779</v>
      </c>
      <c r="E416" s="11" t="s">
        <v>67</v>
      </c>
      <c r="F416" s="13">
        <v>-23.7</v>
      </c>
      <c r="G416" s="20" t="s">
        <v>85</v>
      </c>
      <c r="H416" s="11" t="s">
        <v>69</v>
      </c>
      <c r="I416" s="15" t="s">
        <v>2780</v>
      </c>
      <c r="J416" s="10" t="s">
        <v>2781</v>
      </c>
      <c r="K416" s="11" t="s">
        <v>2782</v>
      </c>
      <c r="L416" s="9" t="s">
        <v>73</v>
      </c>
      <c r="M416" s="10" t="s">
        <v>74</v>
      </c>
      <c r="N416" s="16" t="s">
        <v>75</v>
      </c>
      <c r="O416" s="17" t="s">
        <v>2783</v>
      </c>
      <c r="P416" s="17" t="s">
        <v>2784</v>
      </c>
      <c r="Q416" s="18" t="s">
        <v>78</v>
      </c>
      <c r="R416" s="18" t="s">
        <v>79</v>
      </c>
      <c r="S416" s="18" t="s">
        <v>61</v>
      </c>
      <c r="T416" s="18" t="s">
        <v>62</v>
      </c>
      <c r="U416" s="19" t="s">
        <v>80</v>
      </c>
    </row>
    <row r="417" spans="1:21" ht="15.75" customHeight="1" x14ac:dyDescent="0.25">
      <c r="A417" s="27" t="s">
        <v>2785</v>
      </c>
      <c r="B417" s="28" t="s">
        <v>2786</v>
      </c>
      <c r="C417" s="29" t="s">
        <v>2787</v>
      </c>
      <c r="D417" s="30" t="s">
        <v>243</v>
      </c>
      <c r="E417" s="29" t="s">
        <v>67</v>
      </c>
      <c r="F417" s="31">
        <v>-81.400000000000006</v>
      </c>
      <c r="G417" s="14" t="s">
        <v>68</v>
      </c>
      <c r="H417" s="29" t="s">
        <v>69</v>
      </c>
      <c r="I417" s="32" t="s">
        <v>2788</v>
      </c>
      <c r="J417" s="28" t="s">
        <v>2789</v>
      </c>
      <c r="K417" s="29" t="s">
        <v>2790</v>
      </c>
      <c r="L417" s="27" t="s">
        <v>248</v>
      </c>
      <c r="M417" s="28" t="s">
        <v>249</v>
      </c>
      <c r="N417" s="39" t="s">
        <v>179</v>
      </c>
      <c r="O417" s="34" t="s">
        <v>2791</v>
      </c>
      <c r="P417" s="34" t="s">
        <v>2792</v>
      </c>
      <c r="Q417" s="35" t="s">
        <v>78</v>
      </c>
      <c r="R417" s="35" t="s">
        <v>79</v>
      </c>
      <c r="S417" s="35" t="s">
        <v>61</v>
      </c>
      <c r="T417" s="35" t="s">
        <v>62</v>
      </c>
      <c r="U417" s="36" t="s">
        <v>80</v>
      </c>
    </row>
    <row r="418" spans="1:21" ht="15.75" customHeight="1" x14ac:dyDescent="0.25">
      <c r="A418" s="9" t="s">
        <v>2793</v>
      </c>
      <c r="B418" s="10" t="s">
        <v>2794</v>
      </c>
      <c r="C418" s="11" t="s">
        <v>2795</v>
      </c>
      <c r="D418" s="12" t="s">
        <v>2796</v>
      </c>
      <c r="E418" s="11" t="s">
        <v>98</v>
      </c>
      <c r="F418" s="11" t="s">
        <v>2797</v>
      </c>
      <c r="G418" s="26" t="s">
        <v>119</v>
      </c>
      <c r="H418" s="11" t="s">
        <v>100</v>
      </c>
      <c r="I418" s="15" t="s">
        <v>2798</v>
      </c>
      <c r="J418" s="10" t="s">
        <v>2799</v>
      </c>
      <c r="K418" s="11"/>
      <c r="L418" s="9"/>
      <c r="M418" s="10"/>
      <c r="N418" s="16" t="s">
        <v>75</v>
      </c>
      <c r="O418" s="17" t="s">
        <v>2800</v>
      </c>
      <c r="P418" s="17" t="s">
        <v>2801</v>
      </c>
      <c r="Q418" s="18" t="s">
        <v>78</v>
      </c>
      <c r="R418" s="18" t="s">
        <v>79</v>
      </c>
      <c r="S418" s="18" t="s">
        <v>61</v>
      </c>
      <c r="T418" s="18" t="s">
        <v>62</v>
      </c>
      <c r="U418" s="19" t="s">
        <v>80</v>
      </c>
    </row>
    <row r="419" spans="1:21" ht="15.75" customHeight="1" x14ac:dyDescent="0.25">
      <c r="A419" s="27" t="s">
        <v>2802</v>
      </c>
      <c r="B419" s="28" t="s">
        <v>2803</v>
      </c>
      <c r="C419" s="29" t="s">
        <v>2804</v>
      </c>
      <c r="D419" s="30" t="s">
        <v>2805</v>
      </c>
      <c r="E419" s="29" t="s">
        <v>98</v>
      </c>
      <c r="F419" s="29" t="s">
        <v>2806</v>
      </c>
      <c r="G419" s="20" t="s">
        <v>119</v>
      </c>
      <c r="H419" s="29" t="s">
        <v>100</v>
      </c>
      <c r="I419" s="32" t="s">
        <v>2807</v>
      </c>
      <c r="J419" s="28" t="s">
        <v>2808</v>
      </c>
      <c r="K419" s="29" t="s">
        <v>2809</v>
      </c>
      <c r="L419" s="27" t="s">
        <v>90</v>
      </c>
      <c r="M419" s="28" t="s">
        <v>91</v>
      </c>
      <c r="N419" s="33" t="s">
        <v>75</v>
      </c>
      <c r="O419" s="34" t="s">
        <v>2810</v>
      </c>
      <c r="P419" s="34" t="s">
        <v>2811</v>
      </c>
      <c r="Q419" s="35" t="s">
        <v>78</v>
      </c>
      <c r="R419" s="35" t="s">
        <v>79</v>
      </c>
      <c r="S419" s="35" t="s">
        <v>61</v>
      </c>
      <c r="T419" s="35" t="s">
        <v>62</v>
      </c>
      <c r="U419" s="36" t="s">
        <v>80</v>
      </c>
    </row>
    <row r="420" spans="1:21" ht="15.75" customHeight="1" x14ac:dyDescent="0.25">
      <c r="A420" s="9" t="s">
        <v>2812</v>
      </c>
      <c r="B420" s="10" t="s">
        <v>2813</v>
      </c>
      <c r="C420" s="11" t="s">
        <v>2814</v>
      </c>
      <c r="D420" s="12" t="s">
        <v>2815</v>
      </c>
      <c r="E420" s="11" t="s">
        <v>98</v>
      </c>
      <c r="F420" s="13">
        <v>189</v>
      </c>
      <c r="G420" s="25" t="s">
        <v>119</v>
      </c>
      <c r="H420" s="11" t="s">
        <v>86</v>
      </c>
      <c r="I420" s="15" t="s">
        <v>2816</v>
      </c>
      <c r="J420" s="10" t="s">
        <v>2817</v>
      </c>
      <c r="K420" s="11" t="s">
        <v>2818</v>
      </c>
      <c r="L420" s="9" t="s">
        <v>481</v>
      </c>
      <c r="M420" s="10" t="s">
        <v>482</v>
      </c>
      <c r="N420" s="16" t="s">
        <v>75</v>
      </c>
      <c r="O420" s="17" t="s">
        <v>1127</v>
      </c>
      <c r="P420" s="17" t="s">
        <v>1128</v>
      </c>
      <c r="Q420" s="18" t="s">
        <v>78</v>
      </c>
      <c r="R420" s="18" t="s">
        <v>79</v>
      </c>
      <c r="S420" s="18" t="s">
        <v>61</v>
      </c>
      <c r="T420" s="18" t="s">
        <v>62</v>
      </c>
      <c r="U420" s="19" t="s">
        <v>80</v>
      </c>
    </row>
    <row r="421" spans="1:21" ht="15.75" customHeight="1" x14ac:dyDescent="0.25">
      <c r="A421" s="27" t="s">
        <v>2819</v>
      </c>
      <c r="B421" s="28" t="s">
        <v>2820</v>
      </c>
      <c r="C421" s="29" t="s">
        <v>2821</v>
      </c>
      <c r="D421" s="30" t="s">
        <v>2822</v>
      </c>
      <c r="E421" s="29" t="s">
        <v>98</v>
      </c>
      <c r="F421" s="31">
        <v>83</v>
      </c>
      <c r="G421" s="20" t="s">
        <v>85</v>
      </c>
      <c r="H421" s="29" t="s">
        <v>48</v>
      </c>
      <c r="I421" s="32" t="s">
        <v>2823</v>
      </c>
      <c r="J421" s="28" t="s">
        <v>2824</v>
      </c>
      <c r="K421" s="29" t="s">
        <v>1655</v>
      </c>
      <c r="L421" s="27" t="s">
        <v>90</v>
      </c>
      <c r="M421" s="28" t="s">
        <v>91</v>
      </c>
      <c r="N421" s="33" t="s">
        <v>75</v>
      </c>
      <c r="O421" s="34" t="s">
        <v>92</v>
      </c>
      <c r="P421" s="34" t="s">
        <v>93</v>
      </c>
      <c r="Q421" s="35" t="s">
        <v>78</v>
      </c>
      <c r="R421" s="35" t="s">
        <v>79</v>
      </c>
      <c r="S421" s="35" t="s">
        <v>61</v>
      </c>
      <c r="T421" s="35" t="s">
        <v>62</v>
      </c>
      <c r="U421" s="36" t="s">
        <v>80</v>
      </c>
    </row>
    <row r="422" spans="1:21" ht="15.75" customHeight="1" x14ac:dyDescent="0.25">
      <c r="A422" s="9" t="s">
        <v>2825</v>
      </c>
      <c r="B422" s="10" t="s">
        <v>2826</v>
      </c>
      <c r="C422" s="11" t="s">
        <v>2827</v>
      </c>
      <c r="D422" s="21" t="s">
        <v>109</v>
      </c>
      <c r="E422" s="11" t="s">
        <v>47</v>
      </c>
      <c r="F422" s="13">
        <v>156</v>
      </c>
      <c r="G422" s="14" t="s">
        <v>119</v>
      </c>
      <c r="H422" s="11" t="s">
        <v>86</v>
      </c>
      <c r="I422" s="15" t="s">
        <v>2828</v>
      </c>
      <c r="J422" s="10" t="s">
        <v>2829</v>
      </c>
      <c r="K422" s="11" t="s">
        <v>2830</v>
      </c>
      <c r="L422" s="9" t="s">
        <v>158</v>
      </c>
      <c r="M422" s="10" t="s">
        <v>159</v>
      </c>
      <c r="N422" s="22"/>
      <c r="O422" s="17"/>
      <c r="P422" s="17"/>
      <c r="Q422" s="18" t="s">
        <v>78</v>
      </c>
      <c r="R422" s="18" t="s">
        <v>79</v>
      </c>
      <c r="S422" s="18" t="s">
        <v>61</v>
      </c>
      <c r="T422" s="18" t="s">
        <v>62</v>
      </c>
      <c r="U422" s="19" t="s">
        <v>80</v>
      </c>
    </row>
    <row r="423" spans="1:21" ht="15.75" customHeight="1" x14ac:dyDescent="0.25">
      <c r="A423" s="27" t="s">
        <v>2831</v>
      </c>
      <c r="B423" s="28" t="s">
        <v>2832</v>
      </c>
      <c r="C423" s="29" t="s">
        <v>2833</v>
      </c>
      <c r="D423" s="30" t="s">
        <v>2834</v>
      </c>
      <c r="E423" s="29" t="s">
        <v>47</v>
      </c>
      <c r="F423" s="31">
        <v>173</v>
      </c>
      <c r="G423" s="14" t="s">
        <v>110</v>
      </c>
      <c r="H423" s="29" t="s">
        <v>86</v>
      </c>
      <c r="I423" s="32" t="s">
        <v>2835</v>
      </c>
      <c r="J423" s="28" t="s">
        <v>2836</v>
      </c>
      <c r="K423" s="29" t="s">
        <v>2837</v>
      </c>
      <c r="L423" s="27" t="s">
        <v>158</v>
      </c>
      <c r="M423" s="28" t="s">
        <v>159</v>
      </c>
      <c r="N423" s="39" t="s">
        <v>179</v>
      </c>
      <c r="O423" s="34" t="s">
        <v>2007</v>
      </c>
      <c r="P423" s="34" t="s">
        <v>2008</v>
      </c>
      <c r="Q423" s="35" t="s">
        <v>78</v>
      </c>
      <c r="R423" s="35" t="s">
        <v>79</v>
      </c>
      <c r="S423" s="35" t="s">
        <v>61</v>
      </c>
      <c r="T423" s="35" t="s">
        <v>62</v>
      </c>
      <c r="U423" s="36" t="s">
        <v>80</v>
      </c>
    </row>
    <row r="424" spans="1:21" ht="15.75" customHeight="1" x14ac:dyDescent="0.25">
      <c r="A424" s="9" t="s">
        <v>2838</v>
      </c>
      <c r="B424" s="10" t="s">
        <v>2839</v>
      </c>
      <c r="C424" s="11" t="s">
        <v>2840</v>
      </c>
      <c r="D424" s="21" t="s">
        <v>109</v>
      </c>
      <c r="E424" s="11" t="s">
        <v>47</v>
      </c>
      <c r="F424" s="13">
        <v>131</v>
      </c>
      <c r="G424" s="14" t="s">
        <v>119</v>
      </c>
      <c r="H424" s="11" t="s">
        <v>330</v>
      </c>
      <c r="I424" s="15" t="s">
        <v>2841</v>
      </c>
      <c r="J424" s="10" t="s">
        <v>2842</v>
      </c>
      <c r="K424" s="11" t="s">
        <v>2843</v>
      </c>
      <c r="L424" s="9" t="s">
        <v>158</v>
      </c>
      <c r="M424" s="10" t="s">
        <v>159</v>
      </c>
      <c r="N424" s="22"/>
      <c r="O424" s="17"/>
      <c r="P424" s="17"/>
      <c r="Q424" s="18" t="s">
        <v>78</v>
      </c>
      <c r="R424" s="18" t="s">
        <v>79</v>
      </c>
      <c r="S424" s="18" t="s">
        <v>61</v>
      </c>
      <c r="T424" s="18" t="s">
        <v>62</v>
      </c>
      <c r="U424" s="19" t="s">
        <v>80</v>
      </c>
    </row>
    <row r="425" spans="1:21" ht="15.75" customHeight="1" x14ac:dyDescent="0.25">
      <c r="A425" s="27" t="s">
        <v>2844</v>
      </c>
      <c r="B425" s="28" t="s">
        <v>2845</v>
      </c>
      <c r="C425" s="29" t="s">
        <v>2846</v>
      </c>
      <c r="D425" s="37" t="s">
        <v>109</v>
      </c>
      <c r="E425" s="29" t="s">
        <v>47</v>
      </c>
      <c r="F425" s="31">
        <v>174.2</v>
      </c>
      <c r="G425" s="14" t="s">
        <v>119</v>
      </c>
      <c r="H425" s="29" t="s">
        <v>86</v>
      </c>
      <c r="I425" s="32" t="s">
        <v>2847</v>
      </c>
      <c r="J425" s="28" t="s">
        <v>2848</v>
      </c>
      <c r="K425" s="29" t="s">
        <v>2849</v>
      </c>
      <c r="L425" s="27" t="s">
        <v>158</v>
      </c>
      <c r="M425" s="28" t="s">
        <v>159</v>
      </c>
      <c r="N425" s="38"/>
      <c r="O425" s="34"/>
      <c r="P425" s="34"/>
      <c r="Q425" s="35" t="s">
        <v>78</v>
      </c>
      <c r="R425" s="35" t="s">
        <v>79</v>
      </c>
      <c r="S425" s="35" t="s">
        <v>61</v>
      </c>
      <c r="T425" s="35" t="s">
        <v>62</v>
      </c>
      <c r="U425" s="36" t="s">
        <v>80</v>
      </c>
    </row>
    <row r="426" spans="1:21" ht="15.75" customHeight="1" x14ac:dyDescent="0.25">
      <c r="A426" s="9" t="s">
        <v>2850</v>
      </c>
      <c r="B426" s="10" t="s">
        <v>2851</v>
      </c>
      <c r="C426" s="11" t="s">
        <v>2852</v>
      </c>
      <c r="D426" s="21" t="s">
        <v>109</v>
      </c>
      <c r="E426" s="11" t="s">
        <v>47</v>
      </c>
      <c r="F426" s="13">
        <v>93</v>
      </c>
      <c r="G426" s="25" t="s">
        <v>110</v>
      </c>
      <c r="H426" s="11" t="s">
        <v>48</v>
      </c>
      <c r="I426" s="15" t="s">
        <v>2853</v>
      </c>
      <c r="J426" s="10" t="s">
        <v>2854</v>
      </c>
      <c r="K426" s="11" t="s">
        <v>132</v>
      </c>
      <c r="L426" s="9" t="s">
        <v>90</v>
      </c>
      <c r="M426" s="10" t="s">
        <v>91</v>
      </c>
      <c r="N426" s="22"/>
      <c r="O426" s="17"/>
      <c r="P426" s="17"/>
      <c r="Q426" s="18" t="s">
        <v>78</v>
      </c>
      <c r="R426" s="18" t="s">
        <v>79</v>
      </c>
      <c r="S426" s="18" t="s">
        <v>61</v>
      </c>
      <c r="T426" s="18" t="s">
        <v>62</v>
      </c>
      <c r="U426" s="19" t="s">
        <v>80</v>
      </c>
    </row>
    <row r="427" spans="1:21" ht="15.75" customHeight="1" x14ac:dyDescent="0.25">
      <c r="A427" s="27" t="s">
        <v>2855</v>
      </c>
      <c r="B427" s="28" t="s">
        <v>2856</v>
      </c>
      <c r="C427" s="29" t="s">
        <v>2857</v>
      </c>
      <c r="D427" s="30" t="s">
        <v>2858</v>
      </c>
      <c r="E427" s="29" t="s">
        <v>47</v>
      </c>
      <c r="F427" s="31">
        <v>290</v>
      </c>
      <c r="G427" s="26" t="s">
        <v>119</v>
      </c>
      <c r="H427" s="29" t="s">
        <v>129</v>
      </c>
      <c r="I427" s="32" t="s">
        <v>2859</v>
      </c>
      <c r="J427" s="28" t="s">
        <v>2860</v>
      </c>
      <c r="K427" s="29" t="s">
        <v>348</v>
      </c>
      <c r="L427" s="27" t="s">
        <v>197</v>
      </c>
      <c r="M427" s="28" t="s">
        <v>198</v>
      </c>
      <c r="N427" s="39" t="s">
        <v>179</v>
      </c>
      <c r="O427" s="34" t="s">
        <v>934</v>
      </c>
      <c r="P427" s="34" t="s">
        <v>935</v>
      </c>
      <c r="Q427" s="35" t="s">
        <v>78</v>
      </c>
      <c r="R427" s="35" t="s">
        <v>79</v>
      </c>
      <c r="S427" s="35" t="s">
        <v>61</v>
      </c>
      <c r="T427" s="35" t="s">
        <v>62</v>
      </c>
      <c r="U427" s="36" t="s">
        <v>80</v>
      </c>
    </row>
    <row r="428" spans="1:21" ht="15.75" customHeight="1" x14ac:dyDescent="0.25">
      <c r="A428" s="9" t="s">
        <v>2861</v>
      </c>
      <c r="B428" s="10" t="s">
        <v>2862</v>
      </c>
      <c r="C428" s="11" t="s">
        <v>2863</v>
      </c>
      <c r="D428" s="12" t="s">
        <v>2578</v>
      </c>
      <c r="E428" s="11" t="s">
        <v>98</v>
      </c>
      <c r="F428" s="13">
        <v>524</v>
      </c>
      <c r="G428" s="20" t="s">
        <v>85</v>
      </c>
      <c r="H428" s="11" t="s">
        <v>129</v>
      </c>
      <c r="I428" s="15" t="s">
        <v>2864</v>
      </c>
      <c r="J428" s="10" t="s">
        <v>2865</v>
      </c>
      <c r="K428" s="11" t="s">
        <v>332</v>
      </c>
      <c r="L428" s="9" t="s">
        <v>197</v>
      </c>
      <c r="M428" s="10" t="s">
        <v>198</v>
      </c>
      <c r="N428" s="16" t="s">
        <v>75</v>
      </c>
      <c r="O428" s="17" t="s">
        <v>104</v>
      </c>
      <c r="P428" s="17" t="s">
        <v>105</v>
      </c>
      <c r="Q428" s="18" t="s">
        <v>78</v>
      </c>
      <c r="R428" s="18" t="s">
        <v>79</v>
      </c>
      <c r="S428" s="18" t="s">
        <v>61</v>
      </c>
      <c r="T428" s="18" t="s">
        <v>62</v>
      </c>
      <c r="U428" s="19" t="s">
        <v>80</v>
      </c>
    </row>
    <row r="429" spans="1:21" ht="15.75" customHeight="1" x14ac:dyDescent="0.25">
      <c r="A429" s="27" t="s">
        <v>2866</v>
      </c>
      <c r="B429" s="28" t="s">
        <v>2867</v>
      </c>
      <c r="C429" s="29" t="s">
        <v>2868</v>
      </c>
      <c r="D429" s="30" t="s">
        <v>2869</v>
      </c>
      <c r="E429" s="29"/>
      <c r="F429" s="31">
        <v>-92</v>
      </c>
      <c r="G429" s="20" t="s">
        <v>119</v>
      </c>
      <c r="H429" s="29" t="s">
        <v>69</v>
      </c>
      <c r="I429" s="32" t="s">
        <v>2870</v>
      </c>
      <c r="J429" s="28" t="s">
        <v>2871</v>
      </c>
      <c r="K429" s="29" t="s">
        <v>2872</v>
      </c>
      <c r="L429" s="27" t="s">
        <v>140</v>
      </c>
      <c r="M429" s="28" t="s">
        <v>141</v>
      </c>
      <c r="N429" s="33" t="s">
        <v>75</v>
      </c>
      <c r="O429" s="34" t="s">
        <v>2873</v>
      </c>
      <c r="P429" s="34" t="s">
        <v>2874</v>
      </c>
      <c r="Q429" s="35" t="s">
        <v>78</v>
      </c>
      <c r="R429" s="35" t="s">
        <v>79</v>
      </c>
      <c r="S429" s="35" t="s">
        <v>61</v>
      </c>
      <c r="T429" s="35" t="s">
        <v>62</v>
      </c>
      <c r="U429" s="36" t="s">
        <v>80</v>
      </c>
    </row>
    <row r="430" spans="1:21" ht="15.75" customHeight="1" x14ac:dyDescent="0.25">
      <c r="A430" s="9" t="s">
        <v>2875</v>
      </c>
      <c r="B430" s="10" t="s">
        <v>2876</v>
      </c>
      <c r="C430" s="11" t="s">
        <v>2877</v>
      </c>
      <c r="D430" s="21" t="s">
        <v>109</v>
      </c>
      <c r="E430" s="11" t="s">
        <v>47</v>
      </c>
      <c r="F430" s="11"/>
      <c r="G430" s="24" t="s">
        <v>85</v>
      </c>
      <c r="H430" s="11" t="s">
        <v>120</v>
      </c>
      <c r="I430" s="15" t="s">
        <v>2878</v>
      </c>
      <c r="J430" s="10" t="s">
        <v>2879</v>
      </c>
      <c r="K430" s="11"/>
      <c r="L430" s="9"/>
      <c r="M430" s="10"/>
      <c r="N430" s="22"/>
      <c r="O430" s="17"/>
      <c r="P430" s="17"/>
      <c r="Q430" s="18" t="s">
        <v>78</v>
      </c>
      <c r="R430" s="18" t="s">
        <v>79</v>
      </c>
      <c r="S430" s="18" t="s">
        <v>61</v>
      </c>
      <c r="T430" s="18" t="s">
        <v>62</v>
      </c>
      <c r="U430" s="19" t="s">
        <v>80</v>
      </c>
    </row>
    <row r="431" spans="1:21" ht="15.75" customHeight="1" x14ac:dyDescent="0.25">
      <c r="A431" s="27" t="s">
        <v>2880</v>
      </c>
      <c r="B431" s="28" t="s">
        <v>2881</v>
      </c>
      <c r="C431" s="29" t="s">
        <v>2882</v>
      </c>
      <c r="D431" s="30" t="s">
        <v>2883</v>
      </c>
      <c r="E431" s="29" t="s">
        <v>47</v>
      </c>
      <c r="F431" s="31">
        <v>124</v>
      </c>
      <c r="G431" s="20" t="s">
        <v>119</v>
      </c>
      <c r="H431" s="29" t="s">
        <v>330</v>
      </c>
      <c r="I431" s="32" t="s">
        <v>2884</v>
      </c>
      <c r="J431" s="28" t="s">
        <v>2885</v>
      </c>
      <c r="K431" s="29" t="s">
        <v>2886</v>
      </c>
      <c r="L431" s="27" t="s">
        <v>90</v>
      </c>
      <c r="M431" s="28" t="s">
        <v>91</v>
      </c>
      <c r="N431" s="33" t="s">
        <v>75</v>
      </c>
      <c r="O431" s="34" t="s">
        <v>508</v>
      </c>
      <c r="P431" s="34" t="s">
        <v>509</v>
      </c>
      <c r="Q431" s="35" t="s">
        <v>78</v>
      </c>
      <c r="R431" s="35" t="s">
        <v>79</v>
      </c>
      <c r="S431" s="35" t="s">
        <v>61</v>
      </c>
      <c r="T431" s="35" t="s">
        <v>62</v>
      </c>
      <c r="U431" s="36" t="s">
        <v>80</v>
      </c>
    </row>
    <row r="432" spans="1:21" ht="15.75" customHeight="1" x14ac:dyDescent="0.25">
      <c r="A432" s="9" t="s">
        <v>2887</v>
      </c>
      <c r="B432" s="10" t="s">
        <v>2888</v>
      </c>
      <c r="C432" s="11" t="s">
        <v>2889</v>
      </c>
      <c r="D432" s="21" t="s">
        <v>109</v>
      </c>
      <c r="E432" s="11" t="s">
        <v>47</v>
      </c>
      <c r="F432" s="13">
        <v>187</v>
      </c>
      <c r="G432" s="25" t="s">
        <v>110</v>
      </c>
      <c r="H432" s="11" t="s">
        <v>86</v>
      </c>
      <c r="I432" s="15" t="s">
        <v>2890</v>
      </c>
      <c r="J432" s="10" t="s">
        <v>2891</v>
      </c>
      <c r="K432" s="11" t="s">
        <v>2892</v>
      </c>
      <c r="L432" s="9" t="s">
        <v>90</v>
      </c>
      <c r="M432" s="10" t="s">
        <v>91</v>
      </c>
      <c r="N432" s="22"/>
      <c r="O432" s="17"/>
      <c r="P432" s="17"/>
      <c r="Q432" s="18" t="s">
        <v>78</v>
      </c>
      <c r="R432" s="18" t="s">
        <v>79</v>
      </c>
      <c r="S432" s="18" t="s">
        <v>61</v>
      </c>
      <c r="T432" s="18" t="s">
        <v>62</v>
      </c>
      <c r="U432" s="19" t="s">
        <v>80</v>
      </c>
    </row>
    <row r="433" spans="1:21" ht="15.75" customHeight="1" x14ac:dyDescent="0.25">
      <c r="A433" s="27" t="s">
        <v>2893</v>
      </c>
      <c r="B433" s="28" t="s">
        <v>2894</v>
      </c>
      <c r="C433" s="29" t="s">
        <v>2895</v>
      </c>
      <c r="D433" s="37" t="s">
        <v>109</v>
      </c>
      <c r="E433" s="29" t="s">
        <v>47</v>
      </c>
      <c r="F433" s="31">
        <v>55</v>
      </c>
      <c r="G433" s="14" t="s">
        <v>119</v>
      </c>
      <c r="H433" s="29" t="s">
        <v>48</v>
      </c>
      <c r="I433" s="32" t="s">
        <v>2896</v>
      </c>
      <c r="J433" s="28" t="s">
        <v>2897</v>
      </c>
      <c r="K433" s="29" t="s">
        <v>2898</v>
      </c>
      <c r="L433" s="27" t="s">
        <v>158</v>
      </c>
      <c r="M433" s="28" t="s">
        <v>159</v>
      </c>
      <c r="N433" s="38"/>
      <c r="O433" s="34"/>
      <c r="P433" s="34"/>
      <c r="Q433" s="35" t="s">
        <v>78</v>
      </c>
      <c r="R433" s="35" t="s">
        <v>79</v>
      </c>
      <c r="S433" s="35" t="s">
        <v>61</v>
      </c>
      <c r="T433" s="35" t="s">
        <v>62</v>
      </c>
      <c r="U433" s="36" t="s">
        <v>80</v>
      </c>
    </row>
    <row r="434" spans="1:21" ht="15.75" customHeight="1" x14ac:dyDescent="0.25">
      <c r="A434" s="9" t="s">
        <v>2899</v>
      </c>
      <c r="B434" s="10" t="s">
        <v>2900</v>
      </c>
      <c r="C434" s="11" t="s">
        <v>2901</v>
      </c>
      <c r="D434" s="12" t="s">
        <v>2902</v>
      </c>
      <c r="E434" s="11" t="s">
        <v>98</v>
      </c>
      <c r="F434" s="11"/>
      <c r="G434" s="26" t="s">
        <v>119</v>
      </c>
      <c r="H434" s="11" t="s">
        <v>100</v>
      </c>
      <c r="I434" s="15" t="s">
        <v>2903</v>
      </c>
      <c r="J434" s="10" t="s">
        <v>2904</v>
      </c>
      <c r="K434" s="11" t="s">
        <v>2905</v>
      </c>
      <c r="L434" s="9" t="s">
        <v>1203</v>
      </c>
      <c r="M434" s="10" t="s">
        <v>1204</v>
      </c>
      <c r="N434" s="16" t="s">
        <v>75</v>
      </c>
      <c r="O434" s="17" t="s">
        <v>2906</v>
      </c>
      <c r="P434" s="17" t="s">
        <v>2907</v>
      </c>
      <c r="Q434" s="18" t="s">
        <v>78</v>
      </c>
      <c r="R434" s="18" t="s">
        <v>79</v>
      </c>
      <c r="S434" s="18" t="s">
        <v>61</v>
      </c>
      <c r="T434" s="18" t="s">
        <v>62</v>
      </c>
      <c r="U434" s="19" t="s">
        <v>80</v>
      </c>
    </row>
    <row r="435" spans="1:21" ht="15.75" customHeight="1" x14ac:dyDescent="0.25">
      <c r="A435" s="27" t="s">
        <v>2908</v>
      </c>
      <c r="B435" s="28" t="s">
        <v>2909</v>
      </c>
      <c r="C435" s="29" t="s">
        <v>2910</v>
      </c>
      <c r="D435" s="30" t="s">
        <v>2911</v>
      </c>
      <c r="E435" s="29" t="s">
        <v>98</v>
      </c>
      <c r="F435" s="31">
        <v>210</v>
      </c>
      <c r="G435" s="20" t="s">
        <v>119</v>
      </c>
      <c r="H435" s="29" t="s">
        <v>129</v>
      </c>
      <c r="I435" s="32" t="s">
        <v>2912</v>
      </c>
      <c r="J435" s="28" t="s">
        <v>2913</v>
      </c>
      <c r="K435" s="29" t="s">
        <v>1114</v>
      </c>
      <c r="L435" s="27" t="s">
        <v>90</v>
      </c>
      <c r="M435" s="28" t="s">
        <v>91</v>
      </c>
      <c r="N435" s="33" t="s">
        <v>75</v>
      </c>
      <c r="O435" s="34" t="s">
        <v>483</v>
      </c>
      <c r="P435" s="34" t="s">
        <v>484</v>
      </c>
      <c r="Q435" s="35" t="s">
        <v>78</v>
      </c>
      <c r="R435" s="35" t="s">
        <v>79</v>
      </c>
      <c r="S435" s="35" t="s">
        <v>61</v>
      </c>
      <c r="T435" s="35" t="s">
        <v>62</v>
      </c>
      <c r="U435" s="36" t="s">
        <v>80</v>
      </c>
    </row>
    <row r="436" spans="1:21" ht="15.75" customHeight="1" x14ac:dyDescent="0.25">
      <c r="A436" s="9" t="s">
        <v>2914</v>
      </c>
      <c r="B436" s="10" t="s">
        <v>2915</v>
      </c>
      <c r="C436" s="11" t="s">
        <v>2916</v>
      </c>
      <c r="D436" s="12" t="s">
        <v>2917</v>
      </c>
      <c r="E436" s="11" t="s">
        <v>98</v>
      </c>
      <c r="F436" s="13">
        <v>211</v>
      </c>
      <c r="G436" s="14" t="s">
        <v>119</v>
      </c>
      <c r="H436" s="11" t="s">
        <v>129</v>
      </c>
      <c r="I436" s="15" t="s">
        <v>2918</v>
      </c>
      <c r="J436" s="10" t="s">
        <v>2919</v>
      </c>
      <c r="K436" s="11" t="s">
        <v>1114</v>
      </c>
      <c r="L436" s="9" t="s">
        <v>90</v>
      </c>
      <c r="M436" s="10" t="s">
        <v>91</v>
      </c>
      <c r="N436" s="23" t="s">
        <v>179</v>
      </c>
      <c r="O436" s="17" t="s">
        <v>869</v>
      </c>
      <c r="P436" s="17" t="s">
        <v>870</v>
      </c>
      <c r="Q436" s="18" t="s">
        <v>78</v>
      </c>
      <c r="R436" s="18" t="s">
        <v>79</v>
      </c>
      <c r="S436" s="18" t="s">
        <v>61</v>
      </c>
      <c r="T436" s="18" t="s">
        <v>62</v>
      </c>
      <c r="U436" s="19" t="s">
        <v>80</v>
      </c>
    </row>
    <row r="437" spans="1:21" ht="15.75" customHeight="1" x14ac:dyDescent="0.25">
      <c r="A437" s="27" t="s">
        <v>2920</v>
      </c>
      <c r="B437" s="28" t="s">
        <v>2921</v>
      </c>
      <c r="C437" s="29" t="s">
        <v>2922</v>
      </c>
      <c r="D437" s="30" t="s">
        <v>2923</v>
      </c>
      <c r="E437" s="29" t="s">
        <v>98</v>
      </c>
      <c r="F437" s="31">
        <v>233</v>
      </c>
      <c r="G437" s="26" t="s">
        <v>119</v>
      </c>
      <c r="H437" s="29" t="s">
        <v>129</v>
      </c>
      <c r="I437" s="32" t="s">
        <v>2924</v>
      </c>
      <c r="J437" s="28" t="s">
        <v>2925</v>
      </c>
      <c r="K437" s="29" t="s">
        <v>1114</v>
      </c>
      <c r="L437" s="27" t="s">
        <v>90</v>
      </c>
      <c r="M437" s="28" t="s">
        <v>91</v>
      </c>
      <c r="N437" s="39" t="s">
        <v>179</v>
      </c>
      <c r="O437" s="34" t="s">
        <v>934</v>
      </c>
      <c r="P437" s="34" t="s">
        <v>935</v>
      </c>
      <c r="Q437" s="35" t="s">
        <v>78</v>
      </c>
      <c r="R437" s="35" t="s">
        <v>79</v>
      </c>
      <c r="S437" s="35" t="s">
        <v>61</v>
      </c>
      <c r="T437" s="35" t="s">
        <v>62</v>
      </c>
      <c r="U437" s="36" t="s">
        <v>80</v>
      </c>
    </row>
    <row r="438" spans="1:21" ht="15.75" customHeight="1" x14ac:dyDescent="0.25">
      <c r="A438" s="9" t="s">
        <v>2926</v>
      </c>
      <c r="B438" s="10" t="s">
        <v>2927</v>
      </c>
      <c r="C438" s="11" t="s">
        <v>2928</v>
      </c>
      <c r="D438" s="12" t="s">
        <v>2929</v>
      </c>
      <c r="E438" s="11" t="s">
        <v>47</v>
      </c>
      <c r="F438" s="13">
        <v>96</v>
      </c>
      <c r="G438" s="20" t="s">
        <v>85</v>
      </c>
      <c r="H438" s="11" t="s">
        <v>48</v>
      </c>
      <c r="I438" s="15" t="s">
        <v>2930</v>
      </c>
      <c r="J438" s="10" t="s">
        <v>2931</v>
      </c>
      <c r="K438" s="11" t="s">
        <v>2932</v>
      </c>
      <c r="L438" s="9" t="s">
        <v>158</v>
      </c>
      <c r="M438" s="10" t="s">
        <v>159</v>
      </c>
      <c r="N438" s="16" t="s">
        <v>75</v>
      </c>
      <c r="O438" s="17" t="s">
        <v>382</v>
      </c>
      <c r="P438" s="17" t="s">
        <v>383</v>
      </c>
      <c r="Q438" s="18" t="s">
        <v>78</v>
      </c>
      <c r="R438" s="18" t="s">
        <v>79</v>
      </c>
      <c r="S438" s="18" t="s">
        <v>61</v>
      </c>
      <c r="T438" s="18" t="s">
        <v>62</v>
      </c>
      <c r="U438" s="19" t="s">
        <v>80</v>
      </c>
    </row>
    <row r="439" spans="1:21" ht="15.75" customHeight="1" x14ac:dyDescent="0.25">
      <c r="A439" s="27" t="s">
        <v>2933</v>
      </c>
      <c r="B439" s="28" t="s">
        <v>2934</v>
      </c>
      <c r="C439" s="29" t="s">
        <v>2935</v>
      </c>
      <c r="D439" s="37" t="s">
        <v>109</v>
      </c>
      <c r="E439" s="29" t="s">
        <v>67</v>
      </c>
      <c r="F439" s="31">
        <v>8</v>
      </c>
      <c r="G439" s="20" t="s">
        <v>68</v>
      </c>
      <c r="H439" s="29" t="s">
        <v>421</v>
      </c>
      <c r="I439" s="32" t="s">
        <v>2936</v>
      </c>
      <c r="J439" s="28" t="s">
        <v>2937</v>
      </c>
      <c r="K439" s="29" t="s">
        <v>2938</v>
      </c>
      <c r="L439" s="27" t="s">
        <v>140</v>
      </c>
      <c r="M439" s="28" t="s">
        <v>141</v>
      </c>
      <c r="N439" s="38"/>
      <c r="O439" s="34"/>
      <c r="P439" s="34"/>
      <c r="Q439" s="35" t="s">
        <v>78</v>
      </c>
      <c r="R439" s="35" t="s">
        <v>79</v>
      </c>
      <c r="S439" s="35" t="s">
        <v>61</v>
      </c>
      <c r="T439" s="35" t="s">
        <v>62</v>
      </c>
      <c r="U439" s="36" t="s">
        <v>80</v>
      </c>
    </row>
    <row r="440" spans="1:21" ht="15.75" customHeight="1" x14ac:dyDescent="0.25">
      <c r="A440" s="9" t="s">
        <v>2939</v>
      </c>
      <c r="B440" s="10" t="s">
        <v>2940</v>
      </c>
      <c r="C440" s="11" t="s">
        <v>2941</v>
      </c>
      <c r="D440" s="21" t="s">
        <v>109</v>
      </c>
      <c r="E440" s="11" t="s">
        <v>98</v>
      </c>
      <c r="F440" s="11"/>
      <c r="G440" s="24" t="s">
        <v>85</v>
      </c>
      <c r="H440" s="11" t="s">
        <v>100</v>
      </c>
      <c r="I440" s="15" t="s">
        <v>2942</v>
      </c>
      <c r="J440" s="10" t="s">
        <v>2943</v>
      </c>
      <c r="K440" s="11"/>
      <c r="L440" s="9"/>
      <c r="M440" s="10"/>
      <c r="N440" s="22"/>
      <c r="O440" s="17"/>
      <c r="P440" s="17"/>
      <c r="Q440" s="18" t="s">
        <v>78</v>
      </c>
      <c r="R440" s="18" t="s">
        <v>79</v>
      </c>
      <c r="S440" s="18" t="s">
        <v>61</v>
      </c>
      <c r="T440" s="18" t="s">
        <v>62</v>
      </c>
      <c r="U440" s="19" t="s">
        <v>80</v>
      </c>
    </row>
    <row r="441" spans="1:21" ht="15.75" customHeight="1" x14ac:dyDescent="0.25">
      <c r="A441" s="27" t="s">
        <v>2944</v>
      </c>
      <c r="B441" s="28" t="s">
        <v>2945</v>
      </c>
      <c r="C441" s="29" t="s">
        <v>2946</v>
      </c>
      <c r="D441" s="30" t="s">
        <v>2947</v>
      </c>
      <c r="E441" s="29" t="s">
        <v>47</v>
      </c>
      <c r="F441" s="31">
        <v>55.5</v>
      </c>
      <c r="G441" s="20" t="s">
        <v>119</v>
      </c>
      <c r="H441" s="29" t="s">
        <v>48</v>
      </c>
      <c r="I441" s="32" t="s">
        <v>2948</v>
      </c>
      <c r="J441" s="28" t="s">
        <v>2949</v>
      </c>
      <c r="K441" s="29" t="s">
        <v>2950</v>
      </c>
      <c r="L441" s="27" t="s">
        <v>158</v>
      </c>
      <c r="M441" s="28" t="s">
        <v>159</v>
      </c>
      <c r="N441" s="33" t="s">
        <v>75</v>
      </c>
      <c r="O441" s="34" t="s">
        <v>2951</v>
      </c>
      <c r="P441" s="34" t="s">
        <v>2952</v>
      </c>
      <c r="Q441" s="35" t="s">
        <v>78</v>
      </c>
      <c r="R441" s="35" t="s">
        <v>79</v>
      </c>
      <c r="S441" s="35" t="s">
        <v>61</v>
      </c>
      <c r="T441" s="35" t="s">
        <v>62</v>
      </c>
      <c r="U441" s="36" t="s">
        <v>80</v>
      </c>
    </row>
    <row r="442" spans="1:21" ht="15.75" customHeight="1" x14ac:dyDescent="0.25">
      <c r="A442" s="9" t="s">
        <v>2953</v>
      </c>
      <c r="B442" s="10" t="s">
        <v>2954</v>
      </c>
      <c r="C442" s="11" t="s">
        <v>2955</v>
      </c>
      <c r="D442" s="12" t="s">
        <v>2956</v>
      </c>
      <c r="E442" s="11" t="s">
        <v>47</v>
      </c>
      <c r="F442" s="13">
        <v>180</v>
      </c>
      <c r="G442" s="26" t="s">
        <v>119</v>
      </c>
      <c r="H442" s="11" t="s">
        <v>86</v>
      </c>
      <c r="I442" s="15" t="s">
        <v>2957</v>
      </c>
      <c r="J442" s="10" t="s">
        <v>2958</v>
      </c>
      <c r="K442" s="11" t="s">
        <v>2959</v>
      </c>
      <c r="L442" s="9" t="s">
        <v>158</v>
      </c>
      <c r="M442" s="10" t="s">
        <v>159</v>
      </c>
      <c r="N442" s="23" t="s">
        <v>179</v>
      </c>
      <c r="O442" s="17" t="s">
        <v>1700</v>
      </c>
      <c r="P442" s="17" t="s">
        <v>1701</v>
      </c>
      <c r="Q442" s="18" t="s">
        <v>78</v>
      </c>
      <c r="R442" s="18" t="s">
        <v>79</v>
      </c>
      <c r="S442" s="18" t="s">
        <v>61</v>
      </c>
      <c r="T442" s="18" t="s">
        <v>62</v>
      </c>
      <c r="U442" s="19" t="s">
        <v>80</v>
      </c>
    </row>
    <row r="443" spans="1:21" ht="15.75" customHeight="1" x14ac:dyDescent="0.25">
      <c r="A443" s="27" t="s">
        <v>2960</v>
      </c>
      <c r="B443" s="28" t="s">
        <v>2961</v>
      </c>
      <c r="C443" s="29" t="s">
        <v>2962</v>
      </c>
      <c r="D443" s="30" t="s">
        <v>2963</v>
      </c>
      <c r="E443" s="29" t="s">
        <v>98</v>
      </c>
      <c r="F443" s="29"/>
      <c r="G443" s="26" t="s">
        <v>119</v>
      </c>
      <c r="H443" s="29" t="s">
        <v>100</v>
      </c>
      <c r="I443" s="32" t="s">
        <v>2964</v>
      </c>
      <c r="J443" s="28" t="s">
        <v>2965</v>
      </c>
      <c r="K443" s="29" t="s">
        <v>332</v>
      </c>
      <c r="L443" s="27" t="s">
        <v>197</v>
      </c>
      <c r="M443" s="28" t="s">
        <v>198</v>
      </c>
      <c r="N443" s="39" t="s">
        <v>179</v>
      </c>
      <c r="O443" s="34" t="s">
        <v>934</v>
      </c>
      <c r="P443" s="34" t="s">
        <v>935</v>
      </c>
      <c r="Q443" s="35" t="s">
        <v>78</v>
      </c>
      <c r="R443" s="35" t="s">
        <v>79</v>
      </c>
      <c r="S443" s="35" t="s">
        <v>61</v>
      </c>
      <c r="T443" s="35" t="s">
        <v>62</v>
      </c>
      <c r="U443" s="36" t="s">
        <v>80</v>
      </c>
    </row>
    <row r="444" spans="1:21" ht="15.75" customHeight="1" x14ac:dyDescent="0.25">
      <c r="A444" s="9" t="s">
        <v>2966</v>
      </c>
      <c r="B444" s="10" t="s">
        <v>2967</v>
      </c>
      <c r="C444" s="11" t="s">
        <v>2968</v>
      </c>
      <c r="D444" s="21" t="s">
        <v>109</v>
      </c>
      <c r="E444" s="11" t="s">
        <v>47</v>
      </c>
      <c r="F444" s="13">
        <v>236</v>
      </c>
      <c r="G444" s="24" t="s">
        <v>85</v>
      </c>
      <c r="H444" s="11" t="s">
        <v>129</v>
      </c>
      <c r="I444" s="15" t="s">
        <v>2969</v>
      </c>
      <c r="J444" s="10" t="s">
        <v>2970</v>
      </c>
      <c r="K444" s="11"/>
      <c r="L444" s="9"/>
      <c r="M444" s="10"/>
      <c r="N444" s="22"/>
      <c r="O444" s="17"/>
      <c r="P444" s="17"/>
      <c r="Q444" s="18" t="s">
        <v>78</v>
      </c>
      <c r="R444" s="18" t="s">
        <v>79</v>
      </c>
      <c r="S444" s="18" t="s">
        <v>61</v>
      </c>
      <c r="T444" s="18" t="s">
        <v>62</v>
      </c>
      <c r="U444" s="19" t="s">
        <v>80</v>
      </c>
    </row>
    <row r="445" spans="1:21" ht="15.75" customHeight="1" x14ac:dyDescent="0.25">
      <c r="A445" s="27" t="s">
        <v>2971</v>
      </c>
      <c r="B445" s="28" t="s">
        <v>2972</v>
      </c>
      <c r="C445" s="29" t="s">
        <v>2973</v>
      </c>
      <c r="D445" s="30" t="s">
        <v>2974</v>
      </c>
      <c r="E445" s="29" t="s">
        <v>47</v>
      </c>
      <c r="F445" s="29" t="s">
        <v>2975</v>
      </c>
      <c r="G445" s="20" t="s">
        <v>119</v>
      </c>
      <c r="H445" s="29" t="s">
        <v>330</v>
      </c>
      <c r="I445" s="32" t="s">
        <v>2976</v>
      </c>
      <c r="J445" s="28" t="s">
        <v>2977</v>
      </c>
      <c r="K445" s="29" t="s">
        <v>2978</v>
      </c>
      <c r="L445" s="27" t="s">
        <v>481</v>
      </c>
      <c r="M445" s="28" t="s">
        <v>482</v>
      </c>
      <c r="N445" s="38"/>
      <c r="O445" s="34" t="s">
        <v>2979</v>
      </c>
      <c r="P445" s="34" t="s">
        <v>2980</v>
      </c>
      <c r="Q445" s="35" t="s">
        <v>78</v>
      </c>
      <c r="R445" s="35" t="s">
        <v>79</v>
      </c>
      <c r="S445" s="35" t="s">
        <v>61</v>
      </c>
      <c r="T445" s="35" t="s">
        <v>62</v>
      </c>
      <c r="U445" s="36" t="s">
        <v>80</v>
      </c>
    </row>
    <row r="446" spans="1:21" ht="15.75" customHeight="1" x14ac:dyDescent="0.25">
      <c r="A446" s="9" t="s">
        <v>2981</v>
      </c>
      <c r="B446" s="10" t="s">
        <v>2982</v>
      </c>
      <c r="C446" s="11" t="s">
        <v>2983</v>
      </c>
      <c r="D446" s="12" t="s">
        <v>2984</v>
      </c>
      <c r="E446" s="11" t="s">
        <v>47</v>
      </c>
      <c r="F446" s="13">
        <v>84</v>
      </c>
      <c r="G446" s="14" t="s">
        <v>119</v>
      </c>
      <c r="H446" s="11" t="s">
        <v>48</v>
      </c>
      <c r="I446" s="15" t="s">
        <v>2985</v>
      </c>
      <c r="J446" s="10" t="s">
        <v>2986</v>
      </c>
      <c r="K446" s="11" t="s">
        <v>2987</v>
      </c>
      <c r="L446" s="9" t="s">
        <v>158</v>
      </c>
      <c r="M446" s="10" t="s">
        <v>159</v>
      </c>
      <c r="N446" s="16" t="s">
        <v>75</v>
      </c>
      <c r="O446" s="17" t="s">
        <v>2702</v>
      </c>
      <c r="P446" s="17" t="s">
        <v>2703</v>
      </c>
      <c r="Q446" s="18" t="s">
        <v>78</v>
      </c>
      <c r="R446" s="18" t="s">
        <v>79</v>
      </c>
      <c r="S446" s="18" t="s">
        <v>61</v>
      </c>
      <c r="T446" s="18" t="s">
        <v>62</v>
      </c>
      <c r="U446" s="19" t="s">
        <v>80</v>
      </c>
    </row>
    <row r="447" spans="1:21" ht="15.75" customHeight="1" x14ac:dyDescent="0.25">
      <c r="A447" s="27" t="s">
        <v>2988</v>
      </c>
      <c r="B447" s="28" t="s">
        <v>2989</v>
      </c>
      <c r="C447" s="29" t="s">
        <v>2990</v>
      </c>
      <c r="D447" s="30" t="s">
        <v>2991</v>
      </c>
      <c r="E447" s="29" t="s">
        <v>47</v>
      </c>
      <c r="F447" s="31">
        <v>186</v>
      </c>
      <c r="G447" s="25" t="s">
        <v>68</v>
      </c>
      <c r="H447" s="29" t="s">
        <v>86</v>
      </c>
      <c r="I447" s="32" t="s">
        <v>2992</v>
      </c>
      <c r="J447" s="28" t="s">
        <v>2993</v>
      </c>
      <c r="K447" s="29" t="s">
        <v>2994</v>
      </c>
      <c r="L447" s="27" t="s">
        <v>90</v>
      </c>
      <c r="M447" s="28" t="s">
        <v>91</v>
      </c>
      <c r="N447" s="33" t="s">
        <v>75</v>
      </c>
      <c r="O447" s="34" t="s">
        <v>2258</v>
      </c>
      <c r="P447" s="34" t="s">
        <v>2258</v>
      </c>
      <c r="Q447" s="35" t="s">
        <v>78</v>
      </c>
      <c r="R447" s="35" t="s">
        <v>79</v>
      </c>
      <c r="S447" s="35" t="s">
        <v>61</v>
      </c>
      <c r="T447" s="35" t="s">
        <v>62</v>
      </c>
      <c r="U447" s="36" t="s">
        <v>80</v>
      </c>
    </row>
    <row r="448" spans="1:21" ht="15.75" customHeight="1" x14ac:dyDescent="0.25">
      <c r="A448" s="9" t="s">
        <v>2995</v>
      </c>
      <c r="B448" s="10" t="s">
        <v>2996</v>
      </c>
      <c r="C448" s="11" t="s">
        <v>2997</v>
      </c>
      <c r="D448" s="12" t="s">
        <v>2998</v>
      </c>
      <c r="E448" s="11" t="s">
        <v>47</v>
      </c>
      <c r="F448" s="13">
        <v>222</v>
      </c>
      <c r="G448" s="20" t="s">
        <v>119</v>
      </c>
      <c r="H448" s="11" t="s">
        <v>129</v>
      </c>
      <c r="I448" s="15" t="s">
        <v>2999</v>
      </c>
      <c r="J448" s="10" t="s">
        <v>3000</v>
      </c>
      <c r="K448" s="11" t="s">
        <v>3001</v>
      </c>
      <c r="L448" s="9" t="s">
        <v>90</v>
      </c>
      <c r="M448" s="10" t="s">
        <v>91</v>
      </c>
      <c r="N448" s="23" t="s">
        <v>179</v>
      </c>
      <c r="O448" s="17" t="s">
        <v>355</v>
      </c>
      <c r="P448" s="17" t="s">
        <v>356</v>
      </c>
      <c r="Q448" s="18" t="s">
        <v>78</v>
      </c>
      <c r="R448" s="18" t="s">
        <v>79</v>
      </c>
      <c r="S448" s="18" t="s">
        <v>61</v>
      </c>
      <c r="T448" s="18" t="s">
        <v>62</v>
      </c>
      <c r="U448" s="19" t="s">
        <v>80</v>
      </c>
    </row>
    <row r="449" spans="1:21" ht="15.75" customHeight="1" x14ac:dyDescent="0.25">
      <c r="A449" s="27" t="s">
        <v>3002</v>
      </c>
      <c r="B449" s="28" t="s">
        <v>3003</v>
      </c>
      <c r="C449" s="29" t="s">
        <v>3004</v>
      </c>
      <c r="D449" s="30" t="s">
        <v>3005</v>
      </c>
      <c r="E449" s="29" t="s">
        <v>98</v>
      </c>
      <c r="F449" s="31">
        <v>228</v>
      </c>
      <c r="G449" s="20" t="s">
        <v>119</v>
      </c>
      <c r="H449" s="29" t="s">
        <v>129</v>
      </c>
      <c r="I449" s="32" t="s">
        <v>3006</v>
      </c>
      <c r="J449" s="28" t="s">
        <v>3007</v>
      </c>
      <c r="K449" s="29" t="s">
        <v>3008</v>
      </c>
      <c r="L449" s="27" t="s">
        <v>90</v>
      </c>
      <c r="M449" s="28" t="s">
        <v>91</v>
      </c>
      <c r="N449" s="39" t="s">
        <v>179</v>
      </c>
      <c r="O449" s="34" t="s">
        <v>292</v>
      </c>
      <c r="P449" s="34" t="s">
        <v>293</v>
      </c>
      <c r="Q449" s="35" t="s">
        <v>78</v>
      </c>
      <c r="R449" s="35" t="s">
        <v>79</v>
      </c>
      <c r="S449" s="35" t="s">
        <v>61</v>
      </c>
      <c r="T449" s="35" t="s">
        <v>62</v>
      </c>
      <c r="U449" s="36" t="s">
        <v>80</v>
      </c>
    </row>
    <row r="450" spans="1:21" ht="15.75" customHeight="1" x14ac:dyDescent="0.25">
      <c r="A450" s="9" t="s">
        <v>3009</v>
      </c>
      <c r="B450" s="10" t="s">
        <v>3010</v>
      </c>
      <c r="C450" s="11" t="s">
        <v>3011</v>
      </c>
      <c r="D450" s="21" t="s">
        <v>109</v>
      </c>
      <c r="E450" s="11" t="s">
        <v>67</v>
      </c>
      <c r="F450" s="13">
        <v>-23.6</v>
      </c>
      <c r="G450" s="14" t="s">
        <v>119</v>
      </c>
      <c r="H450" s="11" t="s">
        <v>421</v>
      </c>
      <c r="I450" s="15" t="s">
        <v>3012</v>
      </c>
      <c r="J450" s="10" t="s">
        <v>3013</v>
      </c>
      <c r="K450" s="11" t="s">
        <v>3014</v>
      </c>
      <c r="L450" s="9" t="s">
        <v>73</v>
      </c>
      <c r="M450" s="10" t="s">
        <v>74</v>
      </c>
      <c r="N450" s="22"/>
      <c r="O450" s="17"/>
      <c r="P450" s="17"/>
      <c r="Q450" s="18" t="s">
        <v>78</v>
      </c>
      <c r="R450" s="18" t="s">
        <v>79</v>
      </c>
      <c r="S450" s="18" t="s">
        <v>61</v>
      </c>
      <c r="T450" s="18" t="s">
        <v>62</v>
      </c>
      <c r="U450" s="19" t="s">
        <v>80</v>
      </c>
    </row>
    <row r="451" spans="1:21" ht="15.75" customHeight="1" x14ac:dyDescent="0.25">
      <c r="A451" s="27" t="s">
        <v>3015</v>
      </c>
      <c r="B451" s="28" t="s">
        <v>3016</v>
      </c>
      <c r="C451" s="29" t="s">
        <v>3017</v>
      </c>
      <c r="D451" s="30" t="s">
        <v>3018</v>
      </c>
      <c r="E451" s="29" t="s">
        <v>1264</v>
      </c>
      <c r="F451" s="29" t="s">
        <v>3019</v>
      </c>
      <c r="G451" s="20" t="s">
        <v>85</v>
      </c>
      <c r="H451" s="29" t="s">
        <v>100</v>
      </c>
      <c r="I451" s="32" t="s">
        <v>3020</v>
      </c>
      <c r="J451" s="28" t="s">
        <v>3021</v>
      </c>
      <c r="K451" s="29" t="s">
        <v>3022</v>
      </c>
      <c r="L451" s="27" t="s">
        <v>90</v>
      </c>
      <c r="M451" s="28" t="s">
        <v>91</v>
      </c>
      <c r="N451" s="39" t="s">
        <v>179</v>
      </c>
      <c r="O451" s="34" t="s">
        <v>292</v>
      </c>
      <c r="P451" s="34" t="s">
        <v>293</v>
      </c>
      <c r="Q451" s="35" t="s">
        <v>78</v>
      </c>
      <c r="R451" s="35" t="s">
        <v>79</v>
      </c>
      <c r="S451" s="35" t="s">
        <v>61</v>
      </c>
      <c r="T451" s="35" t="s">
        <v>62</v>
      </c>
      <c r="U451" s="36" t="s">
        <v>80</v>
      </c>
    </row>
    <row r="452" spans="1:21" ht="15.75" customHeight="1" x14ac:dyDescent="0.25">
      <c r="A452" s="9" t="s">
        <v>3023</v>
      </c>
      <c r="B452" s="10" t="s">
        <v>3024</v>
      </c>
      <c r="C452" s="11" t="s">
        <v>3025</v>
      </c>
      <c r="D452" s="12" t="s">
        <v>3026</v>
      </c>
      <c r="E452" s="11" t="s">
        <v>47</v>
      </c>
      <c r="F452" s="13">
        <v>215</v>
      </c>
      <c r="G452" s="20" t="s">
        <v>85</v>
      </c>
      <c r="H452" s="11" t="s">
        <v>129</v>
      </c>
      <c r="I452" s="15" t="s">
        <v>3027</v>
      </c>
      <c r="J452" s="10" t="s">
        <v>3028</v>
      </c>
      <c r="K452" s="11" t="s">
        <v>507</v>
      </c>
      <c r="L452" s="9" t="s">
        <v>90</v>
      </c>
      <c r="M452" s="10" t="s">
        <v>91</v>
      </c>
      <c r="N452" s="16" t="s">
        <v>75</v>
      </c>
      <c r="O452" s="17" t="s">
        <v>92</v>
      </c>
      <c r="P452" s="17" t="s">
        <v>93</v>
      </c>
      <c r="Q452" s="18" t="s">
        <v>78</v>
      </c>
      <c r="R452" s="18" t="s">
        <v>79</v>
      </c>
      <c r="S452" s="18" t="s">
        <v>61</v>
      </c>
      <c r="T452" s="18" t="s">
        <v>62</v>
      </c>
      <c r="U452" s="19" t="s">
        <v>80</v>
      </c>
    </row>
    <row r="453" spans="1:21" ht="15.75" customHeight="1" x14ac:dyDescent="0.25">
      <c r="A453" s="27" t="s">
        <v>3029</v>
      </c>
      <c r="B453" s="28" t="s">
        <v>3030</v>
      </c>
      <c r="C453" s="29" t="s">
        <v>3031</v>
      </c>
      <c r="D453" s="30" t="s">
        <v>3032</v>
      </c>
      <c r="E453" s="29" t="s">
        <v>47</v>
      </c>
      <c r="F453" s="31">
        <v>153</v>
      </c>
      <c r="G453" s="20" t="s">
        <v>85</v>
      </c>
      <c r="H453" s="29" t="s">
        <v>86</v>
      </c>
      <c r="I453" s="32" t="s">
        <v>3033</v>
      </c>
      <c r="J453" s="28" t="s">
        <v>3034</v>
      </c>
      <c r="K453" s="29" t="s">
        <v>3035</v>
      </c>
      <c r="L453" s="27" t="s">
        <v>158</v>
      </c>
      <c r="M453" s="28" t="s">
        <v>159</v>
      </c>
      <c r="N453" s="33" t="s">
        <v>75</v>
      </c>
      <c r="O453" s="34" t="s">
        <v>382</v>
      </c>
      <c r="P453" s="34" t="s">
        <v>383</v>
      </c>
      <c r="Q453" s="35" t="s">
        <v>78</v>
      </c>
      <c r="R453" s="35" t="s">
        <v>79</v>
      </c>
      <c r="S453" s="35" t="s">
        <v>61</v>
      </c>
      <c r="T453" s="35" t="s">
        <v>62</v>
      </c>
      <c r="U453" s="36" t="s">
        <v>80</v>
      </c>
    </row>
    <row r="454" spans="1:21" ht="15.75" customHeight="1" x14ac:dyDescent="0.25">
      <c r="A454" s="9" t="s">
        <v>3036</v>
      </c>
      <c r="B454" s="10" t="s">
        <v>3037</v>
      </c>
      <c r="C454" s="11" t="s">
        <v>3038</v>
      </c>
      <c r="D454" s="21" t="s">
        <v>109</v>
      </c>
      <c r="E454" s="11" t="s">
        <v>47</v>
      </c>
      <c r="F454" s="13">
        <v>211.5</v>
      </c>
      <c r="G454" s="25" t="s">
        <v>110</v>
      </c>
      <c r="H454" s="11" t="s">
        <v>129</v>
      </c>
      <c r="I454" s="15" t="s">
        <v>3039</v>
      </c>
      <c r="J454" s="10" t="s">
        <v>3040</v>
      </c>
      <c r="K454" s="11" t="s">
        <v>3041</v>
      </c>
      <c r="L454" s="9" t="s">
        <v>90</v>
      </c>
      <c r="M454" s="10" t="s">
        <v>91</v>
      </c>
      <c r="N454" s="22"/>
      <c r="O454" s="17"/>
      <c r="P454" s="17"/>
      <c r="Q454" s="18" t="s">
        <v>78</v>
      </c>
      <c r="R454" s="18" t="s">
        <v>79</v>
      </c>
      <c r="S454" s="18" t="s">
        <v>61</v>
      </c>
      <c r="T454" s="18" t="s">
        <v>62</v>
      </c>
      <c r="U454" s="19" t="s">
        <v>80</v>
      </c>
    </row>
    <row r="455" spans="1:21" ht="15.75" customHeight="1" x14ac:dyDescent="0.25">
      <c r="A455" s="27" t="s">
        <v>3042</v>
      </c>
      <c r="B455" s="28" t="s">
        <v>3043</v>
      </c>
      <c r="C455" s="29" t="s">
        <v>3044</v>
      </c>
      <c r="D455" s="30" t="s">
        <v>3045</v>
      </c>
      <c r="E455" s="29" t="s">
        <v>47</v>
      </c>
      <c r="F455" s="31">
        <v>189</v>
      </c>
      <c r="G455" s="24" t="s">
        <v>68</v>
      </c>
      <c r="H455" s="29" t="s">
        <v>86</v>
      </c>
      <c r="I455" s="32" t="s">
        <v>3046</v>
      </c>
      <c r="J455" s="28" t="s">
        <v>3047</v>
      </c>
      <c r="K455" s="29"/>
      <c r="L455" s="27"/>
      <c r="M455" s="28"/>
      <c r="N455" s="39" t="s">
        <v>179</v>
      </c>
      <c r="O455" s="34"/>
      <c r="P455" s="34"/>
      <c r="Q455" s="35" t="s">
        <v>78</v>
      </c>
      <c r="R455" s="35" t="s">
        <v>79</v>
      </c>
      <c r="S455" s="35" t="s">
        <v>61</v>
      </c>
      <c r="T455" s="35" t="s">
        <v>62</v>
      </c>
      <c r="U455" s="36" t="s">
        <v>80</v>
      </c>
    </row>
    <row r="456" spans="1:21" ht="15.75" customHeight="1" x14ac:dyDescent="0.25">
      <c r="A456" s="9" t="s">
        <v>3048</v>
      </c>
      <c r="B456" s="10" t="s">
        <v>3049</v>
      </c>
      <c r="C456" s="11" t="s">
        <v>3050</v>
      </c>
      <c r="D456" s="21" t="s">
        <v>109</v>
      </c>
      <c r="E456" s="11" t="s">
        <v>98</v>
      </c>
      <c r="F456" s="13">
        <v>319</v>
      </c>
      <c r="G456" s="25" t="s">
        <v>110</v>
      </c>
      <c r="H456" s="11" t="s">
        <v>129</v>
      </c>
      <c r="I456" s="15" t="s">
        <v>3051</v>
      </c>
      <c r="J456" s="10" t="s">
        <v>3052</v>
      </c>
      <c r="K456" s="11" t="s">
        <v>3053</v>
      </c>
      <c r="L456" s="9" t="s">
        <v>90</v>
      </c>
      <c r="M456" s="10" t="s">
        <v>91</v>
      </c>
      <c r="N456" s="22"/>
      <c r="O456" s="17"/>
      <c r="P456" s="17"/>
      <c r="Q456" s="18" t="s">
        <v>78</v>
      </c>
      <c r="R456" s="18" t="s">
        <v>79</v>
      </c>
      <c r="S456" s="18" t="s">
        <v>61</v>
      </c>
      <c r="T456" s="18" t="s">
        <v>62</v>
      </c>
      <c r="U456" s="19" t="s">
        <v>80</v>
      </c>
    </row>
    <row r="457" spans="1:21" ht="15.75" customHeight="1" x14ac:dyDescent="0.25">
      <c r="A457" s="27" t="s">
        <v>3054</v>
      </c>
      <c r="B457" s="28" t="s">
        <v>3055</v>
      </c>
      <c r="C457" s="29" t="s">
        <v>3056</v>
      </c>
      <c r="D457" s="37" t="s">
        <v>109</v>
      </c>
      <c r="E457" s="29" t="s">
        <v>98</v>
      </c>
      <c r="F457" s="31">
        <v>312</v>
      </c>
      <c r="G457" s="25" t="s">
        <v>110</v>
      </c>
      <c r="H457" s="29" t="s">
        <v>129</v>
      </c>
      <c r="I457" s="32" t="s">
        <v>3057</v>
      </c>
      <c r="J457" s="28" t="s">
        <v>3058</v>
      </c>
      <c r="K457" s="29" t="s">
        <v>3059</v>
      </c>
      <c r="L457" s="27" t="s">
        <v>90</v>
      </c>
      <c r="M457" s="28" t="s">
        <v>91</v>
      </c>
      <c r="N457" s="38"/>
      <c r="O457" s="34"/>
      <c r="P457" s="34"/>
      <c r="Q457" s="35" t="s">
        <v>78</v>
      </c>
      <c r="R457" s="35" t="s">
        <v>79</v>
      </c>
      <c r="S457" s="35" t="s">
        <v>61</v>
      </c>
      <c r="T457" s="35" t="s">
        <v>62</v>
      </c>
      <c r="U457" s="36" t="s">
        <v>80</v>
      </c>
    </row>
    <row r="458" spans="1:21" ht="15.75" customHeight="1" x14ac:dyDescent="0.25">
      <c r="A458" s="9" t="s">
        <v>3060</v>
      </c>
      <c r="B458" s="10" t="s">
        <v>3061</v>
      </c>
      <c r="C458" s="11" t="s">
        <v>3062</v>
      </c>
      <c r="D458" s="21" t="s">
        <v>109</v>
      </c>
      <c r="E458" s="11" t="s">
        <v>47</v>
      </c>
      <c r="F458" s="13">
        <v>168</v>
      </c>
      <c r="G458" s="25" t="s">
        <v>110</v>
      </c>
      <c r="H458" s="11" t="s">
        <v>86</v>
      </c>
      <c r="I458" s="15" t="s">
        <v>3063</v>
      </c>
      <c r="J458" s="10" t="s">
        <v>3064</v>
      </c>
      <c r="K458" s="11" t="s">
        <v>3065</v>
      </c>
      <c r="L458" s="9" t="s">
        <v>90</v>
      </c>
      <c r="M458" s="10" t="s">
        <v>91</v>
      </c>
      <c r="N458" s="22"/>
      <c r="O458" s="17"/>
      <c r="P458" s="17"/>
      <c r="Q458" s="18" t="s">
        <v>78</v>
      </c>
      <c r="R458" s="18" t="s">
        <v>79</v>
      </c>
      <c r="S458" s="18" t="s">
        <v>61</v>
      </c>
      <c r="T458" s="18" t="s">
        <v>62</v>
      </c>
      <c r="U458" s="19" t="s">
        <v>80</v>
      </c>
    </row>
    <row r="459" spans="1:21" ht="15.75" customHeight="1" x14ac:dyDescent="0.25">
      <c r="A459" s="27" t="s">
        <v>3066</v>
      </c>
      <c r="B459" s="28" t="s">
        <v>3067</v>
      </c>
      <c r="C459" s="29" t="s">
        <v>3068</v>
      </c>
      <c r="D459" s="30" t="s">
        <v>3069</v>
      </c>
      <c r="E459" s="29" t="s">
        <v>98</v>
      </c>
      <c r="F459" s="29" t="s">
        <v>3070</v>
      </c>
      <c r="G459" s="20" t="s">
        <v>119</v>
      </c>
      <c r="H459" s="29" t="s">
        <v>120</v>
      </c>
      <c r="I459" s="32" t="s">
        <v>3071</v>
      </c>
      <c r="J459" s="28" t="s">
        <v>3072</v>
      </c>
      <c r="K459" s="29" t="s">
        <v>3073</v>
      </c>
      <c r="L459" s="27" t="s">
        <v>1698</v>
      </c>
      <c r="M459" s="28" t="s">
        <v>1699</v>
      </c>
      <c r="N459" s="33" t="s">
        <v>75</v>
      </c>
      <c r="O459" s="34" t="s">
        <v>124</v>
      </c>
      <c r="P459" s="34" t="s">
        <v>125</v>
      </c>
      <c r="Q459" s="35" t="s">
        <v>78</v>
      </c>
      <c r="R459" s="35" t="s">
        <v>79</v>
      </c>
      <c r="S459" s="35" t="s">
        <v>61</v>
      </c>
      <c r="T459" s="35" t="s">
        <v>62</v>
      </c>
      <c r="U459" s="36" t="s">
        <v>80</v>
      </c>
    </row>
    <row r="460" spans="1:21" ht="15.75" customHeight="1" x14ac:dyDescent="0.25">
      <c r="A460" s="9" t="s">
        <v>3074</v>
      </c>
      <c r="B460" s="10" t="s">
        <v>3075</v>
      </c>
      <c r="C460" s="11" t="s">
        <v>3076</v>
      </c>
      <c r="D460" s="21" t="s">
        <v>109</v>
      </c>
      <c r="E460" s="11" t="s">
        <v>98</v>
      </c>
      <c r="F460" s="11" t="s">
        <v>3077</v>
      </c>
      <c r="G460" s="25" t="s">
        <v>110</v>
      </c>
      <c r="H460" s="11" t="s">
        <v>100</v>
      </c>
      <c r="I460" s="15" t="s">
        <v>3078</v>
      </c>
      <c r="J460" s="10" t="s">
        <v>3079</v>
      </c>
      <c r="K460" s="11" t="s">
        <v>3080</v>
      </c>
      <c r="L460" s="9" t="s">
        <v>90</v>
      </c>
      <c r="M460" s="10" t="s">
        <v>91</v>
      </c>
      <c r="N460" s="22"/>
      <c r="O460" s="17"/>
      <c r="P460" s="17"/>
      <c r="Q460" s="18" t="s">
        <v>78</v>
      </c>
      <c r="R460" s="18" t="s">
        <v>79</v>
      </c>
      <c r="S460" s="18" t="s">
        <v>61</v>
      </c>
      <c r="T460" s="18" t="s">
        <v>62</v>
      </c>
      <c r="U460" s="19" t="s">
        <v>80</v>
      </c>
    </row>
    <row r="461" spans="1:21" ht="15.75" customHeight="1" x14ac:dyDescent="0.25">
      <c r="A461" s="27" t="s">
        <v>3081</v>
      </c>
      <c r="B461" s="28" t="s">
        <v>3082</v>
      </c>
      <c r="C461" s="29" t="s">
        <v>3083</v>
      </c>
      <c r="D461" s="30" t="s">
        <v>790</v>
      </c>
      <c r="E461" s="29" t="s">
        <v>98</v>
      </c>
      <c r="F461" s="31">
        <v>302</v>
      </c>
      <c r="G461" s="14" t="s">
        <v>119</v>
      </c>
      <c r="H461" s="29" t="s">
        <v>129</v>
      </c>
      <c r="I461" s="32" t="s">
        <v>3084</v>
      </c>
      <c r="J461" s="28" t="s">
        <v>3085</v>
      </c>
      <c r="K461" s="29" t="s">
        <v>332</v>
      </c>
      <c r="L461" s="27" t="s">
        <v>197</v>
      </c>
      <c r="M461" s="28" t="s">
        <v>198</v>
      </c>
      <c r="N461" s="39" t="s">
        <v>179</v>
      </c>
      <c r="O461" s="34"/>
      <c r="P461" s="34"/>
      <c r="Q461" s="35" t="s">
        <v>78</v>
      </c>
      <c r="R461" s="35" t="s">
        <v>79</v>
      </c>
      <c r="S461" s="35" t="s">
        <v>61</v>
      </c>
      <c r="T461" s="35" t="s">
        <v>62</v>
      </c>
      <c r="U461" s="36" t="s">
        <v>80</v>
      </c>
    </row>
    <row r="462" spans="1:21" ht="15.75" customHeight="1" x14ac:dyDescent="0.25">
      <c r="A462" s="9" t="s">
        <v>3086</v>
      </c>
      <c r="B462" s="10" t="s">
        <v>3087</v>
      </c>
      <c r="C462" s="11" t="s">
        <v>3088</v>
      </c>
      <c r="D462" s="21" t="s">
        <v>109</v>
      </c>
      <c r="E462" s="11" t="s">
        <v>98</v>
      </c>
      <c r="F462" s="11" t="s">
        <v>3089</v>
      </c>
      <c r="G462" s="24" t="s">
        <v>85</v>
      </c>
      <c r="H462" s="11" t="s">
        <v>100</v>
      </c>
      <c r="I462" s="15" t="s">
        <v>3090</v>
      </c>
      <c r="J462" s="10" t="s">
        <v>3091</v>
      </c>
      <c r="K462" s="11"/>
      <c r="L462" s="9"/>
      <c r="M462" s="10"/>
      <c r="N462" s="22"/>
      <c r="O462" s="17"/>
      <c r="P462" s="17"/>
      <c r="Q462" s="18" t="s">
        <v>78</v>
      </c>
      <c r="R462" s="18" t="s">
        <v>79</v>
      </c>
      <c r="S462" s="18" t="s">
        <v>61</v>
      </c>
      <c r="T462" s="18" t="s">
        <v>62</v>
      </c>
      <c r="U462" s="19" t="s">
        <v>80</v>
      </c>
    </row>
    <row r="463" spans="1:21" ht="15.75" customHeight="1" x14ac:dyDescent="0.25">
      <c r="A463" s="27" t="s">
        <v>3092</v>
      </c>
      <c r="B463" s="28" t="s">
        <v>3093</v>
      </c>
      <c r="C463" s="29" t="s">
        <v>3094</v>
      </c>
      <c r="D463" s="37" t="s">
        <v>109</v>
      </c>
      <c r="E463" s="29" t="s">
        <v>47</v>
      </c>
      <c r="F463" s="31">
        <v>88</v>
      </c>
      <c r="G463" s="14" t="s">
        <v>119</v>
      </c>
      <c r="H463" s="29" t="s">
        <v>48</v>
      </c>
      <c r="I463" s="32" t="s">
        <v>3095</v>
      </c>
      <c r="J463" s="28" t="s">
        <v>3096</v>
      </c>
      <c r="K463" s="29" t="s">
        <v>3097</v>
      </c>
      <c r="L463" s="27" t="s">
        <v>158</v>
      </c>
      <c r="M463" s="28" t="s">
        <v>159</v>
      </c>
      <c r="N463" s="38"/>
      <c r="O463" s="34"/>
      <c r="P463" s="34"/>
      <c r="Q463" s="35" t="s">
        <v>78</v>
      </c>
      <c r="R463" s="35" t="s">
        <v>79</v>
      </c>
      <c r="S463" s="35" t="s">
        <v>61</v>
      </c>
      <c r="T463" s="35" t="s">
        <v>62</v>
      </c>
      <c r="U463" s="36" t="s">
        <v>80</v>
      </c>
    </row>
    <row r="464" spans="1:21" ht="15.75" customHeight="1" x14ac:dyDescent="0.25">
      <c r="A464" s="9" t="s">
        <v>3098</v>
      </c>
      <c r="B464" s="10" t="s">
        <v>3099</v>
      </c>
      <c r="C464" s="11" t="s">
        <v>3100</v>
      </c>
      <c r="D464" s="12" t="s">
        <v>3101</v>
      </c>
      <c r="E464" s="11" t="s">
        <v>47</v>
      </c>
      <c r="F464" s="13">
        <v>232</v>
      </c>
      <c r="G464" s="26" t="s">
        <v>119</v>
      </c>
      <c r="H464" s="11" t="s">
        <v>129</v>
      </c>
      <c r="I464" s="15" t="s">
        <v>3102</v>
      </c>
      <c r="J464" s="10" t="s">
        <v>3099</v>
      </c>
      <c r="K464" s="11" t="s">
        <v>3103</v>
      </c>
      <c r="L464" s="9" t="s">
        <v>90</v>
      </c>
      <c r="M464" s="10" t="s">
        <v>91</v>
      </c>
      <c r="N464" s="23" t="s">
        <v>179</v>
      </c>
      <c r="O464" s="17" t="s">
        <v>934</v>
      </c>
      <c r="P464" s="17" t="s">
        <v>935</v>
      </c>
      <c r="Q464" s="18" t="s">
        <v>78</v>
      </c>
      <c r="R464" s="18" t="s">
        <v>79</v>
      </c>
      <c r="S464" s="18" t="s">
        <v>61</v>
      </c>
      <c r="T464" s="18" t="s">
        <v>62</v>
      </c>
      <c r="U464" s="19" t="s">
        <v>80</v>
      </c>
    </row>
    <row r="465" spans="1:21" ht="15.75" customHeight="1" x14ac:dyDescent="0.25">
      <c r="A465" s="27" t="s">
        <v>3104</v>
      </c>
      <c r="B465" s="28" t="s">
        <v>3105</v>
      </c>
      <c r="C465" s="29" t="s">
        <v>3106</v>
      </c>
      <c r="D465" s="37" t="s">
        <v>109</v>
      </c>
      <c r="E465" s="29" t="s">
        <v>47</v>
      </c>
      <c r="F465" s="31">
        <v>35</v>
      </c>
      <c r="G465" s="14" t="s">
        <v>119</v>
      </c>
      <c r="H465" s="29" t="s">
        <v>69</v>
      </c>
      <c r="I465" s="32" t="s">
        <v>3107</v>
      </c>
      <c r="J465" s="28" t="s">
        <v>3108</v>
      </c>
      <c r="K465" s="29" t="s">
        <v>3109</v>
      </c>
      <c r="L465" s="27" t="s">
        <v>158</v>
      </c>
      <c r="M465" s="28" t="s">
        <v>159</v>
      </c>
      <c r="N465" s="38"/>
      <c r="O465" s="34"/>
      <c r="P465" s="34"/>
      <c r="Q465" s="35" t="s">
        <v>78</v>
      </c>
      <c r="R465" s="35" t="s">
        <v>79</v>
      </c>
      <c r="S465" s="35" t="s">
        <v>61</v>
      </c>
      <c r="T465" s="35" t="s">
        <v>62</v>
      </c>
      <c r="U465" s="36" t="s">
        <v>80</v>
      </c>
    </row>
    <row r="466" spans="1:21" ht="15.75" customHeight="1" x14ac:dyDescent="0.25">
      <c r="A466" s="9" t="s">
        <v>3110</v>
      </c>
      <c r="B466" s="10" t="s">
        <v>3111</v>
      </c>
      <c r="C466" s="11" t="s">
        <v>3112</v>
      </c>
      <c r="D466" s="12" t="s">
        <v>193</v>
      </c>
      <c r="E466" s="11" t="s">
        <v>1264</v>
      </c>
      <c r="F466" s="11" t="s">
        <v>3113</v>
      </c>
      <c r="G466" s="20" t="s">
        <v>85</v>
      </c>
      <c r="H466" s="11" t="s">
        <v>100</v>
      </c>
      <c r="I466" s="15" t="s">
        <v>3114</v>
      </c>
      <c r="J466" s="10" t="s">
        <v>3115</v>
      </c>
      <c r="K466" s="11"/>
      <c r="L466" s="9"/>
      <c r="M466" s="10"/>
      <c r="N466" s="23" t="s">
        <v>179</v>
      </c>
      <c r="O466" s="17" t="s">
        <v>180</v>
      </c>
      <c r="P466" s="17" t="s">
        <v>181</v>
      </c>
      <c r="Q466" s="18" t="s">
        <v>78</v>
      </c>
      <c r="R466" s="18" t="s">
        <v>79</v>
      </c>
      <c r="S466" s="18" t="s">
        <v>61</v>
      </c>
      <c r="T466" s="18" t="s">
        <v>62</v>
      </c>
      <c r="U466" s="19" t="s">
        <v>80</v>
      </c>
    </row>
    <row r="467" spans="1:21" ht="15.75" customHeight="1" x14ac:dyDescent="0.25">
      <c r="A467" s="27" t="s">
        <v>3116</v>
      </c>
      <c r="B467" s="28" t="s">
        <v>3117</v>
      </c>
      <c r="C467" s="29" t="s">
        <v>3118</v>
      </c>
      <c r="D467" s="30" t="s">
        <v>3119</v>
      </c>
      <c r="E467" s="29" t="s">
        <v>98</v>
      </c>
      <c r="F467" s="29"/>
      <c r="G467" s="20" t="s">
        <v>119</v>
      </c>
      <c r="H467" s="29" t="s">
        <v>100</v>
      </c>
      <c r="I467" s="32" t="s">
        <v>3120</v>
      </c>
      <c r="J467" s="28" t="s">
        <v>3121</v>
      </c>
      <c r="K467" s="29" t="s">
        <v>3122</v>
      </c>
      <c r="L467" s="27" t="s">
        <v>2005</v>
      </c>
      <c r="M467" s="28" t="s">
        <v>2006</v>
      </c>
      <c r="N467" s="33" t="s">
        <v>75</v>
      </c>
      <c r="O467" s="34" t="s">
        <v>770</v>
      </c>
      <c r="P467" s="34" t="s">
        <v>771</v>
      </c>
      <c r="Q467" s="35" t="s">
        <v>78</v>
      </c>
      <c r="R467" s="35" t="s">
        <v>79</v>
      </c>
      <c r="S467" s="35" t="s">
        <v>61</v>
      </c>
      <c r="T467" s="35" t="s">
        <v>62</v>
      </c>
      <c r="U467" s="36" t="s">
        <v>80</v>
      </c>
    </row>
    <row r="468" spans="1:21" ht="15.75" customHeight="1" x14ac:dyDescent="0.25">
      <c r="A468" s="9" t="s">
        <v>3123</v>
      </c>
      <c r="B468" s="10" t="s">
        <v>3124</v>
      </c>
      <c r="C468" s="11" t="s">
        <v>3125</v>
      </c>
      <c r="D468" s="21" t="s">
        <v>109</v>
      </c>
      <c r="E468" s="11" t="s">
        <v>47</v>
      </c>
      <c r="F468" s="13">
        <v>148</v>
      </c>
      <c r="G468" s="14" t="s">
        <v>119</v>
      </c>
      <c r="H468" s="11" t="s">
        <v>330</v>
      </c>
      <c r="I468" s="15" t="s">
        <v>3126</v>
      </c>
      <c r="J468" s="10" t="s">
        <v>3127</v>
      </c>
      <c r="K468" s="11" t="s">
        <v>2669</v>
      </c>
      <c r="L468" s="9" t="s">
        <v>158</v>
      </c>
      <c r="M468" s="10" t="s">
        <v>159</v>
      </c>
      <c r="N468" s="22"/>
      <c r="O468" s="17"/>
      <c r="P468" s="17"/>
      <c r="Q468" s="18" t="s">
        <v>78</v>
      </c>
      <c r="R468" s="18" t="s">
        <v>79</v>
      </c>
      <c r="S468" s="18" t="s">
        <v>61</v>
      </c>
      <c r="T468" s="18" t="s">
        <v>62</v>
      </c>
      <c r="U468" s="19" t="s">
        <v>80</v>
      </c>
    </row>
    <row r="469" spans="1:21" ht="15.75" customHeight="1" x14ac:dyDescent="0.25">
      <c r="A469" s="27" t="s">
        <v>3128</v>
      </c>
      <c r="B469" s="28" t="s">
        <v>3129</v>
      </c>
      <c r="C469" s="29" t="s">
        <v>3130</v>
      </c>
      <c r="D469" s="37" t="s">
        <v>109</v>
      </c>
      <c r="E469" s="29" t="s">
        <v>98</v>
      </c>
      <c r="F469" s="31">
        <v>190</v>
      </c>
      <c r="G469" s="25" t="s">
        <v>110</v>
      </c>
      <c r="H469" s="29" t="s">
        <v>86</v>
      </c>
      <c r="I469" s="32" t="s">
        <v>3131</v>
      </c>
      <c r="J469" s="28" t="s">
        <v>3132</v>
      </c>
      <c r="K469" s="29" t="s">
        <v>3133</v>
      </c>
      <c r="L469" s="27" t="s">
        <v>90</v>
      </c>
      <c r="M469" s="28" t="s">
        <v>91</v>
      </c>
      <c r="N469" s="38"/>
      <c r="O469" s="34"/>
      <c r="P469" s="34"/>
      <c r="Q469" s="35" t="s">
        <v>78</v>
      </c>
      <c r="R469" s="35" t="s">
        <v>79</v>
      </c>
      <c r="S469" s="35" t="s">
        <v>61</v>
      </c>
      <c r="T469" s="35" t="s">
        <v>62</v>
      </c>
      <c r="U469" s="36" t="s">
        <v>80</v>
      </c>
    </row>
    <row r="470" spans="1:21" ht="15.75" customHeight="1" x14ac:dyDescent="0.25">
      <c r="A470" s="9" t="s">
        <v>3134</v>
      </c>
      <c r="B470" s="10" t="s">
        <v>3135</v>
      </c>
      <c r="C470" s="11" t="s">
        <v>3136</v>
      </c>
      <c r="D470" s="12" t="s">
        <v>3137</v>
      </c>
      <c r="E470" s="11" t="s">
        <v>67</v>
      </c>
      <c r="F470" s="13">
        <v>-104</v>
      </c>
      <c r="G470" s="14" t="s">
        <v>708</v>
      </c>
      <c r="H470" s="11" t="s">
        <v>69</v>
      </c>
      <c r="I470" s="15" t="s">
        <v>3138</v>
      </c>
      <c r="J470" s="10" t="s">
        <v>3139</v>
      </c>
      <c r="K470" s="11" t="s">
        <v>3140</v>
      </c>
      <c r="L470" s="9" t="s">
        <v>73</v>
      </c>
      <c r="M470" s="10" t="s">
        <v>74</v>
      </c>
      <c r="N470" s="16" t="s">
        <v>75</v>
      </c>
      <c r="O470" s="17" t="s">
        <v>3141</v>
      </c>
      <c r="P470" s="17" t="s">
        <v>3142</v>
      </c>
      <c r="Q470" s="18" t="s">
        <v>78</v>
      </c>
      <c r="R470" s="18" t="s">
        <v>79</v>
      </c>
      <c r="S470" s="18" t="s">
        <v>61</v>
      </c>
      <c r="T470" s="18" t="s">
        <v>62</v>
      </c>
      <c r="U470" s="19" t="s">
        <v>80</v>
      </c>
    </row>
    <row r="471" spans="1:21" ht="15.75" customHeight="1" x14ac:dyDescent="0.25">
      <c r="A471" s="27" t="s">
        <v>3143</v>
      </c>
      <c r="B471" s="28" t="s">
        <v>3144</v>
      </c>
      <c r="C471" s="29" t="s">
        <v>3145</v>
      </c>
      <c r="D471" s="37" t="s">
        <v>109</v>
      </c>
      <c r="E471" s="29" t="s">
        <v>47</v>
      </c>
      <c r="F471" s="31">
        <v>145</v>
      </c>
      <c r="G471" s="14" t="s">
        <v>119</v>
      </c>
      <c r="H471" s="29" t="s">
        <v>330</v>
      </c>
      <c r="I471" s="32" t="s">
        <v>3146</v>
      </c>
      <c r="J471" s="28" t="s">
        <v>3147</v>
      </c>
      <c r="K471" s="29" t="s">
        <v>3148</v>
      </c>
      <c r="L471" s="27" t="s">
        <v>158</v>
      </c>
      <c r="M471" s="28" t="s">
        <v>159</v>
      </c>
      <c r="N471" s="38"/>
      <c r="O471" s="34"/>
      <c r="P471" s="34"/>
      <c r="Q471" s="35" t="s">
        <v>78</v>
      </c>
      <c r="R471" s="35" t="s">
        <v>79</v>
      </c>
      <c r="S471" s="35" t="s">
        <v>61</v>
      </c>
      <c r="T471" s="35" t="s">
        <v>62</v>
      </c>
      <c r="U471" s="36" t="s">
        <v>80</v>
      </c>
    </row>
    <row r="472" spans="1:21" ht="15.75" customHeight="1" x14ac:dyDescent="0.25">
      <c r="A472" s="9" t="s">
        <v>3149</v>
      </c>
      <c r="B472" s="10" t="s">
        <v>3150</v>
      </c>
      <c r="C472" s="11" t="s">
        <v>3151</v>
      </c>
      <c r="D472" s="21" t="s">
        <v>109</v>
      </c>
      <c r="E472" s="11" t="s">
        <v>47</v>
      </c>
      <c r="F472" s="13">
        <v>227</v>
      </c>
      <c r="G472" s="24" t="s">
        <v>85</v>
      </c>
      <c r="H472" s="11" t="s">
        <v>129</v>
      </c>
      <c r="I472" s="15" t="s">
        <v>3152</v>
      </c>
      <c r="J472" s="10" t="s">
        <v>3153</v>
      </c>
      <c r="K472" s="11"/>
      <c r="L472" s="9"/>
      <c r="M472" s="10"/>
      <c r="N472" s="22"/>
      <c r="O472" s="17"/>
      <c r="P472" s="17"/>
      <c r="Q472" s="18" t="s">
        <v>78</v>
      </c>
      <c r="R472" s="18" t="s">
        <v>79</v>
      </c>
      <c r="S472" s="18" t="s">
        <v>61</v>
      </c>
      <c r="T472" s="18" t="s">
        <v>62</v>
      </c>
      <c r="U472" s="19" t="s">
        <v>80</v>
      </c>
    </row>
    <row r="473" spans="1:21" ht="15.75" customHeight="1" x14ac:dyDescent="0.25">
      <c r="A473" s="27" t="s">
        <v>3154</v>
      </c>
      <c r="B473" s="28" t="s">
        <v>3155</v>
      </c>
      <c r="C473" s="29" t="s">
        <v>3156</v>
      </c>
      <c r="D473" s="37" t="s">
        <v>109</v>
      </c>
      <c r="E473" s="29" t="s">
        <v>47</v>
      </c>
      <c r="F473" s="31">
        <v>213.5</v>
      </c>
      <c r="G473" s="24" t="s">
        <v>85</v>
      </c>
      <c r="H473" s="29" t="s">
        <v>129</v>
      </c>
      <c r="I473" s="32" t="s">
        <v>3157</v>
      </c>
      <c r="J473" s="28" t="s">
        <v>3158</v>
      </c>
      <c r="K473" s="29"/>
      <c r="L473" s="27"/>
      <c r="M473" s="28"/>
      <c r="N473" s="38"/>
      <c r="O473" s="34"/>
      <c r="P473" s="34"/>
      <c r="Q473" s="35" t="s">
        <v>78</v>
      </c>
      <c r="R473" s="35" t="s">
        <v>79</v>
      </c>
      <c r="S473" s="35" t="s">
        <v>61</v>
      </c>
      <c r="T473" s="35" t="s">
        <v>62</v>
      </c>
      <c r="U473" s="36" t="s">
        <v>80</v>
      </c>
    </row>
    <row r="474" spans="1:21" ht="15.75" customHeight="1" x14ac:dyDescent="0.25">
      <c r="A474" s="9" t="s">
        <v>3159</v>
      </c>
      <c r="B474" s="10" t="s">
        <v>3160</v>
      </c>
      <c r="C474" s="11" t="s">
        <v>3161</v>
      </c>
      <c r="D474" s="21" t="s">
        <v>109</v>
      </c>
      <c r="E474" s="11" t="s">
        <v>47</v>
      </c>
      <c r="F474" s="13">
        <v>72</v>
      </c>
      <c r="G474" s="24" t="s">
        <v>85</v>
      </c>
      <c r="H474" s="11" t="s">
        <v>48</v>
      </c>
      <c r="I474" s="15" t="s">
        <v>3162</v>
      </c>
      <c r="J474" s="10" t="s">
        <v>3163</v>
      </c>
      <c r="K474" s="11"/>
      <c r="L474" s="9"/>
      <c r="M474" s="10"/>
      <c r="N474" s="22"/>
      <c r="O474" s="17"/>
      <c r="P474" s="17"/>
      <c r="Q474" s="18" t="s">
        <v>78</v>
      </c>
      <c r="R474" s="18" t="s">
        <v>79</v>
      </c>
      <c r="S474" s="18" t="s">
        <v>61</v>
      </c>
      <c r="T474" s="18" t="s">
        <v>62</v>
      </c>
      <c r="U474" s="19" t="s">
        <v>80</v>
      </c>
    </row>
    <row r="475" spans="1:21" ht="15.75" customHeight="1" x14ac:dyDescent="0.25">
      <c r="A475" s="27" t="s">
        <v>3164</v>
      </c>
      <c r="B475" s="28" t="s">
        <v>3165</v>
      </c>
      <c r="C475" s="29" t="s">
        <v>3166</v>
      </c>
      <c r="D475" s="37" t="s">
        <v>109</v>
      </c>
      <c r="E475" s="29" t="s">
        <v>47</v>
      </c>
      <c r="F475" s="31">
        <v>138</v>
      </c>
      <c r="G475" s="14" t="s">
        <v>119</v>
      </c>
      <c r="H475" s="29" t="s">
        <v>330</v>
      </c>
      <c r="I475" s="32" t="s">
        <v>3167</v>
      </c>
      <c r="J475" s="28" t="s">
        <v>3168</v>
      </c>
      <c r="K475" s="29" t="s">
        <v>903</v>
      </c>
      <c r="L475" s="27" t="s">
        <v>158</v>
      </c>
      <c r="M475" s="28" t="s">
        <v>159</v>
      </c>
      <c r="N475" s="38"/>
      <c r="O475" s="34"/>
      <c r="P475" s="34"/>
      <c r="Q475" s="35" t="s">
        <v>78</v>
      </c>
      <c r="R475" s="35" t="s">
        <v>79</v>
      </c>
      <c r="S475" s="35" t="s">
        <v>61</v>
      </c>
      <c r="T475" s="35" t="s">
        <v>62</v>
      </c>
      <c r="U475" s="36" t="s">
        <v>80</v>
      </c>
    </row>
    <row r="476" spans="1:21" ht="15.75" customHeight="1" x14ac:dyDescent="0.25">
      <c r="A476" s="9" t="s">
        <v>3169</v>
      </c>
      <c r="B476" s="10" t="s">
        <v>3170</v>
      </c>
      <c r="C476" s="11" t="s">
        <v>3171</v>
      </c>
      <c r="D476" s="12" t="s">
        <v>3172</v>
      </c>
      <c r="E476" s="11" t="s">
        <v>98</v>
      </c>
      <c r="F476" s="13">
        <v>368</v>
      </c>
      <c r="G476" s="20" t="s">
        <v>85</v>
      </c>
      <c r="H476" s="11" t="s">
        <v>129</v>
      </c>
      <c r="I476" s="15" t="s">
        <v>3173</v>
      </c>
      <c r="J476" s="10" t="s">
        <v>3174</v>
      </c>
      <c r="K476" s="11"/>
      <c r="L476" s="9"/>
      <c r="M476" s="10"/>
      <c r="N476" s="16" t="s">
        <v>75</v>
      </c>
      <c r="O476" s="17" t="s">
        <v>355</v>
      </c>
      <c r="P476" s="17" t="s">
        <v>356</v>
      </c>
      <c r="Q476" s="18" t="s">
        <v>78</v>
      </c>
      <c r="R476" s="18" t="s">
        <v>79</v>
      </c>
      <c r="S476" s="18" t="s">
        <v>61</v>
      </c>
      <c r="T476" s="18" t="s">
        <v>62</v>
      </c>
      <c r="U476" s="19" t="s">
        <v>80</v>
      </c>
    </row>
    <row r="477" spans="1:21" ht="15.75" customHeight="1" x14ac:dyDescent="0.25">
      <c r="A477" s="27" t="s">
        <v>3175</v>
      </c>
      <c r="B477" s="28" t="s">
        <v>3176</v>
      </c>
      <c r="C477" s="29" t="s">
        <v>3177</v>
      </c>
      <c r="D477" s="30" t="s">
        <v>3178</v>
      </c>
      <c r="E477" s="29" t="s">
        <v>47</v>
      </c>
      <c r="F477" s="29" t="s">
        <v>3179</v>
      </c>
      <c r="G477" s="26" t="s">
        <v>110</v>
      </c>
      <c r="H477" s="29" t="s">
        <v>120</v>
      </c>
      <c r="I477" s="32" t="s">
        <v>3180</v>
      </c>
      <c r="J477" s="28" t="s">
        <v>3181</v>
      </c>
      <c r="K477" s="29" t="s">
        <v>3182</v>
      </c>
      <c r="L477" s="27" t="s">
        <v>481</v>
      </c>
      <c r="M477" s="28" t="s">
        <v>482</v>
      </c>
      <c r="N477" s="39" t="s">
        <v>179</v>
      </c>
      <c r="O477" s="34" t="s">
        <v>3183</v>
      </c>
      <c r="P477" s="34" t="s">
        <v>3184</v>
      </c>
      <c r="Q477" s="35" t="s">
        <v>78</v>
      </c>
      <c r="R477" s="35" t="s">
        <v>79</v>
      </c>
      <c r="S477" s="35" t="s">
        <v>61</v>
      </c>
      <c r="T477" s="35" t="s">
        <v>62</v>
      </c>
      <c r="U477" s="36" t="s">
        <v>80</v>
      </c>
    </row>
    <row r="478" spans="1:21" ht="15.75" customHeight="1" x14ac:dyDescent="0.25">
      <c r="A478" s="9" t="s">
        <v>3185</v>
      </c>
      <c r="B478" s="10" t="s">
        <v>3186</v>
      </c>
      <c r="C478" s="11" t="s">
        <v>3187</v>
      </c>
      <c r="D478" s="21" t="s">
        <v>109</v>
      </c>
      <c r="E478" s="11" t="s">
        <v>98</v>
      </c>
      <c r="F478" s="11" t="s">
        <v>99</v>
      </c>
      <c r="G478" s="25" t="s">
        <v>110</v>
      </c>
      <c r="H478" s="11" t="s">
        <v>100</v>
      </c>
      <c r="I478" s="15" t="s">
        <v>3188</v>
      </c>
      <c r="J478" s="10" t="s">
        <v>3189</v>
      </c>
      <c r="K478" s="11" t="s">
        <v>1286</v>
      </c>
      <c r="L478" s="9" t="s">
        <v>90</v>
      </c>
      <c r="M478" s="10" t="s">
        <v>91</v>
      </c>
      <c r="N478" s="22"/>
      <c r="O478" s="17"/>
      <c r="P478" s="17"/>
      <c r="Q478" s="18" t="s">
        <v>78</v>
      </c>
      <c r="R478" s="18" t="s">
        <v>79</v>
      </c>
      <c r="S478" s="18" t="s">
        <v>61</v>
      </c>
      <c r="T478" s="18" t="s">
        <v>62</v>
      </c>
      <c r="U478" s="19" t="s">
        <v>80</v>
      </c>
    </row>
    <row r="479" spans="1:21" ht="15.75" customHeight="1" x14ac:dyDescent="0.25">
      <c r="A479" s="27" t="s">
        <v>3190</v>
      </c>
      <c r="B479" s="28" t="s">
        <v>3191</v>
      </c>
      <c r="C479" s="29" t="s">
        <v>3192</v>
      </c>
      <c r="D479" s="37" t="s">
        <v>109</v>
      </c>
      <c r="E479" s="29" t="s">
        <v>98</v>
      </c>
      <c r="F479" s="29" t="s">
        <v>118</v>
      </c>
      <c r="G479" s="25" t="s">
        <v>110</v>
      </c>
      <c r="H479" s="29" t="s">
        <v>100</v>
      </c>
      <c r="I479" s="32" t="s">
        <v>3193</v>
      </c>
      <c r="J479" s="28" t="s">
        <v>3194</v>
      </c>
      <c r="K479" s="29" t="s">
        <v>3195</v>
      </c>
      <c r="L479" s="27" t="s">
        <v>90</v>
      </c>
      <c r="M479" s="28" t="s">
        <v>91</v>
      </c>
      <c r="N479" s="38"/>
      <c r="O479" s="34"/>
      <c r="P479" s="34"/>
      <c r="Q479" s="35" t="s">
        <v>78</v>
      </c>
      <c r="R479" s="35" t="s">
        <v>79</v>
      </c>
      <c r="S479" s="35" t="s">
        <v>61</v>
      </c>
      <c r="T479" s="35" t="s">
        <v>62</v>
      </c>
      <c r="U479" s="36" t="s">
        <v>80</v>
      </c>
    </row>
    <row r="480" spans="1:21" ht="15.75" customHeight="1" x14ac:dyDescent="0.25">
      <c r="A480" s="9" t="s">
        <v>3196</v>
      </c>
      <c r="B480" s="10" t="s">
        <v>3197</v>
      </c>
      <c r="C480" s="11" t="s">
        <v>3198</v>
      </c>
      <c r="D480" s="12" t="s">
        <v>3199</v>
      </c>
      <c r="E480" s="11" t="s">
        <v>47</v>
      </c>
      <c r="F480" s="11" t="s">
        <v>3200</v>
      </c>
      <c r="G480" s="20" t="s">
        <v>119</v>
      </c>
      <c r="H480" s="11" t="s">
        <v>120</v>
      </c>
      <c r="I480" s="15" t="s">
        <v>3201</v>
      </c>
      <c r="J480" s="10" t="s">
        <v>3202</v>
      </c>
      <c r="K480" s="11" t="s">
        <v>3203</v>
      </c>
      <c r="L480" s="9" t="s">
        <v>481</v>
      </c>
      <c r="M480" s="10" t="s">
        <v>482</v>
      </c>
      <c r="N480" s="16" t="s">
        <v>75</v>
      </c>
      <c r="O480" s="17" t="s">
        <v>2951</v>
      </c>
      <c r="P480" s="17" t="s">
        <v>2952</v>
      </c>
      <c r="Q480" s="18" t="s">
        <v>78</v>
      </c>
      <c r="R480" s="18" t="s">
        <v>79</v>
      </c>
      <c r="S480" s="18" t="s">
        <v>61</v>
      </c>
      <c r="T480" s="18" t="s">
        <v>62</v>
      </c>
      <c r="U480" s="19" t="s">
        <v>80</v>
      </c>
    </row>
    <row r="481" spans="1:21" ht="15.75" customHeight="1" x14ac:dyDescent="0.25">
      <c r="A481" s="27" t="s">
        <v>3204</v>
      </c>
      <c r="B481" s="28" t="s">
        <v>3205</v>
      </c>
      <c r="C481" s="29" t="s">
        <v>3206</v>
      </c>
      <c r="D481" s="30" t="s">
        <v>1531</v>
      </c>
      <c r="E481" s="29" t="s">
        <v>47</v>
      </c>
      <c r="F481" s="31">
        <v>164</v>
      </c>
      <c r="G481" s="14" t="s">
        <v>119</v>
      </c>
      <c r="H481" s="29" t="s">
        <v>86</v>
      </c>
      <c r="I481" s="32" t="s">
        <v>3207</v>
      </c>
      <c r="J481" s="28" t="s">
        <v>3208</v>
      </c>
      <c r="K481" s="29" t="s">
        <v>3209</v>
      </c>
      <c r="L481" s="27" t="s">
        <v>481</v>
      </c>
      <c r="M481" s="28" t="s">
        <v>482</v>
      </c>
      <c r="N481" s="39" t="s">
        <v>179</v>
      </c>
      <c r="O481" s="34" t="s">
        <v>869</v>
      </c>
      <c r="P481" s="34" t="s">
        <v>870</v>
      </c>
      <c r="Q481" s="35" t="s">
        <v>78</v>
      </c>
      <c r="R481" s="35" t="s">
        <v>79</v>
      </c>
      <c r="S481" s="35" t="s">
        <v>61</v>
      </c>
      <c r="T481" s="35" t="s">
        <v>62</v>
      </c>
      <c r="U481" s="36" t="s">
        <v>80</v>
      </c>
    </row>
    <row r="482" spans="1:21" ht="15.75" customHeight="1" x14ac:dyDescent="0.25">
      <c r="A482" s="9" t="s">
        <v>3210</v>
      </c>
      <c r="B482" s="10" t="s">
        <v>3211</v>
      </c>
      <c r="C482" s="11" t="s">
        <v>3212</v>
      </c>
      <c r="D482" s="12" t="s">
        <v>3213</v>
      </c>
      <c r="E482" s="11" t="s">
        <v>98</v>
      </c>
      <c r="F482" s="11"/>
      <c r="G482" s="20" t="s">
        <v>85</v>
      </c>
      <c r="H482" s="11" t="s">
        <v>100</v>
      </c>
      <c r="I482" s="15" t="s">
        <v>3214</v>
      </c>
      <c r="J482" s="10" t="s">
        <v>3215</v>
      </c>
      <c r="K482" s="11" t="s">
        <v>337</v>
      </c>
      <c r="L482" s="9" t="s">
        <v>90</v>
      </c>
      <c r="M482" s="10" t="s">
        <v>91</v>
      </c>
      <c r="N482" s="16" t="s">
        <v>75</v>
      </c>
      <c r="O482" s="17" t="s">
        <v>124</v>
      </c>
      <c r="P482" s="17" t="s">
        <v>125</v>
      </c>
      <c r="Q482" s="18" t="s">
        <v>78</v>
      </c>
      <c r="R482" s="18" t="s">
        <v>79</v>
      </c>
      <c r="S482" s="18" t="s">
        <v>61</v>
      </c>
      <c r="T482" s="18" t="s">
        <v>62</v>
      </c>
      <c r="U482" s="19" t="s">
        <v>80</v>
      </c>
    </row>
    <row r="483" spans="1:21" ht="15.75" customHeight="1" x14ac:dyDescent="0.25">
      <c r="A483" s="27" t="s">
        <v>3216</v>
      </c>
      <c r="B483" s="28" t="s">
        <v>3217</v>
      </c>
      <c r="C483" s="29" t="s">
        <v>3218</v>
      </c>
      <c r="D483" s="37" t="s">
        <v>109</v>
      </c>
      <c r="E483" s="29" t="s">
        <v>47</v>
      </c>
      <c r="F483" s="31">
        <v>136</v>
      </c>
      <c r="G483" s="14" t="s">
        <v>119</v>
      </c>
      <c r="H483" s="29" t="s">
        <v>330</v>
      </c>
      <c r="I483" s="32" t="s">
        <v>3219</v>
      </c>
      <c r="J483" s="28" t="s">
        <v>3220</v>
      </c>
      <c r="K483" s="29" t="s">
        <v>3221</v>
      </c>
      <c r="L483" s="27" t="s">
        <v>158</v>
      </c>
      <c r="M483" s="28" t="s">
        <v>159</v>
      </c>
      <c r="N483" s="38"/>
      <c r="O483" s="34"/>
      <c r="P483" s="34"/>
      <c r="Q483" s="35" t="s">
        <v>78</v>
      </c>
      <c r="R483" s="35" t="s">
        <v>79</v>
      </c>
      <c r="S483" s="35" t="s">
        <v>61</v>
      </c>
      <c r="T483" s="35" t="s">
        <v>62</v>
      </c>
      <c r="U483" s="36" t="s">
        <v>80</v>
      </c>
    </row>
    <row r="484" spans="1:21" ht="15.75" customHeight="1" x14ac:dyDescent="0.25">
      <c r="A484" s="9" t="s">
        <v>3222</v>
      </c>
      <c r="B484" s="10" t="s">
        <v>3223</v>
      </c>
      <c r="C484" s="11" t="s">
        <v>3224</v>
      </c>
      <c r="D484" s="21" t="s">
        <v>109</v>
      </c>
      <c r="E484" s="11" t="s">
        <v>47</v>
      </c>
      <c r="F484" s="13">
        <v>126</v>
      </c>
      <c r="G484" s="14" t="s">
        <v>119</v>
      </c>
      <c r="H484" s="11" t="s">
        <v>330</v>
      </c>
      <c r="I484" s="15" t="s">
        <v>3225</v>
      </c>
      <c r="J484" s="10" t="s">
        <v>3226</v>
      </c>
      <c r="K484" s="11" t="s">
        <v>3227</v>
      </c>
      <c r="L484" s="9" t="s">
        <v>158</v>
      </c>
      <c r="M484" s="10" t="s">
        <v>159</v>
      </c>
      <c r="N484" s="22"/>
      <c r="O484" s="17"/>
      <c r="P484" s="17"/>
      <c r="Q484" s="18" t="s">
        <v>78</v>
      </c>
      <c r="R484" s="18" t="s">
        <v>79</v>
      </c>
      <c r="S484" s="18" t="s">
        <v>61</v>
      </c>
      <c r="T484" s="18" t="s">
        <v>62</v>
      </c>
      <c r="U484" s="19" t="s">
        <v>80</v>
      </c>
    </row>
    <row r="485" spans="1:21" ht="15.75" customHeight="1" x14ac:dyDescent="0.25">
      <c r="A485" s="27" t="s">
        <v>3228</v>
      </c>
      <c r="B485" s="28" t="s">
        <v>3229</v>
      </c>
      <c r="C485" s="29" t="s">
        <v>3230</v>
      </c>
      <c r="D485" s="37" t="s">
        <v>109</v>
      </c>
      <c r="E485" s="29" t="s">
        <v>47</v>
      </c>
      <c r="F485" s="31">
        <v>63</v>
      </c>
      <c r="G485" s="14" t="s">
        <v>119</v>
      </c>
      <c r="H485" s="29" t="s">
        <v>48</v>
      </c>
      <c r="I485" s="32" t="s">
        <v>3231</v>
      </c>
      <c r="J485" s="28" t="s">
        <v>3232</v>
      </c>
      <c r="K485" s="29" t="s">
        <v>3233</v>
      </c>
      <c r="L485" s="27" t="s">
        <v>158</v>
      </c>
      <c r="M485" s="28" t="s">
        <v>159</v>
      </c>
      <c r="N485" s="38"/>
      <c r="O485" s="34"/>
      <c r="P485" s="34"/>
      <c r="Q485" s="35" t="s">
        <v>78</v>
      </c>
      <c r="R485" s="35" t="s">
        <v>79</v>
      </c>
      <c r="S485" s="35" t="s">
        <v>61</v>
      </c>
      <c r="T485" s="35" t="s">
        <v>62</v>
      </c>
      <c r="U485" s="36" t="s">
        <v>80</v>
      </c>
    </row>
    <row r="486" spans="1:21" ht="15.75" customHeight="1" x14ac:dyDescent="0.25">
      <c r="A486" s="9" t="s">
        <v>3234</v>
      </c>
      <c r="B486" s="10" t="s">
        <v>3235</v>
      </c>
      <c r="C486" s="11" t="s">
        <v>3236</v>
      </c>
      <c r="D486" s="21" t="s">
        <v>109</v>
      </c>
      <c r="E486" s="11" t="s">
        <v>98</v>
      </c>
      <c r="F486" s="13">
        <v>208</v>
      </c>
      <c r="G486" s="24" t="s">
        <v>85</v>
      </c>
      <c r="H486" s="11" t="s">
        <v>129</v>
      </c>
      <c r="I486" s="15" t="s">
        <v>3237</v>
      </c>
      <c r="J486" s="10" t="s">
        <v>3238</v>
      </c>
      <c r="K486" s="11"/>
      <c r="L486" s="9"/>
      <c r="M486" s="10"/>
      <c r="N486" s="22"/>
      <c r="O486" s="17"/>
      <c r="P486" s="17"/>
      <c r="Q486" s="18" t="s">
        <v>78</v>
      </c>
      <c r="R486" s="18" t="s">
        <v>79</v>
      </c>
      <c r="S486" s="18" t="s">
        <v>61</v>
      </c>
      <c r="T486" s="18" t="s">
        <v>62</v>
      </c>
      <c r="U486" s="19" t="s">
        <v>80</v>
      </c>
    </row>
    <row r="487" spans="1:21" ht="15.75" customHeight="1" x14ac:dyDescent="0.25">
      <c r="A487" s="27" t="s">
        <v>3239</v>
      </c>
      <c r="B487" s="28" t="s">
        <v>3240</v>
      </c>
      <c r="C487" s="29" t="s">
        <v>3241</v>
      </c>
      <c r="D487" s="30" t="s">
        <v>3242</v>
      </c>
      <c r="E487" s="29" t="s">
        <v>67</v>
      </c>
      <c r="F487" s="31">
        <v>26</v>
      </c>
      <c r="G487" s="20" t="s">
        <v>119</v>
      </c>
      <c r="H487" s="29" t="s">
        <v>421</v>
      </c>
      <c r="I487" s="32" t="s">
        <v>3243</v>
      </c>
      <c r="J487" s="28" t="s">
        <v>3244</v>
      </c>
      <c r="K487" s="29" t="s">
        <v>3245</v>
      </c>
      <c r="L487" s="27" t="s">
        <v>90</v>
      </c>
      <c r="M487" s="28" t="s">
        <v>91</v>
      </c>
      <c r="N487" s="33" t="s">
        <v>75</v>
      </c>
      <c r="O487" s="34" t="s">
        <v>770</v>
      </c>
      <c r="P487" s="34" t="s">
        <v>771</v>
      </c>
      <c r="Q487" s="35" t="s">
        <v>78</v>
      </c>
      <c r="R487" s="35" t="s">
        <v>79</v>
      </c>
      <c r="S487" s="35" t="s">
        <v>61</v>
      </c>
      <c r="T487" s="35" t="s">
        <v>62</v>
      </c>
      <c r="U487" s="36" t="s">
        <v>80</v>
      </c>
    </row>
    <row r="488" spans="1:21" ht="15.75" customHeight="1" x14ac:dyDescent="0.25">
      <c r="A488" s="9" t="s">
        <v>3246</v>
      </c>
      <c r="B488" s="10" t="s">
        <v>3247</v>
      </c>
      <c r="C488" s="11" t="s">
        <v>3248</v>
      </c>
      <c r="D488" s="21" t="s">
        <v>109</v>
      </c>
      <c r="E488" s="11" t="s">
        <v>98</v>
      </c>
      <c r="F488" s="13">
        <v>248</v>
      </c>
      <c r="G488" s="24" t="s">
        <v>85</v>
      </c>
      <c r="H488" s="11" t="s">
        <v>129</v>
      </c>
      <c r="I488" s="15" t="s">
        <v>3249</v>
      </c>
      <c r="J488" s="10" t="s">
        <v>3250</v>
      </c>
      <c r="K488" s="11"/>
      <c r="L488" s="9"/>
      <c r="M488" s="10"/>
      <c r="N488" s="22"/>
      <c r="O488" s="17"/>
      <c r="P488" s="17"/>
      <c r="Q488" s="18" t="s">
        <v>78</v>
      </c>
      <c r="R488" s="18" t="s">
        <v>79</v>
      </c>
      <c r="S488" s="18" t="s">
        <v>61</v>
      </c>
      <c r="T488" s="18" t="s">
        <v>62</v>
      </c>
      <c r="U488" s="19" t="s">
        <v>80</v>
      </c>
    </row>
    <row r="489" spans="1:21" ht="15.75" customHeight="1" x14ac:dyDescent="0.25">
      <c r="A489" s="27" t="s">
        <v>3251</v>
      </c>
      <c r="B489" s="28" t="s">
        <v>3252</v>
      </c>
      <c r="C489" s="29" t="s">
        <v>3253</v>
      </c>
      <c r="D489" s="37" t="s">
        <v>109</v>
      </c>
      <c r="E489" s="29" t="s">
        <v>47</v>
      </c>
      <c r="F489" s="31">
        <v>118</v>
      </c>
      <c r="G489" s="14" t="s">
        <v>119</v>
      </c>
      <c r="H489" s="29" t="s">
        <v>330</v>
      </c>
      <c r="I489" s="32" t="s">
        <v>3254</v>
      </c>
      <c r="J489" s="28" t="s">
        <v>3255</v>
      </c>
      <c r="K489" s="29" t="s">
        <v>3256</v>
      </c>
      <c r="L489" s="27" t="s">
        <v>158</v>
      </c>
      <c r="M489" s="28" t="s">
        <v>159</v>
      </c>
      <c r="N489" s="38"/>
      <c r="O489" s="34"/>
      <c r="P489" s="34"/>
      <c r="Q489" s="35" t="s">
        <v>78</v>
      </c>
      <c r="R489" s="35" t="s">
        <v>79</v>
      </c>
      <c r="S489" s="35" t="s">
        <v>61</v>
      </c>
      <c r="T489" s="35" t="s">
        <v>62</v>
      </c>
      <c r="U489" s="36" t="s">
        <v>80</v>
      </c>
    </row>
    <row r="490" spans="1:21" ht="15.75" customHeight="1" x14ac:dyDescent="0.25">
      <c r="A490" s="9" t="s">
        <v>3257</v>
      </c>
      <c r="B490" s="10" t="s">
        <v>3258</v>
      </c>
      <c r="C490" s="11" t="s">
        <v>3259</v>
      </c>
      <c r="D490" s="21" t="s">
        <v>109</v>
      </c>
      <c r="E490" s="11" t="s">
        <v>47</v>
      </c>
      <c r="F490" s="13">
        <v>220</v>
      </c>
      <c r="G490" s="24" t="s">
        <v>85</v>
      </c>
      <c r="H490" s="11" t="s">
        <v>129</v>
      </c>
      <c r="I490" s="15" t="s">
        <v>3260</v>
      </c>
      <c r="J490" s="10" t="s">
        <v>3261</v>
      </c>
      <c r="K490" s="11"/>
      <c r="L490" s="9"/>
      <c r="M490" s="10"/>
      <c r="N490" s="22"/>
      <c r="O490" s="17"/>
      <c r="P490" s="17"/>
      <c r="Q490" s="18" t="s">
        <v>78</v>
      </c>
      <c r="R490" s="18" t="s">
        <v>79</v>
      </c>
      <c r="S490" s="18" t="s">
        <v>61</v>
      </c>
      <c r="T490" s="18" t="s">
        <v>62</v>
      </c>
      <c r="U490" s="19" t="s">
        <v>80</v>
      </c>
    </row>
    <row r="491" spans="1:21" ht="15.75" customHeight="1" x14ac:dyDescent="0.25">
      <c r="A491" s="27" t="s">
        <v>3262</v>
      </c>
      <c r="B491" s="28" t="s">
        <v>3263</v>
      </c>
      <c r="C491" s="29" t="s">
        <v>3264</v>
      </c>
      <c r="D491" s="37" t="s">
        <v>109</v>
      </c>
      <c r="E491" s="29" t="s">
        <v>47</v>
      </c>
      <c r="F491" s="31">
        <v>99</v>
      </c>
      <c r="G491" s="14" t="s">
        <v>119</v>
      </c>
      <c r="H491" s="29" t="s">
        <v>48</v>
      </c>
      <c r="I491" s="32" t="s">
        <v>3265</v>
      </c>
      <c r="J491" s="28" t="s">
        <v>3266</v>
      </c>
      <c r="K491" s="29" t="s">
        <v>3267</v>
      </c>
      <c r="L491" s="27" t="s">
        <v>158</v>
      </c>
      <c r="M491" s="28" t="s">
        <v>159</v>
      </c>
      <c r="N491" s="38"/>
      <c r="O491" s="34"/>
      <c r="P491" s="34"/>
      <c r="Q491" s="35" t="s">
        <v>78</v>
      </c>
      <c r="R491" s="35" t="s">
        <v>79</v>
      </c>
      <c r="S491" s="35" t="s">
        <v>61</v>
      </c>
      <c r="T491" s="35" t="s">
        <v>62</v>
      </c>
      <c r="U491" s="36" t="s">
        <v>80</v>
      </c>
    </row>
    <row r="492" spans="1:21" ht="15.75" customHeight="1" x14ac:dyDescent="0.25">
      <c r="A492" s="9" t="s">
        <v>3268</v>
      </c>
      <c r="B492" s="10" t="s">
        <v>3269</v>
      </c>
      <c r="C492" s="11" t="s">
        <v>3270</v>
      </c>
      <c r="D492" s="21" t="s">
        <v>109</v>
      </c>
      <c r="E492" s="11" t="s">
        <v>47</v>
      </c>
      <c r="F492" s="13">
        <v>83</v>
      </c>
      <c r="G492" s="24" t="s">
        <v>85</v>
      </c>
      <c r="H492" s="11" t="s">
        <v>48</v>
      </c>
      <c r="I492" s="15" t="s">
        <v>3271</v>
      </c>
      <c r="J492" s="10" t="s">
        <v>3272</v>
      </c>
      <c r="K492" s="11"/>
      <c r="L492" s="9"/>
      <c r="M492" s="10"/>
      <c r="N492" s="22"/>
      <c r="O492" s="17"/>
      <c r="P492" s="17"/>
      <c r="Q492" s="18" t="s">
        <v>78</v>
      </c>
      <c r="R492" s="18" t="s">
        <v>79</v>
      </c>
      <c r="S492" s="18" t="s">
        <v>61</v>
      </c>
      <c r="T492" s="18" t="s">
        <v>62</v>
      </c>
      <c r="U492" s="19" t="s">
        <v>80</v>
      </c>
    </row>
    <row r="493" spans="1:21" ht="15.75" customHeight="1" x14ac:dyDescent="0.25">
      <c r="A493" s="27" t="s">
        <v>3273</v>
      </c>
      <c r="B493" s="28" t="s">
        <v>3274</v>
      </c>
      <c r="C493" s="29" t="s">
        <v>3275</v>
      </c>
      <c r="D493" s="30" t="s">
        <v>3276</v>
      </c>
      <c r="E493" s="29" t="s">
        <v>47</v>
      </c>
      <c r="F493" s="31">
        <v>247</v>
      </c>
      <c r="G493" s="25" t="s">
        <v>119</v>
      </c>
      <c r="H493" s="29" t="s">
        <v>129</v>
      </c>
      <c r="I493" s="32" t="s">
        <v>3277</v>
      </c>
      <c r="J493" s="28" t="s">
        <v>3278</v>
      </c>
      <c r="K493" s="29" t="s">
        <v>3279</v>
      </c>
      <c r="L493" s="27" t="s">
        <v>481</v>
      </c>
      <c r="M493" s="28" t="s">
        <v>482</v>
      </c>
      <c r="N493" s="33" t="s">
        <v>75</v>
      </c>
      <c r="O493" s="34" t="s">
        <v>1127</v>
      </c>
      <c r="P493" s="34" t="s">
        <v>1128</v>
      </c>
      <c r="Q493" s="35" t="s">
        <v>78</v>
      </c>
      <c r="R493" s="35" t="s">
        <v>79</v>
      </c>
      <c r="S493" s="35" t="s">
        <v>61</v>
      </c>
      <c r="T493" s="35" t="s">
        <v>62</v>
      </c>
      <c r="U493" s="36" t="s">
        <v>80</v>
      </c>
    </row>
    <row r="494" spans="1:21" ht="15.75" customHeight="1" x14ac:dyDescent="0.25">
      <c r="A494" s="9" t="s">
        <v>3280</v>
      </c>
      <c r="B494" s="10" t="s">
        <v>3281</v>
      </c>
      <c r="C494" s="11" t="s">
        <v>3282</v>
      </c>
      <c r="D494" s="12" t="s">
        <v>3283</v>
      </c>
      <c r="E494" s="11" t="s">
        <v>47</v>
      </c>
      <c r="F494" s="13">
        <v>158</v>
      </c>
      <c r="G494" s="20" t="s">
        <v>119</v>
      </c>
      <c r="H494" s="11" t="s">
        <v>86</v>
      </c>
      <c r="I494" s="15" t="s">
        <v>3284</v>
      </c>
      <c r="J494" s="10" t="s">
        <v>3285</v>
      </c>
      <c r="K494" s="11" t="s">
        <v>3286</v>
      </c>
      <c r="L494" s="9" t="s">
        <v>90</v>
      </c>
      <c r="M494" s="10" t="s">
        <v>91</v>
      </c>
      <c r="N494" s="16" t="s">
        <v>75</v>
      </c>
      <c r="O494" s="17" t="s">
        <v>313</v>
      </c>
      <c r="P494" s="17" t="s">
        <v>314</v>
      </c>
      <c r="Q494" s="18" t="s">
        <v>78</v>
      </c>
      <c r="R494" s="18" t="s">
        <v>79</v>
      </c>
      <c r="S494" s="18" t="s">
        <v>61</v>
      </c>
      <c r="T494" s="18" t="s">
        <v>62</v>
      </c>
      <c r="U494" s="19" t="s">
        <v>80</v>
      </c>
    </row>
    <row r="495" spans="1:21" ht="15.75" customHeight="1" x14ac:dyDescent="0.25">
      <c r="A495" s="27" t="s">
        <v>3287</v>
      </c>
      <c r="B495" s="28" t="s">
        <v>3288</v>
      </c>
      <c r="C495" s="29" t="s">
        <v>3289</v>
      </c>
      <c r="D495" s="37" t="s">
        <v>109</v>
      </c>
      <c r="E495" s="29" t="s">
        <v>98</v>
      </c>
      <c r="F495" s="29" t="s">
        <v>3290</v>
      </c>
      <c r="G495" s="24" t="s">
        <v>85</v>
      </c>
      <c r="H495" s="29" t="s">
        <v>100</v>
      </c>
      <c r="I495" s="32" t="s">
        <v>3291</v>
      </c>
      <c r="J495" s="28" t="s">
        <v>3292</v>
      </c>
      <c r="K495" s="29"/>
      <c r="L495" s="27"/>
      <c r="M495" s="28"/>
      <c r="N495" s="38"/>
      <c r="O495" s="34"/>
      <c r="P495" s="34"/>
      <c r="Q495" s="35" t="s">
        <v>78</v>
      </c>
      <c r="R495" s="35" t="s">
        <v>79</v>
      </c>
      <c r="S495" s="35" t="s">
        <v>61</v>
      </c>
      <c r="T495" s="35" t="s">
        <v>62</v>
      </c>
      <c r="U495" s="36" t="s">
        <v>80</v>
      </c>
    </row>
    <row r="496" spans="1:21" ht="15.75" customHeight="1" x14ac:dyDescent="0.25">
      <c r="A496" s="9" t="s">
        <v>3293</v>
      </c>
      <c r="B496" s="10" t="s">
        <v>3294</v>
      </c>
      <c r="C496" s="11" t="s">
        <v>3295</v>
      </c>
      <c r="D496" s="21" t="s">
        <v>109</v>
      </c>
      <c r="E496" s="11" t="s">
        <v>47</v>
      </c>
      <c r="F496" s="11"/>
      <c r="G496" s="24" t="s">
        <v>85</v>
      </c>
      <c r="H496" s="11" t="s">
        <v>330</v>
      </c>
      <c r="I496" s="15" t="s">
        <v>3296</v>
      </c>
      <c r="J496" s="10" t="s">
        <v>3297</v>
      </c>
      <c r="K496" s="11"/>
      <c r="L496" s="9"/>
      <c r="M496" s="10"/>
      <c r="N496" s="22"/>
      <c r="O496" s="17"/>
      <c r="P496" s="17"/>
      <c r="Q496" s="18" t="s">
        <v>78</v>
      </c>
      <c r="R496" s="18" t="s">
        <v>79</v>
      </c>
      <c r="S496" s="18" t="s">
        <v>61</v>
      </c>
      <c r="T496" s="18" t="s">
        <v>62</v>
      </c>
      <c r="U496" s="19" t="s">
        <v>80</v>
      </c>
    </row>
    <row r="497" spans="1:21" ht="15.75" customHeight="1" x14ac:dyDescent="0.25">
      <c r="A497" s="27" t="s">
        <v>3298</v>
      </c>
      <c r="B497" s="28" t="s">
        <v>3299</v>
      </c>
      <c r="C497" s="29" t="s">
        <v>3300</v>
      </c>
      <c r="D497" s="30" t="s">
        <v>3301</v>
      </c>
      <c r="E497" s="29" t="s">
        <v>98</v>
      </c>
      <c r="F497" s="29"/>
      <c r="G497" s="14" t="s">
        <v>119</v>
      </c>
      <c r="H497" s="29" t="s">
        <v>100</v>
      </c>
      <c r="I497" s="32" t="s">
        <v>3302</v>
      </c>
      <c r="J497" s="28" t="s">
        <v>3303</v>
      </c>
      <c r="K497" s="29"/>
      <c r="L497" s="27"/>
      <c r="M497" s="28"/>
      <c r="N497" s="39" t="s">
        <v>179</v>
      </c>
      <c r="O497" s="34" t="s">
        <v>869</v>
      </c>
      <c r="P497" s="34" t="s">
        <v>870</v>
      </c>
      <c r="Q497" s="35" t="s">
        <v>78</v>
      </c>
      <c r="R497" s="35" t="s">
        <v>79</v>
      </c>
      <c r="S497" s="35" t="s">
        <v>61</v>
      </c>
      <c r="T497" s="35" t="s">
        <v>62</v>
      </c>
      <c r="U497" s="36" t="s">
        <v>80</v>
      </c>
    </row>
    <row r="498" spans="1:21" ht="15.75" customHeight="1" x14ac:dyDescent="0.25">
      <c r="A498" s="9" t="s">
        <v>3304</v>
      </c>
      <c r="B498" s="10" t="s">
        <v>3305</v>
      </c>
      <c r="C498" s="11" t="s">
        <v>3306</v>
      </c>
      <c r="D498" s="21" t="s">
        <v>109</v>
      </c>
      <c r="E498" s="11" t="s">
        <v>98</v>
      </c>
      <c r="F498" s="11" t="s">
        <v>3307</v>
      </c>
      <c r="G498" s="24" t="s">
        <v>85</v>
      </c>
      <c r="H498" s="11" t="s">
        <v>100</v>
      </c>
      <c r="I498" s="15" t="s">
        <v>3308</v>
      </c>
      <c r="J498" s="10" t="s">
        <v>3309</v>
      </c>
      <c r="K498" s="11"/>
      <c r="L498" s="9"/>
      <c r="M498" s="10"/>
      <c r="N498" s="22"/>
      <c r="O498" s="17"/>
      <c r="P498" s="17"/>
      <c r="Q498" s="18" t="s">
        <v>78</v>
      </c>
      <c r="R498" s="18" t="s">
        <v>79</v>
      </c>
      <c r="S498" s="18" t="s">
        <v>61</v>
      </c>
      <c r="T498" s="18" t="s">
        <v>62</v>
      </c>
      <c r="U498" s="19" t="s">
        <v>80</v>
      </c>
    </row>
    <row r="499" spans="1:21" ht="15.75" customHeight="1" x14ac:dyDescent="0.25">
      <c r="A499" s="27" t="s">
        <v>3310</v>
      </c>
      <c r="B499" s="28" t="s">
        <v>3311</v>
      </c>
      <c r="C499" s="29" t="s">
        <v>3312</v>
      </c>
      <c r="D499" s="37" t="s">
        <v>109</v>
      </c>
      <c r="E499" s="29" t="s">
        <v>1264</v>
      </c>
      <c r="F499" s="31">
        <v>3600</v>
      </c>
      <c r="G499" s="24" t="s">
        <v>85</v>
      </c>
      <c r="H499" s="29" t="s">
        <v>129</v>
      </c>
      <c r="I499" s="32" t="s">
        <v>3313</v>
      </c>
      <c r="J499" s="28" t="s">
        <v>3314</v>
      </c>
      <c r="K499" s="29"/>
      <c r="L499" s="27"/>
      <c r="M499" s="28"/>
      <c r="N499" s="38"/>
      <c r="O499" s="34"/>
      <c r="P499" s="34"/>
      <c r="Q499" s="35" t="s">
        <v>78</v>
      </c>
      <c r="R499" s="35" t="s">
        <v>79</v>
      </c>
      <c r="S499" s="35" t="s">
        <v>61</v>
      </c>
      <c r="T499" s="35" t="s">
        <v>62</v>
      </c>
      <c r="U499" s="36" t="s">
        <v>80</v>
      </c>
    </row>
    <row r="500" spans="1:21" ht="15.75" customHeight="1" x14ac:dyDescent="0.25">
      <c r="A500" s="9" t="s">
        <v>3315</v>
      </c>
      <c r="B500" s="10" t="s">
        <v>3316</v>
      </c>
      <c r="C500" s="11" t="s">
        <v>3317</v>
      </c>
      <c r="D500" s="12" t="s">
        <v>3318</v>
      </c>
      <c r="E500" s="11" t="s">
        <v>1264</v>
      </c>
      <c r="F500" s="11"/>
      <c r="G500" s="26" t="s">
        <v>119</v>
      </c>
      <c r="H500" s="11" t="s">
        <v>100</v>
      </c>
      <c r="I500" s="15" t="s">
        <v>3319</v>
      </c>
      <c r="J500" s="10" t="s">
        <v>3320</v>
      </c>
      <c r="K500" s="11" t="s">
        <v>332</v>
      </c>
      <c r="L500" s="9" t="s">
        <v>197</v>
      </c>
      <c r="M500" s="10" t="s">
        <v>198</v>
      </c>
      <c r="N500" s="23" t="s">
        <v>179</v>
      </c>
      <c r="O500" s="17" t="s">
        <v>934</v>
      </c>
      <c r="P500" s="17" t="s">
        <v>935</v>
      </c>
      <c r="Q500" s="18" t="s">
        <v>78</v>
      </c>
      <c r="R500" s="18" t="s">
        <v>79</v>
      </c>
      <c r="S500" s="18" t="s">
        <v>61</v>
      </c>
      <c r="T500" s="18" t="s">
        <v>62</v>
      </c>
      <c r="U500" s="19" t="s">
        <v>80</v>
      </c>
    </row>
    <row r="501" spans="1:21" ht="15.75" customHeight="1" x14ac:dyDescent="0.25">
      <c r="A501" s="27" t="s">
        <v>3321</v>
      </c>
      <c r="B501" s="28" t="s">
        <v>3322</v>
      </c>
      <c r="C501" s="29" t="s">
        <v>3323</v>
      </c>
      <c r="D501" s="37" t="s">
        <v>109</v>
      </c>
      <c r="E501" s="29" t="s">
        <v>47</v>
      </c>
      <c r="F501" s="31">
        <v>128</v>
      </c>
      <c r="G501" s="14" t="s">
        <v>119</v>
      </c>
      <c r="H501" s="29" t="s">
        <v>330</v>
      </c>
      <c r="I501" s="32" t="s">
        <v>3324</v>
      </c>
      <c r="J501" s="28" t="s">
        <v>3325</v>
      </c>
      <c r="K501" s="29" t="s">
        <v>3326</v>
      </c>
      <c r="L501" s="27" t="s">
        <v>158</v>
      </c>
      <c r="M501" s="28" t="s">
        <v>159</v>
      </c>
      <c r="N501" s="38"/>
      <c r="O501" s="34"/>
      <c r="P501" s="34"/>
      <c r="Q501" s="35" t="s">
        <v>78</v>
      </c>
      <c r="R501" s="35" t="s">
        <v>79</v>
      </c>
      <c r="S501" s="35" t="s">
        <v>61</v>
      </c>
      <c r="T501" s="35" t="s">
        <v>62</v>
      </c>
      <c r="U501" s="36" t="s">
        <v>80</v>
      </c>
    </row>
    <row r="502" spans="1:21" ht="15.75" customHeight="1" x14ac:dyDescent="0.25">
      <c r="A502" s="9" t="s">
        <v>3327</v>
      </c>
      <c r="B502" s="10" t="s">
        <v>3328</v>
      </c>
      <c r="C502" s="11" t="s">
        <v>3329</v>
      </c>
      <c r="D502" s="12" t="s">
        <v>3330</v>
      </c>
      <c r="E502" s="11" t="s">
        <v>47</v>
      </c>
      <c r="F502" s="13">
        <v>57</v>
      </c>
      <c r="G502" s="14" t="s">
        <v>708</v>
      </c>
      <c r="H502" s="11" t="s">
        <v>48</v>
      </c>
      <c r="I502" s="15" t="s">
        <v>3331</v>
      </c>
      <c r="J502" s="10" t="s">
        <v>3332</v>
      </c>
      <c r="K502" s="11" t="s">
        <v>3333</v>
      </c>
      <c r="L502" s="9" t="s">
        <v>158</v>
      </c>
      <c r="M502" s="10" t="s">
        <v>159</v>
      </c>
      <c r="N502" s="16" t="s">
        <v>75</v>
      </c>
      <c r="O502" s="17" t="s">
        <v>712</v>
      </c>
      <c r="P502" s="17" t="s">
        <v>713</v>
      </c>
      <c r="Q502" s="18" t="s">
        <v>78</v>
      </c>
      <c r="R502" s="18" t="s">
        <v>79</v>
      </c>
      <c r="S502" s="18" t="s">
        <v>61</v>
      </c>
      <c r="T502" s="18" t="s">
        <v>62</v>
      </c>
      <c r="U502" s="19" t="s">
        <v>80</v>
      </c>
    </row>
    <row r="503" spans="1:21" ht="15.75" customHeight="1" x14ac:dyDescent="0.25">
      <c r="A503" s="27" t="s">
        <v>3334</v>
      </c>
      <c r="B503" s="28" t="s">
        <v>3335</v>
      </c>
      <c r="C503" s="29" t="s">
        <v>3336</v>
      </c>
      <c r="D503" s="30" t="s">
        <v>1587</v>
      </c>
      <c r="E503" s="29" t="s">
        <v>98</v>
      </c>
      <c r="F503" s="29"/>
      <c r="G503" s="20" t="s">
        <v>85</v>
      </c>
      <c r="H503" s="29" t="s">
        <v>100</v>
      </c>
      <c r="I503" s="32" t="s">
        <v>3337</v>
      </c>
      <c r="J503" s="28" t="s">
        <v>3338</v>
      </c>
      <c r="K503" s="29" t="s">
        <v>332</v>
      </c>
      <c r="L503" s="27" t="s">
        <v>197</v>
      </c>
      <c r="M503" s="28" t="s">
        <v>198</v>
      </c>
      <c r="N503" s="33" t="s">
        <v>75</v>
      </c>
      <c r="O503" s="34" t="s">
        <v>355</v>
      </c>
      <c r="P503" s="34" t="s">
        <v>356</v>
      </c>
      <c r="Q503" s="35" t="s">
        <v>78</v>
      </c>
      <c r="R503" s="35" t="s">
        <v>79</v>
      </c>
      <c r="S503" s="35" t="s">
        <v>61</v>
      </c>
      <c r="T503" s="35" t="s">
        <v>62</v>
      </c>
      <c r="U503" s="36" t="s">
        <v>80</v>
      </c>
    </row>
    <row r="504" spans="1:21" ht="15.75" customHeight="1" x14ac:dyDescent="0.25">
      <c r="A504" s="9" t="s">
        <v>3339</v>
      </c>
      <c r="B504" s="10" t="s">
        <v>3340</v>
      </c>
      <c r="C504" s="11" t="s">
        <v>3341</v>
      </c>
      <c r="D504" s="12" t="s">
        <v>3342</v>
      </c>
      <c r="E504" s="11" t="s">
        <v>47</v>
      </c>
      <c r="F504" s="13">
        <v>42.5</v>
      </c>
      <c r="G504" s="20" t="s">
        <v>119</v>
      </c>
      <c r="H504" s="11" t="s">
        <v>69</v>
      </c>
      <c r="I504" s="15" t="s">
        <v>3343</v>
      </c>
      <c r="J504" s="10" t="s">
        <v>3344</v>
      </c>
      <c r="K504" s="11" t="s">
        <v>3345</v>
      </c>
      <c r="L504" s="9" t="s">
        <v>90</v>
      </c>
      <c r="M504" s="10" t="s">
        <v>91</v>
      </c>
      <c r="N504" s="16" t="s">
        <v>75</v>
      </c>
      <c r="O504" s="17" t="s">
        <v>124</v>
      </c>
      <c r="P504" s="17" t="s">
        <v>125</v>
      </c>
      <c r="Q504" s="18" t="s">
        <v>78</v>
      </c>
      <c r="R504" s="18" t="s">
        <v>79</v>
      </c>
      <c r="S504" s="18" t="s">
        <v>61</v>
      </c>
      <c r="T504" s="18" t="s">
        <v>62</v>
      </c>
      <c r="U504" s="19" t="s">
        <v>80</v>
      </c>
    </row>
    <row r="505" spans="1:21" ht="15.75" customHeight="1" x14ac:dyDescent="0.25">
      <c r="A505" s="27" t="s">
        <v>3346</v>
      </c>
      <c r="B505" s="28" t="s">
        <v>3347</v>
      </c>
      <c r="C505" s="29" t="s">
        <v>3348</v>
      </c>
      <c r="D505" s="37" t="s">
        <v>109</v>
      </c>
      <c r="E505" s="29" t="s">
        <v>47</v>
      </c>
      <c r="F505" s="31">
        <v>117</v>
      </c>
      <c r="G505" s="14" t="s">
        <v>119</v>
      </c>
      <c r="H505" s="29" t="s">
        <v>330</v>
      </c>
      <c r="I505" s="32" t="s">
        <v>3349</v>
      </c>
      <c r="J505" s="28" t="s">
        <v>3350</v>
      </c>
      <c r="K505" s="29" t="s">
        <v>3351</v>
      </c>
      <c r="L505" s="27" t="s">
        <v>158</v>
      </c>
      <c r="M505" s="28" t="s">
        <v>159</v>
      </c>
      <c r="N505" s="38"/>
      <c r="O505" s="34"/>
      <c r="P505" s="34"/>
      <c r="Q505" s="35" t="s">
        <v>78</v>
      </c>
      <c r="R505" s="35" t="s">
        <v>79</v>
      </c>
      <c r="S505" s="35" t="s">
        <v>61</v>
      </c>
      <c r="T505" s="35" t="s">
        <v>62</v>
      </c>
      <c r="U505" s="36" t="s">
        <v>80</v>
      </c>
    </row>
    <row r="506" spans="1:21" ht="15.75" customHeight="1" x14ac:dyDescent="0.25">
      <c r="A506" s="9" t="s">
        <v>3352</v>
      </c>
      <c r="B506" s="10" t="s">
        <v>3353</v>
      </c>
      <c r="C506" s="11" t="s">
        <v>3354</v>
      </c>
      <c r="D506" s="12" t="s">
        <v>3355</v>
      </c>
      <c r="E506" s="11" t="s">
        <v>47</v>
      </c>
      <c r="F506" s="13">
        <v>202</v>
      </c>
      <c r="G506" s="20" t="s">
        <v>85</v>
      </c>
      <c r="H506" s="11" t="s">
        <v>129</v>
      </c>
      <c r="I506" s="15" t="s">
        <v>3356</v>
      </c>
      <c r="J506" s="10" t="s">
        <v>3357</v>
      </c>
      <c r="K506" s="11"/>
      <c r="L506" s="9"/>
      <c r="M506" s="10"/>
      <c r="N506" s="23" t="s">
        <v>179</v>
      </c>
      <c r="O506" s="17" t="s">
        <v>292</v>
      </c>
      <c r="P506" s="17" t="s">
        <v>293</v>
      </c>
      <c r="Q506" s="18" t="s">
        <v>78</v>
      </c>
      <c r="R506" s="18" t="s">
        <v>79</v>
      </c>
      <c r="S506" s="18" t="s">
        <v>61</v>
      </c>
      <c r="T506" s="18" t="s">
        <v>62</v>
      </c>
      <c r="U506" s="19" t="s">
        <v>80</v>
      </c>
    </row>
    <row r="507" spans="1:21" ht="15.75" customHeight="1" x14ac:dyDescent="0.25">
      <c r="A507" s="27" t="s">
        <v>3358</v>
      </c>
      <c r="B507" s="28" t="s">
        <v>3359</v>
      </c>
      <c r="C507" s="29" t="s">
        <v>3360</v>
      </c>
      <c r="D507" s="30" t="s">
        <v>3361</v>
      </c>
      <c r="E507" s="29" t="s">
        <v>47</v>
      </c>
      <c r="F507" s="31">
        <v>170</v>
      </c>
      <c r="G507" s="20" t="s">
        <v>119</v>
      </c>
      <c r="H507" s="29" t="s">
        <v>86</v>
      </c>
      <c r="I507" s="32" t="s">
        <v>3362</v>
      </c>
      <c r="J507" s="28" t="s">
        <v>3363</v>
      </c>
      <c r="K507" s="29" t="s">
        <v>3364</v>
      </c>
      <c r="L507" s="27" t="s">
        <v>158</v>
      </c>
      <c r="M507" s="28" t="s">
        <v>159</v>
      </c>
      <c r="N507" s="33" t="s">
        <v>75</v>
      </c>
      <c r="O507" s="34" t="s">
        <v>650</v>
      </c>
      <c r="P507" s="34" t="s">
        <v>651</v>
      </c>
      <c r="Q507" s="35" t="s">
        <v>78</v>
      </c>
      <c r="R507" s="35" t="s">
        <v>79</v>
      </c>
      <c r="S507" s="35" t="s">
        <v>61</v>
      </c>
      <c r="T507" s="35" t="s">
        <v>62</v>
      </c>
      <c r="U507" s="36" t="s">
        <v>80</v>
      </c>
    </row>
    <row r="508" spans="1:21" ht="15.75" customHeight="1" x14ac:dyDescent="0.25">
      <c r="A508" s="9" t="s">
        <v>3365</v>
      </c>
      <c r="B508" s="10" t="s">
        <v>3366</v>
      </c>
      <c r="C508" s="11" t="s">
        <v>3367</v>
      </c>
      <c r="D508" s="21" t="s">
        <v>109</v>
      </c>
      <c r="E508" s="11" t="s">
        <v>47</v>
      </c>
      <c r="F508" s="13">
        <v>165</v>
      </c>
      <c r="G508" s="25" t="s">
        <v>110</v>
      </c>
      <c r="H508" s="11" t="s">
        <v>86</v>
      </c>
      <c r="I508" s="15" t="s">
        <v>3368</v>
      </c>
      <c r="J508" s="10" t="s">
        <v>3369</v>
      </c>
      <c r="K508" s="11" t="s">
        <v>3370</v>
      </c>
      <c r="L508" s="9" t="s">
        <v>90</v>
      </c>
      <c r="M508" s="10" t="s">
        <v>91</v>
      </c>
      <c r="N508" s="22"/>
      <c r="O508" s="17"/>
      <c r="P508" s="17"/>
      <c r="Q508" s="18" t="s">
        <v>78</v>
      </c>
      <c r="R508" s="18" t="s">
        <v>79</v>
      </c>
      <c r="S508" s="18" t="s">
        <v>61</v>
      </c>
      <c r="T508" s="18" t="s">
        <v>62</v>
      </c>
      <c r="U508" s="19" t="s">
        <v>80</v>
      </c>
    </row>
    <row r="509" spans="1:21" ht="15.75" customHeight="1" x14ac:dyDescent="0.25">
      <c r="A509" s="27" t="s">
        <v>3371</v>
      </c>
      <c r="B509" s="28" t="s">
        <v>3372</v>
      </c>
      <c r="C509" s="29" t="s">
        <v>3373</v>
      </c>
      <c r="D509" s="37" t="s">
        <v>109</v>
      </c>
      <c r="E509" s="29" t="s">
        <v>98</v>
      </c>
      <c r="F509" s="29" t="s">
        <v>3374</v>
      </c>
      <c r="G509" s="24" t="s">
        <v>85</v>
      </c>
      <c r="H509" s="29" t="s">
        <v>100</v>
      </c>
      <c r="I509" s="32" t="s">
        <v>3375</v>
      </c>
      <c r="J509" s="28" t="s">
        <v>3376</v>
      </c>
      <c r="K509" s="29" t="s">
        <v>332</v>
      </c>
      <c r="L509" s="27" t="s">
        <v>197</v>
      </c>
      <c r="M509" s="28" t="s">
        <v>198</v>
      </c>
      <c r="N509" s="38"/>
      <c r="O509" s="34"/>
      <c r="P509" s="34"/>
      <c r="Q509" s="35" t="s">
        <v>78</v>
      </c>
      <c r="R509" s="35" t="s">
        <v>79</v>
      </c>
      <c r="S509" s="35" t="s">
        <v>61</v>
      </c>
      <c r="T509" s="35" t="s">
        <v>62</v>
      </c>
      <c r="U509" s="36" t="s">
        <v>80</v>
      </c>
    </row>
    <row r="510" spans="1:21" ht="15.75" customHeight="1" x14ac:dyDescent="0.25">
      <c r="A510" s="9" t="s">
        <v>3377</v>
      </c>
      <c r="B510" s="10" t="s">
        <v>3378</v>
      </c>
      <c r="C510" s="11" t="s">
        <v>3379</v>
      </c>
      <c r="D510" s="21" t="s">
        <v>109</v>
      </c>
      <c r="E510" s="11" t="s">
        <v>98</v>
      </c>
      <c r="F510" s="13">
        <v>300.8</v>
      </c>
      <c r="G510" s="25" t="s">
        <v>110</v>
      </c>
      <c r="H510" s="11" t="s">
        <v>129</v>
      </c>
      <c r="I510" s="15" t="s">
        <v>3380</v>
      </c>
      <c r="J510" s="10" t="s">
        <v>3381</v>
      </c>
      <c r="K510" s="11" t="s">
        <v>3382</v>
      </c>
      <c r="L510" s="9" t="s">
        <v>90</v>
      </c>
      <c r="M510" s="10" t="s">
        <v>91</v>
      </c>
      <c r="N510" s="22"/>
      <c r="O510" s="17"/>
      <c r="P510" s="17"/>
      <c r="Q510" s="18" t="s">
        <v>78</v>
      </c>
      <c r="R510" s="18" t="s">
        <v>79</v>
      </c>
      <c r="S510" s="18" t="s">
        <v>61</v>
      </c>
      <c r="T510" s="18" t="s">
        <v>62</v>
      </c>
      <c r="U510" s="19" t="s">
        <v>80</v>
      </c>
    </row>
    <row r="511" spans="1:21" ht="15.75" customHeight="1" x14ac:dyDescent="0.25">
      <c r="A511" s="27" t="s">
        <v>3383</v>
      </c>
      <c r="B511" s="28" t="s">
        <v>3384</v>
      </c>
      <c r="C511" s="29" t="s">
        <v>3385</v>
      </c>
      <c r="D511" s="30" t="s">
        <v>3386</v>
      </c>
      <c r="E511" s="29" t="s">
        <v>47</v>
      </c>
      <c r="F511" s="31">
        <v>249</v>
      </c>
      <c r="G511" s="20" t="s">
        <v>119</v>
      </c>
      <c r="H511" s="29" t="s">
        <v>129</v>
      </c>
      <c r="I511" s="32" t="s">
        <v>3387</v>
      </c>
      <c r="J511" s="28" t="s">
        <v>3388</v>
      </c>
      <c r="K511" s="29" t="s">
        <v>3389</v>
      </c>
      <c r="L511" s="27" t="s">
        <v>90</v>
      </c>
      <c r="M511" s="28" t="s">
        <v>91</v>
      </c>
      <c r="N511" s="33" t="s">
        <v>75</v>
      </c>
      <c r="O511" s="34" t="s">
        <v>124</v>
      </c>
      <c r="P511" s="34" t="s">
        <v>125</v>
      </c>
      <c r="Q511" s="35" t="s">
        <v>78</v>
      </c>
      <c r="R511" s="35" t="s">
        <v>79</v>
      </c>
      <c r="S511" s="35" t="s">
        <v>61</v>
      </c>
      <c r="T511" s="35" t="s">
        <v>62</v>
      </c>
      <c r="U511" s="36" t="s">
        <v>80</v>
      </c>
    </row>
    <row r="512" spans="1:21" ht="15.75" customHeight="1" x14ac:dyDescent="0.25">
      <c r="A512" s="9" t="s">
        <v>3390</v>
      </c>
      <c r="B512" s="10" t="s">
        <v>3391</v>
      </c>
      <c r="C512" s="11" t="s">
        <v>3392</v>
      </c>
      <c r="D512" s="12" t="s">
        <v>3386</v>
      </c>
      <c r="E512" s="11" t="s">
        <v>98</v>
      </c>
      <c r="F512" s="11"/>
      <c r="G512" s="20" t="s">
        <v>119</v>
      </c>
      <c r="H512" s="11" t="s">
        <v>100</v>
      </c>
      <c r="I512" s="15" t="s">
        <v>3393</v>
      </c>
      <c r="J512" s="10" t="s">
        <v>3394</v>
      </c>
      <c r="K512" s="11" t="s">
        <v>3395</v>
      </c>
      <c r="L512" s="9" t="s">
        <v>90</v>
      </c>
      <c r="M512" s="10" t="s">
        <v>91</v>
      </c>
      <c r="N512" s="16" t="s">
        <v>75</v>
      </c>
      <c r="O512" s="17" t="s">
        <v>124</v>
      </c>
      <c r="P512" s="17" t="s">
        <v>125</v>
      </c>
      <c r="Q512" s="18" t="s">
        <v>78</v>
      </c>
      <c r="R512" s="18" t="s">
        <v>79</v>
      </c>
      <c r="S512" s="18" t="s">
        <v>61</v>
      </c>
      <c r="T512" s="18" t="s">
        <v>62</v>
      </c>
      <c r="U512" s="19" t="s">
        <v>80</v>
      </c>
    </row>
    <row r="513" spans="1:21" ht="15.75" customHeight="1" x14ac:dyDescent="0.25">
      <c r="A513" s="27" t="s">
        <v>3396</v>
      </c>
      <c r="B513" s="28" t="s">
        <v>3397</v>
      </c>
      <c r="C513" s="29" t="s">
        <v>3398</v>
      </c>
      <c r="D513" s="30" t="s">
        <v>3399</v>
      </c>
      <c r="E513" s="29" t="s">
        <v>98</v>
      </c>
      <c r="F513" s="31">
        <v>141.30000000000001</v>
      </c>
      <c r="G513" s="20" t="s">
        <v>119</v>
      </c>
      <c r="H513" s="29" t="s">
        <v>330</v>
      </c>
      <c r="I513" s="32" t="s">
        <v>3400</v>
      </c>
      <c r="J513" s="28" t="s">
        <v>3401</v>
      </c>
      <c r="K513" s="29" t="s">
        <v>3402</v>
      </c>
      <c r="L513" s="27" t="s">
        <v>90</v>
      </c>
      <c r="M513" s="28" t="s">
        <v>91</v>
      </c>
      <c r="N513" s="33" t="s">
        <v>75</v>
      </c>
      <c r="O513" s="34" t="s">
        <v>124</v>
      </c>
      <c r="P513" s="34" t="s">
        <v>125</v>
      </c>
      <c r="Q513" s="35" t="s">
        <v>78</v>
      </c>
      <c r="R513" s="35" t="s">
        <v>79</v>
      </c>
      <c r="S513" s="35" t="s">
        <v>61</v>
      </c>
      <c r="T513" s="35" t="s">
        <v>62</v>
      </c>
      <c r="U513" s="36" t="s">
        <v>80</v>
      </c>
    </row>
    <row r="514" spans="1:21" ht="15.75" customHeight="1" x14ac:dyDescent="0.25">
      <c r="A514" s="9" t="s">
        <v>3403</v>
      </c>
      <c r="B514" s="10" t="s">
        <v>3404</v>
      </c>
      <c r="C514" s="11" t="s">
        <v>3405</v>
      </c>
      <c r="D514" s="21" t="s">
        <v>109</v>
      </c>
      <c r="E514" s="11" t="s">
        <v>47</v>
      </c>
      <c r="F514" s="13">
        <v>101</v>
      </c>
      <c r="G514" s="14" t="s">
        <v>119</v>
      </c>
      <c r="H514" s="11" t="s">
        <v>330</v>
      </c>
      <c r="I514" s="15" t="s">
        <v>3406</v>
      </c>
      <c r="J514" s="10" t="s">
        <v>3407</v>
      </c>
      <c r="K514" s="11" t="s">
        <v>3408</v>
      </c>
      <c r="L514" s="9" t="s">
        <v>158</v>
      </c>
      <c r="M514" s="10" t="s">
        <v>159</v>
      </c>
      <c r="N514" s="22"/>
      <c r="O514" s="17"/>
      <c r="P514" s="17"/>
      <c r="Q514" s="18" t="s">
        <v>78</v>
      </c>
      <c r="R514" s="18" t="s">
        <v>79</v>
      </c>
      <c r="S514" s="18" t="s">
        <v>61</v>
      </c>
      <c r="T514" s="18" t="s">
        <v>62</v>
      </c>
      <c r="U514" s="19" t="s">
        <v>80</v>
      </c>
    </row>
    <row r="515" spans="1:21" ht="15.75" customHeight="1" x14ac:dyDescent="0.25">
      <c r="A515" s="27" t="s">
        <v>3409</v>
      </c>
      <c r="B515" s="28" t="s">
        <v>3410</v>
      </c>
      <c r="C515" s="29" t="s">
        <v>3411</v>
      </c>
      <c r="D515" s="37" t="s">
        <v>109</v>
      </c>
      <c r="E515" s="29" t="s">
        <v>98</v>
      </c>
      <c r="F515" s="31">
        <v>216</v>
      </c>
      <c r="G515" s="25" t="s">
        <v>110</v>
      </c>
      <c r="H515" s="29" t="s">
        <v>129</v>
      </c>
      <c r="I515" s="32" t="s">
        <v>3412</v>
      </c>
      <c r="J515" s="28" t="s">
        <v>3413</v>
      </c>
      <c r="K515" s="29" t="s">
        <v>559</v>
      </c>
      <c r="L515" s="27" t="s">
        <v>90</v>
      </c>
      <c r="M515" s="28" t="s">
        <v>91</v>
      </c>
      <c r="N515" s="38"/>
      <c r="O515" s="34"/>
      <c r="P515" s="34"/>
      <c r="Q515" s="35" t="s">
        <v>78</v>
      </c>
      <c r="R515" s="35" t="s">
        <v>79</v>
      </c>
      <c r="S515" s="35" t="s">
        <v>61</v>
      </c>
      <c r="T515" s="35" t="s">
        <v>62</v>
      </c>
      <c r="U515" s="36" t="s">
        <v>80</v>
      </c>
    </row>
    <row r="516" spans="1:21" ht="15.75" customHeight="1" x14ac:dyDescent="0.25">
      <c r="A516" s="9" t="s">
        <v>3414</v>
      </c>
      <c r="B516" s="10" t="s">
        <v>3415</v>
      </c>
      <c r="C516" s="11" t="s">
        <v>3416</v>
      </c>
      <c r="D516" s="21" t="s">
        <v>109</v>
      </c>
      <c r="E516" s="11" t="s">
        <v>47</v>
      </c>
      <c r="F516" s="13">
        <v>151</v>
      </c>
      <c r="G516" s="25" t="s">
        <v>110</v>
      </c>
      <c r="H516" s="11" t="s">
        <v>86</v>
      </c>
      <c r="I516" s="15" t="s">
        <v>3417</v>
      </c>
      <c r="J516" s="10" t="s">
        <v>3418</v>
      </c>
      <c r="K516" s="11" t="s">
        <v>507</v>
      </c>
      <c r="L516" s="9" t="s">
        <v>90</v>
      </c>
      <c r="M516" s="10" t="s">
        <v>91</v>
      </c>
      <c r="N516" s="22"/>
      <c r="O516" s="17"/>
      <c r="P516" s="17"/>
      <c r="Q516" s="18" t="s">
        <v>78</v>
      </c>
      <c r="R516" s="18" t="s">
        <v>79</v>
      </c>
      <c r="S516" s="18" t="s">
        <v>61</v>
      </c>
      <c r="T516" s="18" t="s">
        <v>62</v>
      </c>
      <c r="U516" s="19" t="s">
        <v>80</v>
      </c>
    </row>
    <row r="517" spans="1:21" ht="15.75" customHeight="1" x14ac:dyDescent="0.25">
      <c r="A517" s="27" t="s">
        <v>3419</v>
      </c>
      <c r="B517" s="28" t="s">
        <v>3420</v>
      </c>
      <c r="C517" s="29" t="s">
        <v>3421</v>
      </c>
      <c r="D517" s="37" t="s">
        <v>109</v>
      </c>
      <c r="E517" s="29" t="s">
        <v>98</v>
      </c>
      <c r="F517" s="31">
        <v>101</v>
      </c>
      <c r="G517" s="24" t="s">
        <v>85</v>
      </c>
      <c r="H517" s="29" t="s">
        <v>330</v>
      </c>
      <c r="I517" s="32" t="s">
        <v>3422</v>
      </c>
      <c r="J517" s="28" t="s">
        <v>3423</v>
      </c>
      <c r="K517" s="29"/>
      <c r="L517" s="27"/>
      <c r="M517" s="28"/>
      <c r="N517" s="38"/>
      <c r="O517" s="34"/>
      <c r="P517" s="34"/>
      <c r="Q517" s="35" t="s">
        <v>78</v>
      </c>
      <c r="R517" s="35" t="s">
        <v>79</v>
      </c>
      <c r="S517" s="35" t="s">
        <v>61</v>
      </c>
      <c r="T517" s="35" t="s">
        <v>62</v>
      </c>
      <c r="U517" s="36" t="s">
        <v>80</v>
      </c>
    </row>
    <row r="518" spans="1:21" ht="15.75" customHeight="1" x14ac:dyDescent="0.25">
      <c r="A518" s="9" t="s">
        <v>3424</v>
      </c>
      <c r="B518" s="10" t="s">
        <v>3425</v>
      </c>
      <c r="C518" s="11" t="s">
        <v>3426</v>
      </c>
      <c r="D518" s="21" t="s">
        <v>109</v>
      </c>
      <c r="E518" s="11" t="s">
        <v>98</v>
      </c>
      <c r="F518" s="11"/>
      <c r="G518" s="24" t="s">
        <v>85</v>
      </c>
      <c r="H518" s="11" t="s">
        <v>100</v>
      </c>
      <c r="I518" s="15" t="s">
        <v>3427</v>
      </c>
      <c r="J518" s="10" t="s">
        <v>3428</v>
      </c>
      <c r="K518" s="11"/>
      <c r="L518" s="9"/>
      <c r="M518" s="10"/>
      <c r="N518" s="22"/>
      <c r="O518" s="17"/>
      <c r="P518" s="17"/>
      <c r="Q518" s="18" t="s">
        <v>78</v>
      </c>
      <c r="R518" s="18" t="s">
        <v>79</v>
      </c>
      <c r="S518" s="18" t="s">
        <v>61</v>
      </c>
      <c r="T518" s="18" t="s">
        <v>62</v>
      </c>
      <c r="U518" s="19" t="s">
        <v>80</v>
      </c>
    </row>
    <row r="519" spans="1:21" ht="15.75" customHeight="1" x14ac:dyDescent="0.25">
      <c r="A519" s="27" t="s">
        <v>3429</v>
      </c>
      <c r="B519" s="28" t="s">
        <v>3430</v>
      </c>
      <c r="C519" s="29" t="s">
        <v>3431</v>
      </c>
      <c r="D519" s="37" t="s">
        <v>109</v>
      </c>
      <c r="E519" s="29" t="s">
        <v>98</v>
      </c>
      <c r="F519" s="31">
        <v>130</v>
      </c>
      <c r="G519" s="25" t="s">
        <v>110</v>
      </c>
      <c r="H519" s="29" t="s">
        <v>330</v>
      </c>
      <c r="I519" s="32" t="s">
        <v>3432</v>
      </c>
      <c r="J519" s="28" t="s">
        <v>3433</v>
      </c>
      <c r="K519" s="29" t="s">
        <v>3434</v>
      </c>
      <c r="L519" s="27" t="s">
        <v>90</v>
      </c>
      <c r="M519" s="28" t="s">
        <v>91</v>
      </c>
      <c r="N519" s="38"/>
      <c r="O519" s="34"/>
      <c r="P519" s="34"/>
      <c r="Q519" s="35" t="s">
        <v>78</v>
      </c>
      <c r="R519" s="35" t="s">
        <v>79</v>
      </c>
      <c r="S519" s="35" t="s">
        <v>61</v>
      </c>
      <c r="T519" s="35" t="s">
        <v>62</v>
      </c>
      <c r="U519" s="36" t="s">
        <v>80</v>
      </c>
    </row>
    <row r="520" spans="1:21" ht="15.75" customHeight="1" x14ac:dyDescent="0.25">
      <c r="A520" s="9" t="s">
        <v>3435</v>
      </c>
      <c r="B520" s="10" t="s">
        <v>3436</v>
      </c>
      <c r="C520" s="11" t="s">
        <v>3437</v>
      </c>
      <c r="D520" s="12" t="s">
        <v>2412</v>
      </c>
      <c r="E520" s="11" t="s">
        <v>98</v>
      </c>
      <c r="F520" s="11" t="s">
        <v>244</v>
      </c>
      <c r="G520" s="25" t="s">
        <v>119</v>
      </c>
      <c r="H520" s="11" t="s">
        <v>100</v>
      </c>
      <c r="I520" s="15" t="s">
        <v>3438</v>
      </c>
      <c r="J520" s="10" t="s">
        <v>3439</v>
      </c>
      <c r="K520" s="11" t="s">
        <v>3209</v>
      </c>
      <c r="L520" s="9" t="s">
        <v>481</v>
      </c>
      <c r="M520" s="10" t="s">
        <v>482</v>
      </c>
      <c r="N520" s="16" t="s">
        <v>75</v>
      </c>
      <c r="O520" s="17" t="s">
        <v>1127</v>
      </c>
      <c r="P520" s="17" t="s">
        <v>1128</v>
      </c>
      <c r="Q520" s="18" t="s">
        <v>78</v>
      </c>
      <c r="R520" s="18" t="s">
        <v>79</v>
      </c>
      <c r="S520" s="18" t="s">
        <v>61</v>
      </c>
      <c r="T520" s="18" t="s">
        <v>62</v>
      </c>
      <c r="U520" s="19" t="s">
        <v>80</v>
      </c>
    </row>
    <row r="521" spans="1:21" ht="15.75" customHeight="1" x14ac:dyDescent="0.25">
      <c r="A521" s="27" t="s">
        <v>3440</v>
      </c>
      <c r="B521" s="28" t="s">
        <v>3441</v>
      </c>
      <c r="C521" s="29" t="s">
        <v>3442</v>
      </c>
      <c r="D521" s="37" t="s">
        <v>109</v>
      </c>
      <c r="E521" s="29" t="s">
        <v>98</v>
      </c>
      <c r="F521" s="31">
        <v>351</v>
      </c>
      <c r="G521" s="24" t="s">
        <v>85</v>
      </c>
      <c r="H521" s="29" t="s">
        <v>129</v>
      </c>
      <c r="I521" s="32" t="s">
        <v>3443</v>
      </c>
      <c r="J521" s="28" t="s">
        <v>3444</v>
      </c>
      <c r="K521" s="29"/>
      <c r="L521" s="27"/>
      <c r="M521" s="28"/>
      <c r="N521" s="38"/>
      <c r="O521" s="34"/>
      <c r="P521" s="34"/>
      <c r="Q521" s="35" t="s">
        <v>78</v>
      </c>
      <c r="R521" s="35" t="s">
        <v>79</v>
      </c>
      <c r="S521" s="35" t="s">
        <v>61</v>
      </c>
      <c r="T521" s="35" t="s">
        <v>62</v>
      </c>
      <c r="U521" s="36" t="s">
        <v>80</v>
      </c>
    </row>
    <row r="522" spans="1:21" ht="15.75" customHeight="1" x14ac:dyDescent="0.25">
      <c r="A522" s="9" t="s">
        <v>3445</v>
      </c>
      <c r="B522" s="10" t="s">
        <v>3446</v>
      </c>
      <c r="C522" s="11" t="s">
        <v>3447</v>
      </c>
      <c r="D522" s="21" t="s">
        <v>109</v>
      </c>
      <c r="E522" s="11" t="s">
        <v>98</v>
      </c>
      <c r="F522" s="13">
        <v>275</v>
      </c>
      <c r="G522" s="24" t="s">
        <v>85</v>
      </c>
      <c r="H522" s="11" t="s">
        <v>129</v>
      </c>
      <c r="I522" s="15" t="s">
        <v>3448</v>
      </c>
      <c r="J522" s="10" t="s">
        <v>3449</v>
      </c>
      <c r="K522" s="11"/>
      <c r="L522" s="9"/>
      <c r="M522" s="10"/>
      <c r="N522" s="22"/>
      <c r="O522" s="17"/>
      <c r="P522" s="17"/>
      <c r="Q522" s="18" t="s">
        <v>78</v>
      </c>
      <c r="R522" s="18" t="s">
        <v>79</v>
      </c>
      <c r="S522" s="18" t="s">
        <v>61</v>
      </c>
      <c r="T522" s="18" t="s">
        <v>62</v>
      </c>
      <c r="U522" s="19" t="s">
        <v>80</v>
      </c>
    </row>
    <row r="523" spans="1:21" ht="15.75" customHeight="1" x14ac:dyDescent="0.25">
      <c r="A523" s="27" t="s">
        <v>3450</v>
      </c>
      <c r="B523" s="28" t="s">
        <v>3451</v>
      </c>
      <c r="C523" s="29" t="s">
        <v>3452</v>
      </c>
      <c r="D523" s="37" t="s">
        <v>109</v>
      </c>
      <c r="E523" s="29" t="s">
        <v>98</v>
      </c>
      <c r="F523" s="29" t="s">
        <v>3453</v>
      </c>
      <c r="G523" s="25" t="s">
        <v>110</v>
      </c>
      <c r="H523" s="29" t="s">
        <v>120</v>
      </c>
      <c r="I523" s="32" t="s">
        <v>3454</v>
      </c>
      <c r="J523" s="28" t="s">
        <v>3455</v>
      </c>
      <c r="K523" s="29" t="s">
        <v>3456</v>
      </c>
      <c r="L523" s="27" t="s">
        <v>90</v>
      </c>
      <c r="M523" s="28" t="s">
        <v>91</v>
      </c>
      <c r="N523" s="38"/>
      <c r="O523" s="34"/>
      <c r="P523" s="34"/>
      <c r="Q523" s="35" t="s">
        <v>78</v>
      </c>
      <c r="R523" s="35" t="s">
        <v>79</v>
      </c>
      <c r="S523" s="35" t="s">
        <v>61</v>
      </c>
      <c r="T523" s="35" t="s">
        <v>62</v>
      </c>
      <c r="U523" s="36" t="s">
        <v>80</v>
      </c>
    </row>
    <row r="524" spans="1:21" ht="15.75" customHeight="1" x14ac:dyDescent="0.25">
      <c r="A524" s="9" t="s">
        <v>3457</v>
      </c>
      <c r="B524" s="10" t="s">
        <v>3458</v>
      </c>
      <c r="C524" s="11" t="s">
        <v>3459</v>
      </c>
      <c r="D524" s="21" t="s">
        <v>109</v>
      </c>
      <c r="E524" s="11" t="s">
        <v>47</v>
      </c>
      <c r="F524" s="13">
        <v>140</v>
      </c>
      <c r="G524" s="14" t="s">
        <v>119</v>
      </c>
      <c r="H524" s="11" t="s">
        <v>330</v>
      </c>
      <c r="I524" s="15" t="s">
        <v>3460</v>
      </c>
      <c r="J524" s="10" t="s">
        <v>3461</v>
      </c>
      <c r="K524" s="11" t="s">
        <v>3462</v>
      </c>
      <c r="L524" s="9" t="s">
        <v>158</v>
      </c>
      <c r="M524" s="10" t="s">
        <v>159</v>
      </c>
      <c r="N524" s="22"/>
      <c r="O524" s="17"/>
      <c r="P524" s="17"/>
      <c r="Q524" s="18" t="s">
        <v>78</v>
      </c>
      <c r="R524" s="18" t="s">
        <v>79</v>
      </c>
      <c r="S524" s="18" t="s">
        <v>61</v>
      </c>
      <c r="T524" s="18" t="s">
        <v>62</v>
      </c>
      <c r="U524" s="19" t="s">
        <v>80</v>
      </c>
    </row>
    <row r="525" spans="1:21" ht="15.75" customHeight="1" x14ac:dyDescent="0.25">
      <c r="A525" s="27" t="s">
        <v>3463</v>
      </c>
      <c r="B525" s="28" t="s">
        <v>3464</v>
      </c>
      <c r="C525" s="29" t="s">
        <v>3465</v>
      </c>
      <c r="D525" s="30" t="s">
        <v>3466</v>
      </c>
      <c r="E525" s="29" t="s">
        <v>47</v>
      </c>
      <c r="F525" s="31">
        <v>36</v>
      </c>
      <c r="G525" s="20" t="s">
        <v>119</v>
      </c>
      <c r="H525" s="29" t="s">
        <v>69</v>
      </c>
      <c r="I525" s="32" t="s">
        <v>3467</v>
      </c>
      <c r="J525" s="28" t="s">
        <v>3468</v>
      </c>
      <c r="K525" s="29" t="s">
        <v>3469</v>
      </c>
      <c r="L525" s="27" t="s">
        <v>158</v>
      </c>
      <c r="M525" s="28" t="s">
        <v>159</v>
      </c>
      <c r="N525" s="33" t="s">
        <v>75</v>
      </c>
      <c r="O525" s="34" t="s">
        <v>382</v>
      </c>
      <c r="P525" s="34" t="s">
        <v>383</v>
      </c>
      <c r="Q525" s="35" t="s">
        <v>78</v>
      </c>
      <c r="R525" s="35" t="s">
        <v>79</v>
      </c>
      <c r="S525" s="35" t="s">
        <v>61</v>
      </c>
      <c r="T525" s="35" t="s">
        <v>62</v>
      </c>
      <c r="U525" s="36" t="s">
        <v>80</v>
      </c>
    </row>
    <row r="526" spans="1:21" ht="15.75" customHeight="1" x14ac:dyDescent="0.25">
      <c r="A526" s="9" t="s">
        <v>3470</v>
      </c>
      <c r="B526" s="10" t="s">
        <v>3471</v>
      </c>
      <c r="C526" s="11" t="s">
        <v>3472</v>
      </c>
      <c r="D526" s="12" t="s">
        <v>883</v>
      </c>
      <c r="E526" s="11" t="s">
        <v>47</v>
      </c>
      <c r="F526" s="13">
        <v>138</v>
      </c>
      <c r="G526" s="20" t="s">
        <v>119</v>
      </c>
      <c r="H526" s="11" t="s">
        <v>330</v>
      </c>
      <c r="I526" s="15" t="s">
        <v>3473</v>
      </c>
      <c r="J526" s="10" t="s">
        <v>3471</v>
      </c>
      <c r="K526" s="11" t="s">
        <v>3326</v>
      </c>
      <c r="L526" s="9" t="s">
        <v>158</v>
      </c>
      <c r="M526" s="10" t="s">
        <v>159</v>
      </c>
      <c r="N526" s="23" t="s">
        <v>179</v>
      </c>
      <c r="O526" s="17" t="s">
        <v>382</v>
      </c>
      <c r="P526" s="17" t="s">
        <v>383</v>
      </c>
      <c r="Q526" s="18" t="s">
        <v>78</v>
      </c>
      <c r="R526" s="18" t="s">
        <v>79</v>
      </c>
      <c r="S526" s="18" t="s">
        <v>61</v>
      </c>
      <c r="T526" s="18" t="s">
        <v>62</v>
      </c>
      <c r="U526" s="19" t="s">
        <v>80</v>
      </c>
    </row>
    <row r="527" spans="1:21" ht="15.75" customHeight="1" x14ac:dyDescent="0.25">
      <c r="A527" s="27" t="s">
        <v>3474</v>
      </c>
      <c r="B527" s="28" t="s">
        <v>3475</v>
      </c>
      <c r="C527" s="29" t="s">
        <v>3476</v>
      </c>
      <c r="D527" s="30" t="s">
        <v>3477</v>
      </c>
      <c r="E527" s="29" t="s">
        <v>47</v>
      </c>
      <c r="F527" s="31">
        <v>116</v>
      </c>
      <c r="G527" s="20" t="s">
        <v>119</v>
      </c>
      <c r="H527" s="29" t="s">
        <v>330</v>
      </c>
      <c r="I527" s="32" t="s">
        <v>3478</v>
      </c>
      <c r="J527" s="28" t="s">
        <v>3475</v>
      </c>
      <c r="K527" s="29" t="s">
        <v>3326</v>
      </c>
      <c r="L527" s="27" t="s">
        <v>158</v>
      </c>
      <c r="M527" s="28" t="s">
        <v>159</v>
      </c>
      <c r="N527" s="39" t="s">
        <v>179</v>
      </c>
      <c r="O527" s="34" t="s">
        <v>382</v>
      </c>
      <c r="P527" s="34" t="s">
        <v>383</v>
      </c>
      <c r="Q527" s="35" t="s">
        <v>78</v>
      </c>
      <c r="R527" s="35" t="s">
        <v>79</v>
      </c>
      <c r="S527" s="35" t="s">
        <v>61</v>
      </c>
      <c r="T527" s="35" t="s">
        <v>62</v>
      </c>
      <c r="U527" s="36" t="s">
        <v>80</v>
      </c>
    </row>
    <row r="528" spans="1:21" ht="15.75" customHeight="1" x14ac:dyDescent="0.25">
      <c r="A528" s="9" t="s">
        <v>3479</v>
      </c>
      <c r="B528" s="10" t="s">
        <v>3480</v>
      </c>
      <c r="C528" s="11" t="s">
        <v>3481</v>
      </c>
      <c r="D528" s="21" t="s">
        <v>109</v>
      </c>
      <c r="E528" s="11" t="s">
        <v>47</v>
      </c>
      <c r="F528" s="13">
        <v>202</v>
      </c>
      <c r="G528" s="14" t="s">
        <v>119</v>
      </c>
      <c r="H528" s="11" t="s">
        <v>129</v>
      </c>
      <c r="I528" s="15" t="s">
        <v>3482</v>
      </c>
      <c r="J528" s="10" t="s">
        <v>3483</v>
      </c>
      <c r="K528" s="11" t="s">
        <v>3484</v>
      </c>
      <c r="L528" s="9" t="s">
        <v>158</v>
      </c>
      <c r="M528" s="10" t="s">
        <v>159</v>
      </c>
      <c r="N528" s="22"/>
      <c r="O528" s="17"/>
      <c r="P528" s="17"/>
      <c r="Q528" s="18" t="s">
        <v>78</v>
      </c>
      <c r="R528" s="18" t="s">
        <v>79</v>
      </c>
      <c r="S528" s="18" t="s">
        <v>61</v>
      </c>
      <c r="T528" s="18" t="s">
        <v>62</v>
      </c>
      <c r="U528" s="19" t="s">
        <v>80</v>
      </c>
    </row>
    <row r="529" spans="1:21" ht="15.75" customHeight="1" x14ac:dyDescent="0.25">
      <c r="A529" s="27" t="s">
        <v>3485</v>
      </c>
      <c r="B529" s="28" t="s">
        <v>3486</v>
      </c>
      <c r="C529" s="29" t="s">
        <v>3487</v>
      </c>
      <c r="D529" s="37" t="s">
        <v>109</v>
      </c>
      <c r="E529" s="29" t="s">
        <v>47</v>
      </c>
      <c r="F529" s="31">
        <v>245</v>
      </c>
      <c r="G529" s="24" t="s">
        <v>85</v>
      </c>
      <c r="H529" s="29" t="s">
        <v>129</v>
      </c>
      <c r="I529" s="32" t="s">
        <v>3488</v>
      </c>
      <c r="J529" s="28" t="s">
        <v>3489</v>
      </c>
      <c r="K529" s="29"/>
      <c r="L529" s="27"/>
      <c r="M529" s="28"/>
      <c r="N529" s="38"/>
      <c r="O529" s="34"/>
      <c r="P529" s="34"/>
      <c r="Q529" s="35" t="s">
        <v>78</v>
      </c>
      <c r="R529" s="35" t="s">
        <v>79</v>
      </c>
      <c r="S529" s="35" t="s">
        <v>61</v>
      </c>
      <c r="T529" s="35" t="s">
        <v>62</v>
      </c>
      <c r="U529" s="36" t="s">
        <v>80</v>
      </c>
    </row>
    <row r="530" spans="1:21" ht="15.75" customHeight="1" x14ac:dyDescent="0.25">
      <c r="A530" s="9" t="s">
        <v>3490</v>
      </c>
      <c r="B530" s="10" t="s">
        <v>3491</v>
      </c>
      <c r="C530" s="11" t="s">
        <v>3492</v>
      </c>
      <c r="D530" s="12" t="s">
        <v>2633</v>
      </c>
      <c r="E530" s="11" t="s">
        <v>47</v>
      </c>
      <c r="F530" s="13">
        <v>196</v>
      </c>
      <c r="G530" s="14" t="s">
        <v>119</v>
      </c>
      <c r="H530" s="11" t="s">
        <v>86</v>
      </c>
      <c r="I530" s="15" t="s">
        <v>3493</v>
      </c>
      <c r="J530" s="10" t="s">
        <v>3494</v>
      </c>
      <c r="K530" s="11"/>
      <c r="L530" s="9"/>
      <c r="M530" s="10"/>
      <c r="N530" s="23" t="s">
        <v>179</v>
      </c>
      <c r="O530" s="17" t="s">
        <v>869</v>
      </c>
      <c r="P530" s="17" t="s">
        <v>870</v>
      </c>
      <c r="Q530" s="18" t="s">
        <v>78</v>
      </c>
      <c r="R530" s="18" t="s">
        <v>79</v>
      </c>
      <c r="S530" s="18" t="s">
        <v>61</v>
      </c>
      <c r="T530" s="18" t="s">
        <v>62</v>
      </c>
      <c r="U530" s="19" t="s">
        <v>80</v>
      </c>
    </row>
    <row r="531" spans="1:21" ht="15.75" customHeight="1" x14ac:dyDescent="0.25">
      <c r="A531" s="27" t="s">
        <v>3495</v>
      </c>
      <c r="B531" s="28" t="s">
        <v>3496</v>
      </c>
      <c r="C531" s="29" t="s">
        <v>3497</v>
      </c>
      <c r="D531" s="30" t="s">
        <v>3498</v>
      </c>
      <c r="E531" s="29" t="s">
        <v>98</v>
      </c>
      <c r="F531" s="29"/>
      <c r="G531" s="20" t="s">
        <v>85</v>
      </c>
      <c r="H531" s="29" t="s">
        <v>100</v>
      </c>
      <c r="I531" s="32" t="s">
        <v>3499</v>
      </c>
      <c r="J531" s="28" t="s">
        <v>3500</v>
      </c>
      <c r="K531" s="29" t="s">
        <v>3501</v>
      </c>
      <c r="L531" s="27" t="s">
        <v>90</v>
      </c>
      <c r="M531" s="28" t="s">
        <v>91</v>
      </c>
      <c r="N531" s="33" t="s">
        <v>75</v>
      </c>
      <c r="O531" s="34" t="s">
        <v>1663</v>
      </c>
      <c r="P531" s="34" t="s">
        <v>1664</v>
      </c>
      <c r="Q531" s="35" t="s">
        <v>78</v>
      </c>
      <c r="R531" s="35" t="s">
        <v>79</v>
      </c>
      <c r="S531" s="35" t="s">
        <v>61</v>
      </c>
      <c r="T531" s="35" t="s">
        <v>62</v>
      </c>
      <c r="U531" s="36" t="s">
        <v>80</v>
      </c>
    </row>
    <row r="532" spans="1:21" ht="15.75" customHeight="1" x14ac:dyDescent="0.25">
      <c r="A532" s="9" t="s">
        <v>3502</v>
      </c>
      <c r="B532" s="10" t="s">
        <v>3503</v>
      </c>
      <c r="C532" s="11" t="s">
        <v>3504</v>
      </c>
      <c r="D532" s="12" t="s">
        <v>3505</v>
      </c>
      <c r="E532" s="11" t="s">
        <v>98</v>
      </c>
      <c r="F532" s="11"/>
      <c r="G532" s="20" t="s">
        <v>85</v>
      </c>
      <c r="H532" s="11" t="s">
        <v>100</v>
      </c>
      <c r="I532" s="15" t="s">
        <v>3506</v>
      </c>
      <c r="J532" s="10" t="s">
        <v>3507</v>
      </c>
      <c r="K532" s="11" t="s">
        <v>3508</v>
      </c>
      <c r="L532" s="9" t="s">
        <v>90</v>
      </c>
      <c r="M532" s="10" t="s">
        <v>91</v>
      </c>
      <c r="N532" s="16" t="s">
        <v>75</v>
      </c>
      <c r="O532" s="17" t="s">
        <v>1663</v>
      </c>
      <c r="P532" s="17" t="s">
        <v>1664</v>
      </c>
      <c r="Q532" s="18" t="s">
        <v>78</v>
      </c>
      <c r="R532" s="18" t="s">
        <v>79</v>
      </c>
      <c r="S532" s="18" t="s">
        <v>61</v>
      </c>
      <c r="T532" s="18" t="s">
        <v>62</v>
      </c>
      <c r="U532" s="19" t="s">
        <v>80</v>
      </c>
    </row>
    <row r="533" spans="1:21" ht="15.75" customHeight="1" x14ac:dyDescent="0.25">
      <c r="A533" s="27" t="s">
        <v>3509</v>
      </c>
      <c r="B533" s="28" t="s">
        <v>3510</v>
      </c>
      <c r="C533" s="29" t="s">
        <v>3511</v>
      </c>
      <c r="D533" s="30" t="s">
        <v>3512</v>
      </c>
      <c r="E533" s="29" t="s">
        <v>98</v>
      </c>
      <c r="F533" s="31">
        <v>395.5</v>
      </c>
      <c r="G533" s="20" t="s">
        <v>85</v>
      </c>
      <c r="H533" s="29" t="s">
        <v>129</v>
      </c>
      <c r="I533" s="32" t="s">
        <v>3513</v>
      </c>
      <c r="J533" s="28" t="s">
        <v>3514</v>
      </c>
      <c r="K533" s="29" t="s">
        <v>332</v>
      </c>
      <c r="L533" s="27" t="s">
        <v>197</v>
      </c>
      <c r="M533" s="28" t="s">
        <v>198</v>
      </c>
      <c r="N533" s="39" t="s">
        <v>179</v>
      </c>
      <c r="O533" s="34" t="s">
        <v>355</v>
      </c>
      <c r="P533" s="34" t="s">
        <v>356</v>
      </c>
      <c r="Q533" s="35" t="s">
        <v>78</v>
      </c>
      <c r="R533" s="35" t="s">
        <v>79</v>
      </c>
      <c r="S533" s="35" t="s">
        <v>61</v>
      </c>
      <c r="T533" s="35" t="s">
        <v>62</v>
      </c>
      <c r="U533" s="36" t="s">
        <v>80</v>
      </c>
    </row>
    <row r="534" spans="1:21" ht="15.75" customHeight="1" x14ac:dyDescent="0.25">
      <c r="A534" s="9" t="s">
        <v>3515</v>
      </c>
      <c r="B534" s="10" t="s">
        <v>3516</v>
      </c>
      <c r="C534" s="11" t="s">
        <v>3517</v>
      </c>
      <c r="D534" s="21" t="s">
        <v>109</v>
      </c>
      <c r="E534" s="11" t="s">
        <v>98</v>
      </c>
      <c r="F534" s="11" t="s">
        <v>3518</v>
      </c>
      <c r="G534" s="25" t="s">
        <v>110</v>
      </c>
      <c r="H534" s="11" t="s">
        <v>100</v>
      </c>
      <c r="I534" s="15" t="s">
        <v>3519</v>
      </c>
      <c r="J534" s="10" t="s">
        <v>3520</v>
      </c>
      <c r="K534" s="11" t="s">
        <v>1286</v>
      </c>
      <c r="L534" s="9" t="s">
        <v>90</v>
      </c>
      <c r="M534" s="10" t="s">
        <v>91</v>
      </c>
      <c r="N534" s="22"/>
      <c r="O534" s="17"/>
      <c r="P534" s="17"/>
      <c r="Q534" s="18" t="s">
        <v>78</v>
      </c>
      <c r="R534" s="18" t="s">
        <v>79</v>
      </c>
      <c r="S534" s="18" t="s">
        <v>61</v>
      </c>
      <c r="T534" s="18" t="s">
        <v>62</v>
      </c>
      <c r="U534" s="19" t="s">
        <v>80</v>
      </c>
    </row>
    <row r="535" spans="1:21" ht="15.75" customHeight="1" x14ac:dyDescent="0.25">
      <c r="A535" s="27" t="s">
        <v>3521</v>
      </c>
      <c r="B535" s="28" t="s">
        <v>3522</v>
      </c>
      <c r="C535" s="29" t="s">
        <v>3523</v>
      </c>
      <c r="D535" s="37" t="s">
        <v>109</v>
      </c>
      <c r="E535" s="29" t="s">
        <v>98</v>
      </c>
      <c r="F535" s="29" t="s">
        <v>3524</v>
      </c>
      <c r="G535" s="25" t="s">
        <v>110</v>
      </c>
      <c r="H535" s="29" t="s">
        <v>100</v>
      </c>
      <c r="I535" s="32" t="s">
        <v>3525</v>
      </c>
      <c r="J535" s="28" t="s">
        <v>3526</v>
      </c>
      <c r="K535" s="29" t="s">
        <v>3527</v>
      </c>
      <c r="L535" s="27" t="s">
        <v>481</v>
      </c>
      <c r="M535" s="28" t="s">
        <v>482</v>
      </c>
      <c r="N535" s="38"/>
      <c r="O535" s="34"/>
      <c r="P535" s="34"/>
      <c r="Q535" s="35" t="s">
        <v>78</v>
      </c>
      <c r="R535" s="35" t="s">
        <v>79</v>
      </c>
      <c r="S535" s="35" t="s">
        <v>61</v>
      </c>
      <c r="T535" s="35" t="s">
        <v>62</v>
      </c>
      <c r="U535" s="36" t="s">
        <v>80</v>
      </c>
    </row>
    <row r="536" spans="1:21" ht="15.75" customHeight="1" x14ac:dyDescent="0.25">
      <c r="A536" s="9" t="s">
        <v>3528</v>
      </c>
      <c r="B536" s="10" t="s">
        <v>3529</v>
      </c>
      <c r="C536" s="11" t="s">
        <v>3530</v>
      </c>
      <c r="D536" s="21" t="s">
        <v>109</v>
      </c>
      <c r="E536" s="11" t="s">
        <v>98</v>
      </c>
      <c r="F536" s="11"/>
      <c r="G536" s="25" t="s">
        <v>110</v>
      </c>
      <c r="H536" s="11" t="s">
        <v>100</v>
      </c>
      <c r="I536" s="15" t="s">
        <v>3531</v>
      </c>
      <c r="J536" s="10" t="s">
        <v>3532</v>
      </c>
      <c r="K536" s="11" t="s">
        <v>3533</v>
      </c>
      <c r="L536" s="9" t="s">
        <v>481</v>
      </c>
      <c r="M536" s="10" t="s">
        <v>482</v>
      </c>
      <c r="N536" s="22"/>
      <c r="O536" s="17"/>
      <c r="P536" s="17"/>
      <c r="Q536" s="18" t="s">
        <v>78</v>
      </c>
      <c r="R536" s="18" t="s">
        <v>79</v>
      </c>
      <c r="S536" s="18" t="s">
        <v>61</v>
      </c>
      <c r="T536" s="18" t="s">
        <v>62</v>
      </c>
      <c r="U536" s="19" t="s">
        <v>80</v>
      </c>
    </row>
    <row r="537" spans="1:21" ht="15.75" customHeight="1" x14ac:dyDescent="0.25">
      <c r="A537" s="27" t="s">
        <v>3534</v>
      </c>
      <c r="B537" s="28" t="s">
        <v>3535</v>
      </c>
      <c r="C537" s="29" t="s">
        <v>3536</v>
      </c>
      <c r="D537" s="30" t="s">
        <v>3537</v>
      </c>
      <c r="E537" s="29" t="s">
        <v>47</v>
      </c>
      <c r="F537" s="29"/>
      <c r="G537" s="24" t="s">
        <v>119</v>
      </c>
      <c r="H537" s="29" t="s">
        <v>120</v>
      </c>
      <c r="I537" s="32" t="s">
        <v>3538</v>
      </c>
      <c r="J537" s="28" t="s">
        <v>3539</v>
      </c>
      <c r="K537" s="29"/>
      <c r="L537" s="27"/>
      <c r="M537" s="28"/>
      <c r="N537" s="39" t="s">
        <v>179</v>
      </c>
      <c r="O537" s="34"/>
      <c r="P537" s="34"/>
      <c r="Q537" s="35" t="s">
        <v>78</v>
      </c>
      <c r="R537" s="35" t="s">
        <v>79</v>
      </c>
      <c r="S537" s="35" t="s">
        <v>61</v>
      </c>
      <c r="T537" s="35" t="s">
        <v>62</v>
      </c>
      <c r="U537" s="36" t="s">
        <v>80</v>
      </c>
    </row>
    <row r="538" spans="1:21" ht="15.75" customHeight="1" x14ac:dyDescent="0.25">
      <c r="A538" s="9" t="s">
        <v>3540</v>
      </c>
      <c r="B538" s="10" t="s">
        <v>3541</v>
      </c>
      <c r="C538" s="11" t="s">
        <v>3542</v>
      </c>
      <c r="D538" s="12" t="s">
        <v>3543</v>
      </c>
      <c r="E538" s="11" t="s">
        <v>98</v>
      </c>
      <c r="F538" s="11" t="s">
        <v>3544</v>
      </c>
      <c r="G538" s="26" t="s">
        <v>119</v>
      </c>
      <c r="H538" s="11" t="s">
        <v>100</v>
      </c>
      <c r="I538" s="15" t="s">
        <v>3545</v>
      </c>
      <c r="J538" s="10" t="s">
        <v>3546</v>
      </c>
      <c r="K538" s="11" t="s">
        <v>3547</v>
      </c>
      <c r="L538" s="9" t="s">
        <v>1203</v>
      </c>
      <c r="M538" s="10" t="s">
        <v>1204</v>
      </c>
      <c r="N538" s="16" t="s">
        <v>75</v>
      </c>
      <c r="O538" s="17" t="s">
        <v>3548</v>
      </c>
      <c r="P538" s="17" t="s">
        <v>3549</v>
      </c>
      <c r="Q538" s="18" t="s">
        <v>78</v>
      </c>
      <c r="R538" s="18" t="s">
        <v>79</v>
      </c>
      <c r="S538" s="18" t="s">
        <v>61</v>
      </c>
      <c r="T538" s="18" t="s">
        <v>62</v>
      </c>
      <c r="U538" s="19" t="s">
        <v>80</v>
      </c>
    </row>
    <row r="539" spans="1:21" ht="15.75" customHeight="1" x14ac:dyDescent="0.25">
      <c r="A539" s="27" t="s">
        <v>3550</v>
      </c>
      <c r="B539" s="28" t="s">
        <v>3551</v>
      </c>
      <c r="C539" s="29" t="s">
        <v>3552</v>
      </c>
      <c r="D539" s="37" t="s">
        <v>109</v>
      </c>
      <c r="E539" s="29" t="s">
        <v>98</v>
      </c>
      <c r="F539" s="29"/>
      <c r="G539" s="14" t="s">
        <v>119</v>
      </c>
      <c r="H539" s="29" t="s">
        <v>100</v>
      </c>
      <c r="I539" s="32" t="s">
        <v>3553</v>
      </c>
      <c r="J539" s="28" t="s">
        <v>3554</v>
      </c>
      <c r="K539" s="29" t="s">
        <v>3555</v>
      </c>
      <c r="L539" s="27" t="s">
        <v>1267</v>
      </c>
      <c r="M539" s="28" t="s">
        <v>1268</v>
      </c>
      <c r="N539" s="38"/>
      <c r="O539" s="34"/>
      <c r="P539" s="34"/>
      <c r="Q539" s="35" t="s">
        <v>78</v>
      </c>
      <c r="R539" s="35" t="s">
        <v>79</v>
      </c>
      <c r="S539" s="35" t="s">
        <v>61</v>
      </c>
      <c r="T539" s="35" t="s">
        <v>62</v>
      </c>
      <c r="U539" s="36" t="s">
        <v>80</v>
      </c>
    </row>
    <row r="540" spans="1:21" ht="15.75" customHeight="1" x14ac:dyDescent="0.25">
      <c r="A540" s="9" t="s">
        <v>3556</v>
      </c>
      <c r="B540" s="10" t="s">
        <v>3557</v>
      </c>
      <c r="C540" s="11" t="s">
        <v>3558</v>
      </c>
      <c r="D540" s="21" t="s">
        <v>109</v>
      </c>
      <c r="E540" s="11" t="s">
        <v>47</v>
      </c>
      <c r="F540" s="13">
        <v>49</v>
      </c>
      <c r="G540" s="14" t="s">
        <v>119</v>
      </c>
      <c r="H540" s="11" t="s">
        <v>69</v>
      </c>
      <c r="I540" s="15" t="s">
        <v>3559</v>
      </c>
      <c r="J540" s="10" t="s">
        <v>3560</v>
      </c>
      <c r="K540" s="11" t="s">
        <v>3561</v>
      </c>
      <c r="L540" s="9" t="s">
        <v>158</v>
      </c>
      <c r="M540" s="10" t="s">
        <v>159</v>
      </c>
      <c r="N540" s="22"/>
      <c r="O540" s="17"/>
      <c r="P540" s="17"/>
      <c r="Q540" s="18" t="s">
        <v>78</v>
      </c>
      <c r="R540" s="18" t="s">
        <v>79</v>
      </c>
      <c r="S540" s="18" t="s">
        <v>61</v>
      </c>
      <c r="T540" s="18" t="s">
        <v>62</v>
      </c>
      <c r="U540" s="19" t="s">
        <v>80</v>
      </c>
    </row>
    <row r="541" spans="1:21" ht="15.75" customHeight="1" x14ac:dyDescent="0.25">
      <c r="A541" s="27" t="s">
        <v>3562</v>
      </c>
      <c r="B541" s="28" t="s">
        <v>3563</v>
      </c>
      <c r="C541" s="29" t="s">
        <v>3564</v>
      </c>
      <c r="D541" s="37" t="s">
        <v>109</v>
      </c>
      <c r="E541" s="29" t="s">
        <v>47</v>
      </c>
      <c r="F541" s="31">
        <v>120</v>
      </c>
      <c r="G541" s="14" t="s">
        <v>119</v>
      </c>
      <c r="H541" s="29" t="s">
        <v>330</v>
      </c>
      <c r="I541" s="32" t="s">
        <v>3565</v>
      </c>
      <c r="J541" s="28" t="s">
        <v>3566</v>
      </c>
      <c r="K541" s="29" t="s">
        <v>3567</v>
      </c>
      <c r="L541" s="27" t="s">
        <v>158</v>
      </c>
      <c r="M541" s="28" t="s">
        <v>159</v>
      </c>
      <c r="N541" s="38"/>
      <c r="O541" s="34"/>
      <c r="P541" s="34"/>
      <c r="Q541" s="35" t="s">
        <v>78</v>
      </c>
      <c r="R541" s="35" t="s">
        <v>79</v>
      </c>
      <c r="S541" s="35" t="s">
        <v>61</v>
      </c>
      <c r="T541" s="35" t="s">
        <v>62</v>
      </c>
      <c r="U541" s="36" t="s">
        <v>80</v>
      </c>
    </row>
    <row r="542" spans="1:21" ht="15.75" customHeight="1" x14ac:dyDescent="0.25">
      <c r="A542" s="9" t="s">
        <v>3568</v>
      </c>
      <c r="B542" s="10" t="s">
        <v>3569</v>
      </c>
      <c r="C542" s="11" t="s">
        <v>3570</v>
      </c>
      <c r="D542" s="12" t="s">
        <v>3571</v>
      </c>
      <c r="E542" s="11" t="s">
        <v>98</v>
      </c>
      <c r="F542" s="13">
        <v>351</v>
      </c>
      <c r="G542" s="26" t="s">
        <v>119</v>
      </c>
      <c r="H542" s="11" t="s">
        <v>129</v>
      </c>
      <c r="I542" s="15" t="s">
        <v>3572</v>
      </c>
      <c r="J542" s="10" t="s">
        <v>3573</v>
      </c>
      <c r="K542" s="11" t="s">
        <v>332</v>
      </c>
      <c r="L542" s="9" t="s">
        <v>197</v>
      </c>
      <c r="M542" s="10" t="s">
        <v>198</v>
      </c>
      <c r="N542" s="23" t="s">
        <v>179</v>
      </c>
      <c r="O542" s="17" t="s">
        <v>934</v>
      </c>
      <c r="P542" s="17" t="s">
        <v>935</v>
      </c>
      <c r="Q542" s="18" t="s">
        <v>78</v>
      </c>
      <c r="R542" s="18" t="s">
        <v>79</v>
      </c>
      <c r="S542" s="18" t="s">
        <v>61</v>
      </c>
      <c r="T542" s="18" t="s">
        <v>62</v>
      </c>
      <c r="U542" s="19" t="s">
        <v>80</v>
      </c>
    </row>
    <row r="543" spans="1:21" ht="15.75" customHeight="1" x14ac:dyDescent="0.25">
      <c r="A543" s="27" t="s">
        <v>3574</v>
      </c>
      <c r="B543" s="28" t="s">
        <v>3575</v>
      </c>
      <c r="C543" s="29" t="s">
        <v>3576</v>
      </c>
      <c r="D543" s="30" t="s">
        <v>3577</v>
      </c>
      <c r="E543" s="29" t="s">
        <v>47</v>
      </c>
      <c r="F543" s="31">
        <v>97</v>
      </c>
      <c r="G543" s="14" t="s">
        <v>119</v>
      </c>
      <c r="H543" s="29" t="s">
        <v>48</v>
      </c>
      <c r="I543" s="32" t="s">
        <v>3578</v>
      </c>
      <c r="J543" s="28" t="s">
        <v>3575</v>
      </c>
      <c r="K543" s="29" t="s">
        <v>3579</v>
      </c>
      <c r="L543" s="27" t="s">
        <v>158</v>
      </c>
      <c r="M543" s="28" t="s">
        <v>159</v>
      </c>
      <c r="N543" s="33" t="s">
        <v>75</v>
      </c>
      <c r="O543" s="34" t="s">
        <v>2702</v>
      </c>
      <c r="P543" s="34" t="s">
        <v>2703</v>
      </c>
      <c r="Q543" s="35" t="s">
        <v>78</v>
      </c>
      <c r="R543" s="35" t="s">
        <v>79</v>
      </c>
      <c r="S543" s="35" t="s">
        <v>61</v>
      </c>
      <c r="T543" s="35" t="s">
        <v>62</v>
      </c>
      <c r="U543" s="36" t="s">
        <v>80</v>
      </c>
    </row>
    <row r="544" spans="1:21" ht="15.75" customHeight="1" x14ac:dyDescent="0.25">
      <c r="A544" s="9" t="s">
        <v>3580</v>
      </c>
      <c r="B544" s="10" t="s">
        <v>3581</v>
      </c>
      <c r="C544" s="11" t="s">
        <v>3582</v>
      </c>
      <c r="D544" s="12" t="s">
        <v>3330</v>
      </c>
      <c r="E544" s="11" t="s">
        <v>47</v>
      </c>
      <c r="F544" s="13">
        <v>83</v>
      </c>
      <c r="G544" s="14" t="s">
        <v>708</v>
      </c>
      <c r="H544" s="11" t="s">
        <v>48</v>
      </c>
      <c r="I544" s="15" t="s">
        <v>3583</v>
      </c>
      <c r="J544" s="10" t="s">
        <v>3584</v>
      </c>
      <c r="K544" s="11" t="s">
        <v>3585</v>
      </c>
      <c r="L544" s="9" t="s">
        <v>158</v>
      </c>
      <c r="M544" s="10" t="s">
        <v>159</v>
      </c>
      <c r="N544" s="16" t="s">
        <v>75</v>
      </c>
      <c r="O544" s="17" t="s">
        <v>712</v>
      </c>
      <c r="P544" s="17" t="s">
        <v>713</v>
      </c>
      <c r="Q544" s="18" t="s">
        <v>78</v>
      </c>
      <c r="R544" s="18" t="s">
        <v>79</v>
      </c>
      <c r="S544" s="18" t="s">
        <v>61</v>
      </c>
      <c r="T544" s="18" t="s">
        <v>62</v>
      </c>
      <c r="U544" s="19" t="s">
        <v>80</v>
      </c>
    </row>
    <row r="545" spans="1:21" ht="15.75" customHeight="1" x14ac:dyDescent="0.25">
      <c r="A545" s="27" t="s">
        <v>3586</v>
      </c>
      <c r="B545" s="28" t="s">
        <v>3587</v>
      </c>
      <c r="C545" s="29" t="s">
        <v>3588</v>
      </c>
      <c r="D545" s="30" t="s">
        <v>3589</v>
      </c>
      <c r="E545" s="29" t="s">
        <v>47</v>
      </c>
      <c r="F545" s="29" t="s">
        <v>3590</v>
      </c>
      <c r="G545" s="20" t="s">
        <v>85</v>
      </c>
      <c r="H545" s="29" t="s">
        <v>330</v>
      </c>
      <c r="I545" s="32" t="s">
        <v>3591</v>
      </c>
      <c r="J545" s="28" t="s">
        <v>3592</v>
      </c>
      <c r="K545" s="29" t="s">
        <v>507</v>
      </c>
      <c r="L545" s="27" t="s">
        <v>90</v>
      </c>
      <c r="M545" s="28" t="s">
        <v>91</v>
      </c>
      <c r="N545" s="33" t="s">
        <v>75</v>
      </c>
      <c r="O545" s="34" t="s">
        <v>92</v>
      </c>
      <c r="P545" s="34" t="s">
        <v>93</v>
      </c>
      <c r="Q545" s="35" t="s">
        <v>78</v>
      </c>
      <c r="R545" s="35" t="s">
        <v>79</v>
      </c>
      <c r="S545" s="35" t="s">
        <v>61</v>
      </c>
      <c r="T545" s="35" t="s">
        <v>62</v>
      </c>
      <c r="U545" s="36" t="s">
        <v>80</v>
      </c>
    </row>
    <row r="546" spans="1:21" ht="15.75" customHeight="1" x14ac:dyDescent="0.25">
      <c r="A546" s="9" t="s">
        <v>3593</v>
      </c>
      <c r="B546" s="10" t="s">
        <v>3594</v>
      </c>
      <c r="C546" s="11" t="s">
        <v>3595</v>
      </c>
      <c r="D546" s="21" t="s">
        <v>109</v>
      </c>
      <c r="E546" s="11" t="s">
        <v>47</v>
      </c>
      <c r="F546" s="13">
        <v>146</v>
      </c>
      <c r="G546" s="14" t="s">
        <v>119</v>
      </c>
      <c r="H546" s="11" t="s">
        <v>330</v>
      </c>
      <c r="I546" s="15" t="s">
        <v>3596</v>
      </c>
      <c r="J546" s="10" t="s">
        <v>3597</v>
      </c>
      <c r="K546" s="11" t="s">
        <v>3598</v>
      </c>
      <c r="L546" s="9" t="s">
        <v>158</v>
      </c>
      <c r="M546" s="10" t="s">
        <v>159</v>
      </c>
      <c r="N546" s="22"/>
      <c r="O546" s="17"/>
      <c r="P546" s="17"/>
      <c r="Q546" s="18" t="s">
        <v>78</v>
      </c>
      <c r="R546" s="18" t="s">
        <v>79</v>
      </c>
      <c r="S546" s="18" t="s">
        <v>61</v>
      </c>
      <c r="T546" s="18" t="s">
        <v>62</v>
      </c>
      <c r="U546" s="19" t="s">
        <v>80</v>
      </c>
    </row>
    <row r="547" spans="1:21" ht="15.75" customHeight="1" x14ac:dyDescent="0.25">
      <c r="A547" s="27" t="s">
        <v>3599</v>
      </c>
      <c r="B547" s="28" t="s">
        <v>3600</v>
      </c>
      <c r="C547" s="29" t="s">
        <v>3601</v>
      </c>
      <c r="D547" s="37" t="s">
        <v>109</v>
      </c>
      <c r="E547" s="29" t="s">
        <v>98</v>
      </c>
      <c r="F547" s="29"/>
      <c r="G547" s="24" t="s">
        <v>85</v>
      </c>
      <c r="H547" s="29" t="s">
        <v>120</v>
      </c>
      <c r="I547" s="32" t="s">
        <v>3602</v>
      </c>
      <c r="J547" s="28" t="s">
        <v>3603</v>
      </c>
      <c r="K547" s="29"/>
      <c r="L547" s="27"/>
      <c r="M547" s="28"/>
      <c r="N547" s="38"/>
      <c r="O547" s="34"/>
      <c r="P547" s="34"/>
      <c r="Q547" s="35" t="s">
        <v>78</v>
      </c>
      <c r="R547" s="35" t="s">
        <v>79</v>
      </c>
      <c r="S547" s="35" t="s">
        <v>61</v>
      </c>
      <c r="T547" s="35" t="s">
        <v>62</v>
      </c>
      <c r="U547" s="36" t="s">
        <v>80</v>
      </c>
    </row>
    <row r="548" spans="1:21" ht="15.75" customHeight="1" x14ac:dyDescent="0.25">
      <c r="A548" s="9" t="s">
        <v>3604</v>
      </c>
      <c r="B548" s="10" t="s">
        <v>3605</v>
      </c>
      <c r="C548" s="11" t="s">
        <v>3606</v>
      </c>
      <c r="D548" s="12" t="s">
        <v>3607</v>
      </c>
      <c r="E548" s="11" t="s">
        <v>47</v>
      </c>
      <c r="F548" s="13">
        <v>167</v>
      </c>
      <c r="G548" s="20" t="s">
        <v>119</v>
      </c>
      <c r="H548" s="11" t="s">
        <v>86</v>
      </c>
      <c r="I548" s="15" t="s">
        <v>3608</v>
      </c>
      <c r="J548" s="10" t="s">
        <v>3609</v>
      </c>
      <c r="K548" s="11" t="s">
        <v>3610</v>
      </c>
      <c r="L548" s="9" t="s">
        <v>481</v>
      </c>
      <c r="M548" s="10" t="s">
        <v>482</v>
      </c>
      <c r="N548" s="16" t="s">
        <v>75</v>
      </c>
      <c r="O548" s="17" t="s">
        <v>1560</v>
      </c>
      <c r="P548" s="17" t="s">
        <v>1561</v>
      </c>
      <c r="Q548" s="18" t="s">
        <v>78</v>
      </c>
      <c r="R548" s="18" t="s">
        <v>79</v>
      </c>
      <c r="S548" s="18" t="s">
        <v>61</v>
      </c>
      <c r="T548" s="18" t="s">
        <v>62</v>
      </c>
      <c r="U548" s="19" t="s">
        <v>80</v>
      </c>
    </row>
    <row r="549" spans="1:21" ht="15.75" customHeight="1" x14ac:dyDescent="0.25">
      <c r="A549" s="27" t="s">
        <v>3611</v>
      </c>
      <c r="B549" s="28" t="s">
        <v>3612</v>
      </c>
      <c r="C549" s="29" t="s">
        <v>3613</v>
      </c>
      <c r="D549" s="37" t="s">
        <v>109</v>
      </c>
      <c r="E549" s="29" t="s">
        <v>67</v>
      </c>
      <c r="F549" s="31">
        <v>-48</v>
      </c>
      <c r="G549" s="14" t="s">
        <v>119</v>
      </c>
      <c r="H549" s="29" t="s">
        <v>69</v>
      </c>
      <c r="I549" s="32" t="s">
        <v>3614</v>
      </c>
      <c r="J549" s="28" t="s">
        <v>3615</v>
      </c>
      <c r="K549" s="29" t="s">
        <v>3616</v>
      </c>
      <c r="L549" s="27" t="s">
        <v>73</v>
      </c>
      <c r="M549" s="28" t="s">
        <v>74</v>
      </c>
      <c r="N549" s="38"/>
      <c r="O549" s="34"/>
      <c r="P549" s="34"/>
      <c r="Q549" s="35" t="s">
        <v>78</v>
      </c>
      <c r="R549" s="35" t="s">
        <v>79</v>
      </c>
      <c r="S549" s="35" t="s">
        <v>61</v>
      </c>
      <c r="T549" s="35" t="s">
        <v>62</v>
      </c>
      <c r="U549" s="36" t="s">
        <v>80</v>
      </c>
    </row>
    <row r="550" spans="1:21" ht="15.75" customHeight="1" x14ac:dyDescent="0.25">
      <c r="A550" s="9" t="s">
        <v>3617</v>
      </c>
      <c r="B550" s="10" t="s">
        <v>3618</v>
      </c>
      <c r="C550" s="11" t="s">
        <v>3619</v>
      </c>
      <c r="D550" s="21" t="s">
        <v>109</v>
      </c>
      <c r="E550" s="11" t="s">
        <v>67</v>
      </c>
      <c r="F550" s="13">
        <v>-23.2</v>
      </c>
      <c r="G550" s="14" t="s">
        <v>119</v>
      </c>
      <c r="H550" s="11" t="s">
        <v>69</v>
      </c>
      <c r="I550" s="15" t="s">
        <v>3620</v>
      </c>
      <c r="J550" s="10" t="s">
        <v>3621</v>
      </c>
      <c r="K550" s="11" t="s">
        <v>3622</v>
      </c>
      <c r="L550" s="9" t="s">
        <v>73</v>
      </c>
      <c r="M550" s="10" t="s">
        <v>74</v>
      </c>
      <c r="N550" s="22"/>
      <c r="O550" s="17"/>
      <c r="P550" s="17"/>
      <c r="Q550" s="18" t="s">
        <v>78</v>
      </c>
      <c r="R550" s="18" t="s">
        <v>79</v>
      </c>
      <c r="S550" s="18" t="s">
        <v>61</v>
      </c>
      <c r="T550" s="18" t="s">
        <v>62</v>
      </c>
      <c r="U550" s="19" t="s">
        <v>80</v>
      </c>
    </row>
    <row r="551" spans="1:21" ht="15.75" customHeight="1" x14ac:dyDescent="0.25">
      <c r="A551" s="27" t="s">
        <v>3623</v>
      </c>
      <c r="B551" s="28" t="s">
        <v>3624</v>
      </c>
      <c r="C551" s="29" t="s">
        <v>3625</v>
      </c>
      <c r="D551" s="37" t="s">
        <v>109</v>
      </c>
      <c r="E551" s="29" t="s">
        <v>98</v>
      </c>
      <c r="F551" s="29" t="s">
        <v>2237</v>
      </c>
      <c r="G551" s="14" t="s">
        <v>119</v>
      </c>
      <c r="H551" s="29" t="s">
        <v>100</v>
      </c>
      <c r="I551" s="32" t="s">
        <v>3626</v>
      </c>
      <c r="J551" s="28" t="s">
        <v>3627</v>
      </c>
      <c r="K551" s="29" t="s">
        <v>3628</v>
      </c>
      <c r="L551" s="27" t="s">
        <v>1203</v>
      </c>
      <c r="M551" s="28" t="s">
        <v>1204</v>
      </c>
      <c r="N551" s="38"/>
      <c r="O551" s="34"/>
      <c r="P551" s="34"/>
      <c r="Q551" s="35" t="s">
        <v>78</v>
      </c>
      <c r="R551" s="35" t="s">
        <v>79</v>
      </c>
      <c r="S551" s="35" t="s">
        <v>61</v>
      </c>
      <c r="T551" s="35" t="s">
        <v>62</v>
      </c>
      <c r="U551" s="36" t="s">
        <v>80</v>
      </c>
    </row>
    <row r="552" spans="1:21" ht="15.75" customHeight="1" x14ac:dyDescent="0.25">
      <c r="A552" s="9" t="s">
        <v>3629</v>
      </c>
      <c r="B552" s="10" t="s">
        <v>3630</v>
      </c>
      <c r="C552" s="11" t="s">
        <v>3631</v>
      </c>
      <c r="D552" s="21" t="s">
        <v>109</v>
      </c>
      <c r="E552" s="11" t="s">
        <v>47</v>
      </c>
      <c r="F552" s="13">
        <v>245</v>
      </c>
      <c r="G552" s="24" t="s">
        <v>85</v>
      </c>
      <c r="H552" s="11" t="s">
        <v>129</v>
      </c>
      <c r="I552" s="15" t="s">
        <v>3632</v>
      </c>
      <c r="J552" s="10" t="s">
        <v>3633</v>
      </c>
      <c r="K552" s="11"/>
      <c r="L552" s="9"/>
      <c r="M552" s="10"/>
      <c r="N552" s="22"/>
      <c r="O552" s="17"/>
      <c r="P552" s="17"/>
      <c r="Q552" s="18" t="s">
        <v>78</v>
      </c>
      <c r="R552" s="18" t="s">
        <v>79</v>
      </c>
      <c r="S552" s="18" t="s">
        <v>61</v>
      </c>
      <c r="T552" s="18" t="s">
        <v>62</v>
      </c>
      <c r="U552" s="19" t="s">
        <v>80</v>
      </c>
    </row>
    <row r="553" spans="1:21" ht="15.75" customHeight="1" x14ac:dyDescent="0.25">
      <c r="A553" s="27" t="s">
        <v>3634</v>
      </c>
      <c r="B553" s="28" t="s">
        <v>3635</v>
      </c>
      <c r="C553" s="29" t="s">
        <v>3636</v>
      </c>
      <c r="D553" s="30" t="s">
        <v>3637</v>
      </c>
      <c r="E553" s="29" t="s">
        <v>1264</v>
      </c>
      <c r="F553" s="31">
        <v>256</v>
      </c>
      <c r="G553" s="20" t="s">
        <v>85</v>
      </c>
      <c r="H553" s="29" t="s">
        <v>129</v>
      </c>
      <c r="I553" s="32" t="s">
        <v>3638</v>
      </c>
      <c r="J553" s="28" t="s">
        <v>3639</v>
      </c>
      <c r="K553" s="29"/>
      <c r="L553" s="27"/>
      <c r="M553" s="28"/>
      <c r="N553" s="33" t="s">
        <v>75</v>
      </c>
      <c r="O553" s="34" t="s">
        <v>2156</v>
      </c>
      <c r="P553" s="34" t="s">
        <v>2157</v>
      </c>
      <c r="Q553" s="35" t="s">
        <v>78</v>
      </c>
      <c r="R553" s="35" t="s">
        <v>79</v>
      </c>
      <c r="S553" s="35" t="s">
        <v>61</v>
      </c>
      <c r="T553" s="35" t="s">
        <v>62</v>
      </c>
      <c r="U553" s="36" t="s">
        <v>80</v>
      </c>
    </row>
    <row r="554" spans="1:21" ht="15.75" customHeight="1" x14ac:dyDescent="0.25">
      <c r="A554" s="9" t="s">
        <v>3640</v>
      </c>
      <c r="B554" s="10" t="s">
        <v>3641</v>
      </c>
      <c r="C554" s="11" t="s">
        <v>3642</v>
      </c>
      <c r="D554" s="21" t="s">
        <v>109</v>
      </c>
      <c r="E554" s="11" t="s">
        <v>67</v>
      </c>
      <c r="F554" s="13">
        <v>-112</v>
      </c>
      <c r="G554" s="14" t="s">
        <v>119</v>
      </c>
      <c r="H554" s="11" t="s">
        <v>421</v>
      </c>
      <c r="I554" s="15" t="s">
        <v>3643</v>
      </c>
      <c r="J554" s="10" t="s">
        <v>3644</v>
      </c>
      <c r="K554" s="11" t="s">
        <v>3645</v>
      </c>
      <c r="L554" s="9" t="s">
        <v>73</v>
      </c>
      <c r="M554" s="10" t="s">
        <v>74</v>
      </c>
      <c r="N554" s="22"/>
      <c r="O554" s="17"/>
      <c r="P554" s="17"/>
      <c r="Q554" s="18" t="s">
        <v>78</v>
      </c>
      <c r="R554" s="18" t="s">
        <v>79</v>
      </c>
      <c r="S554" s="18" t="s">
        <v>61</v>
      </c>
      <c r="T554" s="18" t="s">
        <v>62</v>
      </c>
      <c r="U554" s="19" t="s">
        <v>80</v>
      </c>
    </row>
    <row r="555" spans="1:21" ht="15.75" customHeight="1" x14ac:dyDescent="0.25">
      <c r="A555" s="27" t="s">
        <v>3646</v>
      </c>
      <c r="B555" s="28" t="s">
        <v>3647</v>
      </c>
      <c r="C555" s="29" t="s">
        <v>3648</v>
      </c>
      <c r="D555" s="30" t="s">
        <v>3649</v>
      </c>
      <c r="E555" s="29" t="s">
        <v>98</v>
      </c>
      <c r="F555" s="29"/>
      <c r="G555" s="24" t="s">
        <v>110</v>
      </c>
      <c r="H555" s="29" t="s">
        <v>120</v>
      </c>
      <c r="I555" s="32" t="s">
        <v>3650</v>
      </c>
      <c r="J555" s="28" t="s">
        <v>3651</v>
      </c>
      <c r="K555" s="29"/>
      <c r="L555" s="27"/>
      <c r="M555" s="28"/>
      <c r="N555" s="39" t="s">
        <v>179</v>
      </c>
      <c r="O555" s="34"/>
      <c r="P555" s="34"/>
      <c r="Q555" s="35" t="s">
        <v>78</v>
      </c>
      <c r="R555" s="35" t="s">
        <v>79</v>
      </c>
      <c r="S555" s="35" t="s">
        <v>61</v>
      </c>
      <c r="T555" s="35" t="s">
        <v>62</v>
      </c>
      <c r="U555" s="36" t="s">
        <v>80</v>
      </c>
    </row>
    <row r="556" spans="1:21" ht="15.75" customHeight="1" x14ac:dyDescent="0.25">
      <c r="A556" s="9" t="s">
        <v>3652</v>
      </c>
      <c r="B556" s="10" t="s">
        <v>3653</v>
      </c>
      <c r="C556" s="11" t="s">
        <v>3654</v>
      </c>
      <c r="D556" s="21" t="s">
        <v>109</v>
      </c>
      <c r="E556" s="11" t="s">
        <v>98</v>
      </c>
      <c r="F556" s="11"/>
      <c r="G556" s="25" t="s">
        <v>110</v>
      </c>
      <c r="H556" s="11" t="s">
        <v>120</v>
      </c>
      <c r="I556" s="15" t="s">
        <v>3655</v>
      </c>
      <c r="J556" s="10" t="s">
        <v>3656</v>
      </c>
      <c r="K556" s="11" t="s">
        <v>3657</v>
      </c>
      <c r="L556" s="9" t="s">
        <v>481</v>
      </c>
      <c r="M556" s="10" t="s">
        <v>482</v>
      </c>
      <c r="N556" s="22"/>
      <c r="O556" s="17"/>
      <c r="P556" s="17"/>
      <c r="Q556" s="18" t="s">
        <v>78</v>
      </c>
      <c r="R556" s="18" t="s">
        <v>79</v>
      </c>
      <c r="S556" s="18" t="s">
        <v>61</v>
      </c>
      <c r="T556" s="18" t="s">
        <v>62</v>
      </c>
      <c r="U556" s="19" t="s">
        <v>80</v>
      </c>
    </row>
    <row r="557" spans="1:21" ht="15.75" customHeight="1" x14ac:dyDescent="0.25">
      <c r="A557" s="27" t="s">
        <v>3658</v>
      </c>
      <c r="B557" s="28" t="s">
        <v>3659</v>
      </c>
      <c r="C557" s="29" t="s">
        <v>3660</v>
      </c>
      <c r="D557" s="30" t="s">
        <v>3661</v>
      </c>
      <c r="E557" s="29" t="s">
        <v>98</v>
      </c>
      <c r="F557" s="29" t="s">
        <v>3662</v>
      </c>
      <c r="G557" s="20" t="s">
        <v>85</v>
      </c>
      <c r="H557" s="29" t="s">
        <v>100</v>
      </c>
      <c r="I557" s="32" t="s">
        <v>3663</v>
      </c>
      <c r="J557" s="28" t="s">
        <v>3664</v>
      </c>
      <c r="K557" s="29"/>
      <c r="L557" s="27"/>
      <c r="M557" s="28"/>
      <c r="N557" s="33" t="s">
        <v>75</v>
      </c>
      <c r="O557" s="34" t="s">
        <v>292</v>
      </c>
      <c r="P557" s="34" t="s">
        <v>293</v>
      </c>
      <c r="Q557" s="35" t="s">
        <v>78</v>
      </c>
      <c r="R557" s="35" t="s">
        <v>79</v>
      </c>
      <c r="S557" s="35" t="s">
        <v>61</v>
      </c>
      <c r="T557" s="35" t="s">
        <v>62</v>
      </c>
      <c r="U557" s="36" t="s">
        <v>80</v>
      </c>
    </row>
    <row r="558" spans="1:21" ht="15.75" customHeight="1" x14ac:dyDescent="0.25">
      <c r="A558" s="9" t="s">
        <v>3665</v>
      </c>
      <c r="B558" s="10" t="s">
        <v>3666</v>
      </c>
      <c r="C558" s="11" t="s">
        <v>3667</v>
      </c>
      <c r="D558" s="21" t="s">
        <v>109</v>
      </c>
      <c r="E558" s="11" t="s">
        <v>98</v>
      </c>
      <c r="F558" s="11" t="s">
        <v>3668</v>
      </c>
      <c r="G558" s="24" t="s">
        <v>85</v>
      </c>
      <c r="H558" s="11" t="s">
        <v>100</v>
      </c>
      <c r="I558" s="15" t="s">
        <v>3669</v>
      </c>
      <c r="J558" s="10" t="s">
        <v>3670</v>
      </c>
      <c r="K558" s="11"/>
      <c r="L558" s="9"/>
      <c r="M558" s="10"/>
      <c r="N558" s="22"/>
      <c r="O558" s="17"/>
      <c r="P558" s="17"/>
      <c r="Q558" s="18" t="s">
        <v>78</v>
      </c>
      <c r="R558" s="18" t="s">
        <v>79</v>
      </c>
      <c r="S558" s="18" t="s">
        <v>61</v>
      </c>
      <c r="T558" s="18" t="s">
        <v>62</v>
      </c>
      <c r="U558" s="19" t="s">
        <v>80</v>
      </c>
    </row>
    <row r="559" spans="1:21" ht="15.75" customHeight="1" x14ac:dyDescent="0.25">
      <c r="A559" s="27" t="s">
        <v>3671</v>
      </c>
      <c r="B559" s="28" t="s">
        <v>3672</v>
      </c>
      <c r="C559" s="29" t="s">
        <v>3673</v>
      </c>
      <c r="D559" s="37" t="s">
        <v>109</v>
      </c>
      <c r="E559" s="29" t="s">
        <v>1264</v>
      </c>
      <c r="F559" s="29"/>
      <c r="G559" s="24" t="s">
        <v>85</v>
      </c>
      <c r="H559" s="29" t="s">
        <v>100</v>
      </c>
      <c r="I559" s="32" t="s">
        <v>3674</v>
      </c>
      <c r="J559" s="28" t="s">
        <v>3675</v>
      </c>
      <c r="K559" s="29"/>
      <c r="L559" s="27"/>
      <c r="M559" s="28"/>
      <c r="N559" s="38"/>
      <c r="O559" s="34"/>
      <c r="P559" s="34"/>
      <c r="Q559" s="35" t="s">
        <v>78</v>
      </c>
      <c r="R559" s="35" t="s">
        <v>79</v>
      </c>
      <c r="S559" s="35" t="s">
        <v>61</v>
      </c>
      <c r="T559" s="35" t="s">
        <v>62</v>
      </c>
      <c r="U559" s="36" t="s">
        <v>80</v>
      </c>
    </row>
    <row r="560" spans="1:21" ht="15.75" customHeight="1" x14ac:dyDescent="0.25">
      <c r="A560" s="9" t="s">
        <v>3676</v>
      </c>
      <c r="B560" s="10" t="s">
        <v>3677</v>
      </c>
      <c r="C560" s="11" t="s">
        <v>3678</v>
      </c>
      <c r="D560" s="12" t="s">
        <v>3679</v>
      </c>
      <c r="E560" s="11" t="s">
        <v>47</v>
      </c>
      <c r="F560" s="11" t="s">
        <v>3680</v>
      </c>
      <c r="G560" s="20" t="s">
        <v>85</v>
      </c>
      <c r="H560" s="11" t="s">
        <v>330</v>
      </c>
      <c r="I560" s="15" t="s">
        <v>3681</v>
      </c>
      <c r="J560" s="10" t="s">
        <v>3682</v>
      </c>
      <c r="K560" s="11" t="s">
        <v>3683</v>
      </c>
      <c r="L560" s="9" t="s">
        <v>90</v>
      </c>
      <c r="M560" s="10" t="s">
        <v>91</v>
      </c>
      <c r="N560" s="16" t="s">
        <v>75</v>
      </c>
      <c r="O560" s="17" t="s">
        <v>313</v>
      </c>
      <c r="P560" s="17" t="s">
        <v>314</v>
      </c>
      <c r="Q560" s="18" t="s">
        <v>78</v>
      </c>
      <c r="R560" s="18" t="s">
        <v>79</v>
      </c>
      <c r="S560" s="18" t="s">
        <v>61</v>
      </c>
      <c r="T560" s="18" t="s">
        <v>62</v>
      </c>
      <c r="U560" s="19" t="s">
        <v>80</v>
      </c>
    </row>
    <row r="561" spans="1:21" ht="15.75" customHeight="1" x14ac:dyDescent="0.25">
      <c r="A561" s="27" t="s">
        <v>3684</v>
      </c>
      <c r="B561" s="28" t="s">
        <v>3685</v>
      </c>
      <c r="C561" s="29" t="s">
        <v>3686</v>
      </c>
      <c r="D561" s="37" t="s">
        <v>109</v>
      </c>
      <c r="E561" s="29" t="s">
        <v>67</v>
      </c>
      <c r="F561" s="29" t="s">
        <v>244</v>
      </c>
      <c r="G561" s="24" t="s">
        <v>85</v>
      </c>
      <c r="H561" s="29" t="s">
        <v>120</v>
      </c>
      <c r="I561" s="32" t="s">
        <v>3687</v>
      </c>
      <c r="J561" s="28" t="s">
        <v>3688</v>
      </c>
      <c r="K561" s="29" t="s">
        <v>3689</v>
      </c>
      <c r="L561" s="27" t="s">
        <v>248</v>
      </c>
      <c r="M561" s="28" t="s">
        <v>249</v>
      </c>
      <c r="N561" s="38"/>
      <c r="O561" s="34"/>
      <c r="P561" s="34"/>
      <c r="Q561" s="35" t="s">
        <v>78</v>
      </c>
      <c r="R561" s="35" t="s">
        <v>79</v>
      </c>
      <c r="S561" s="35" t="s">
        <v>61</v>
      </c>
      <c r="T561" s="35" t="s">
        <v>62</v>
      </c>
      <c r="U561" s="36" t="s">
        <v>80</v>
      </c>
    </row>
    <row r="562" spans="1:21" ht="15.75" customHeight="1" x14ac:dyDescent="0.25">
      <c r="A562" s="9" t="s">
        <v>3690</v>
      </c>
      <c r="B562" s="10" t="s">
        <v>3691</v>
      </c>
      <c r="C562" s="11" t="s">
        <v>3692</v>
      </c>
      <c r="D562" s="21" t="s">
        <v>109</v>
      </c>
      <c r="E562" s="11" t="s">
        <v>47</v>
      </c>
      <c r="F562" s="13">
        <v>200</v>
      </c>
      <c r="G562" s="24" t="s">
        <v>85</v>
      </c>
      <c r="H562" s="11" t="s">
        <v>129</v>
      </c>
      <c r="I562" s="15" t="s">
        <v>3693</v>
      </c>
      <c r="J562" s="10" t="s">
        <v>3694</v>
      </c>
      <c r="K562" s="11"/>
      <c r="L562" s="9"/>
      <c r="M562" s="10"/>
      <c r="N562" s="22"/>
      <c r="O562" s="17"/>
      <c r="P562" s="17"/>
      <c r="Q562" s="18" t="s">
        <v>78</v>
      </c>
      <c r="R562" s="18" t="s">
        <v>79</v>
      </c>
      <c r="S562" s="18" t="s">
        <v>61</v>
      </c>
      <c r="T562" s="18" t="s">
        <v>62</v>
      </c>
      <c r="U562" s="19" t="s">
        <v>80</v>
      </c>
    </row>
    <row r="563" spans="1:21" ht="15.75" customHeight="1" x14ac:dyDescent="0.25">
      <c r="A563" s="27" t="s">
        <v>3695</v>
      </c>
      <c r="B563" s="28" t="s">
        <v>3696</v>
      </c>
      <c r="C563" s="29" t="s">
        <v>3697</v>
      </c>
      <c r="D563" s="37" t="s">
        <v>109</v>
      </c>
      <c r="E563" s="29" t="s">
        <v>98</v>
      </c>
      <c r="F563" s="29" t="s">
        <v>3698</v>
      </c>
      <c r="G563" s="25" t="s">
        <v>110</v>
      </c>
      <c r="H563" s="29" t="s">
        <v>100</v>
      </c>
      <c r="I563" s="32" t="s">
        <v>3699</v>
      </c>
      <c r="J563" s="28" t="s">
        <v>3700</v>
      </c>
      <c r="K563" s="29" t="s">
        <v>1114</v>
      </c>
      <c r="L563" s="27" t="s">
        <v>90</v>
      </c>
      <c r="M563" s="28" t="s">
        <v>91</v>
      </c>
      <c r="N563" s="38"/>
      <c r="O563" s="34"/>
      <c r="P563" s="34"/>
      <c r="Q563" s="35" t="s">
        <v>78</v>
      </c>
      <c r="R563" s="35" t="s">
        <v>79</v>
      </c>
      <c r="S563" s="35" t="s">
        <v>61</v>
      </c>
      <c r="T563" s="35" t="s">
        <v>62</v>
      </c>
      <c r="U563" s="36" t="s">
        <v>80</v>
      </c>
    </row>
    <row r="564" spans="1:21" ht="15.75" customHeight="1" x14ac:dyDescent="0.25">
      <c r="A564" s="9" t="s">
        <v>3701</v>
      </c>
      <c r="B564" s="10" t="s">
        <v>3702</v>
      </c>
      <c r="C564" s="11" t="s">
        <v>3703</v>
      </c>
      <c r="D564" s="21" t="s">
        <v>109</v>
      </c>
      <c r="E564" s="11" t="s">
        <v>47</v>
      </c>
      <c r="F564" s="13">
        <v>57</v>
      </c>
      <c r="G564" s="25" t="s">
        <v>110</v>
      </c>
      <c r="H564" s="11" t="s">
        <v>48</v>
      </c>
      <c r="I564" s="15" t="s">
        <v>3704</v>
      </c>
      <c r="J564" s="10" t="s">
        <v>3705</v>
      </c>
      <c r="K564" s="11" t="s">
        <v>3706</v>
      </c>
      <c r="L564" s="9" t="s">
        <v>481</v>
      </c>
      <c r="M564" s="10" t="s">
        <v>482</v>
      </c>
      <c r="N564" s="22"/>
      <c r="O564" s="17"/>
      <c r="P564" s="17"/>
      <c r="Q564" s="18" t="s">
        <v>78</v>
      </c>
      <c r="R564" s="18" t="s">
        <v>79</v>
      </c>
      <c r="S564" s="18" t="s">
        <v>61</v>
      </c>
      <c r="T564" s="18" t="s">
        <v>62</v>
      </c>
      <c r="U564" s="19" t="s">
        <v>80</v>
      </c>
    </row>
    <row r="565" spans="1:21" ht="15.75" customHeight="1" x14ac:dyDescent="0.25">
      <c r="A565" s="27" t="s">
        <v>3707</v>
      </c>
      <c r="B565" s="28" t="s">
        <v>3708</v>
      </c>
      <c r="C565" s="29" t="s">
        <v>3709</v>
      </c>
      <c r="D565" s="30" t="s">
        <v>243</v>
      </c>
      <c r="E565" s="29" t="s">
        <v>67</v>
      </c>
      <c r="F565" s="31">
        <v>-127.8</v>
      </c>
      <c r="G565" s="20" t="s">
        <v>68</v>
      </c>
      <c r="H565" s="29" t="s">
        <v>69</v>
      </c>
      <c r="I565" s="32" t="s">
        <v>3710</v>
      </c>
      <c r="J565" s="28" t="s">
        <v>3711</v>
      </c>
      <c r="K565" s="29" t="s">
        <v>3712</v>
      </c>
      <c r="L565" s="27" t="s">
        <v>248</v>
      </c>
      <c r="M565" s="28" t="s">
        <v>249</v>
      </c>
      <c r="N565" s="39" t="s">
        <v>179</v>
      </c>
      <c r="O565" s="34" t="s">
        <v>3713</v>
      </c>
      <c r="P565" s="34" t="s">
        <v>3714</v>
      </c>
      <c r="Q565" s="35" t="s">
        <v>78</v>
      </c>
      <c r="R565" s="35" t="s">
        <v>79</v>
      </c>
      <c r="S565" s="35" t="s">
        <v>61</v>
      </c>
      <c r="T565" s="35" t="s">
        <v>62</v>
      </c>
      <c r="U565" s="36" t="s">
        <v>80</v>
      </c>
    </row>
    <row r="566" spans="1:21" ht="15.75" customHeight="1" x14ac:dyDescent="0.25">
      <c r="A566" s="9" t="s">
        <v>3715</v>
      </c>
      <c r="B566" s="10" t="s">
        <v>3716</v>
      </c>
      <c r="C566" s="11" t="s">
        <v>3717</v>
      </c>
      <c r="D566" s="21" t="s">
        <v>109</v>
      </c>
      <c r="E566" s="11" t="s">
        <v>67</v>
      </c>
      <c r="F566" s="11">
        <v>-86.8</v>
      </c>
      <c r="G566" s="20" t="s">
        <v>68</v>
      </c>
      <c r="H566" s="11" t="s">
        <v>421</v>
      </c>
      <c r="I566" s="15" t="s">
        <v>3718</v>
      </c>
      <c r="J566" s="10" t="s">
        <v>3719</v>
      </c>
      <c r="K566" s="11" t="s">
        <v>3720</v>
      </c>
      <c r="L566" s="9" t="s">
        <v>140</v>
      </c>
      <c r="M566" s="10" t="s">
        <v>141</v>
      </c>
      <c r="N566" s="22"/>
      <c r="O566" s="17"/>
      <c r="P566" s="17"/>
      <c r="Q566" s="18" t="s">
        <v>78</v>
      </c>
      <c r="R566" s="18" t="s">
        <v>79</v>
      </c>
      <c r="S566" s="18" t="s">
        <v>61</v>
      </c>
      <c r="T566" s="18" t="s">
        <v>62</v>
      </c>
      <c r="U566" s="19" t="s">
        <v>80</v>
      </c>
    </row>
    <row r="567" spans="1:21" ht="15.75" customHeight="1" x14ac:dyDescent="0.25">
      <c r="A567" s="27" t="s">
        <v>3721</v>
      </c>
      <c r="B567" s="28" t="s">
        <v>3722</v>
      </c>
      <c r="C567" s="29" t="s">
        <v>3723</v>
      </c>
      <c r="D567" s="37" t="s">
        <v>109</v>
      </c>
      <c r="E567" s="29" t="s">
        <v>67</v>
      </c>
      <c r="F567" s="31">
        <v>-84.4</v>
      </c>
      <c r="G567" s="24" t="s">
        <v>85</v>
      </c>
      <c r="H567" s="29" t="s">
        <v>69</v>
      </c>
      <c r="I567" s="32" t="s">
        <v>3724</v>
      </c>
      <c r="J567" s="28" t="s">
        <v>3725</v>
      </c>
      <c r="K567" s="29" t="s">
        <v>3726</v>
      </c>
      <c r="L567" s="27" t="s">
        <v>248</v>
      </c>
      <c r="M567" s="28" t="s">
        <v>249</v>
      </c>
      <c r="N567" s="38"/>
      <c r="O567" s="34"/>
      <c r="P567" s="34"/>
      <c r="Q567" s="35" t="s">
        <v>78</v>
      </c>
      <c r="R567" s="35" t="s">
        <v>79</v>
      </c>
      <c r="S567" s="35" t="s">
        <v>61</v>
      </c>
      <c r="T567" s="35" t="s">
        <v>62</v>
      </c>
      <c r="U567" s="36" t="s">
        <v>80</v>
      </c>
    </row>
    <row r="568" spans="1:21" ht="15.75" customHeight="1" x14ac:dyDescent="0.25">
      <c r="A568" s="9" t="s">
        <v>3727</v>
      </c>
      <c r="B568" s="10" t="s">
        <v>3728</v>
      </c>
      <c r="C568" s="11" t="s">
        <v>3729</v>
      </c>
      <c r="D568" s="12" t="s">
        <v>3730</v>
      </c>
      <c r="E568" s="11" t="s">
        <v>47</v>
      </c>
      <c r="F568" s="13">
        <v>66</v>
      </c>
      <c r="G568" s="20" t="s">
        <v>85</v>
      </c>
      <c r="H568" s="11" t="s">
        <v>48</v>
      </c>
      <c r="I568" s="15" t="s">
        <v>3731</v>
      </c>
      <c r="J568" s="10" t="s">
        <v>3732</v>
      </c>
      <c r="K568" s="11" t="s">
        <v>3733</v>
      </c>
      <c r="L568" s="9" t="s">
        <v>158</v>
      </c>
      <c r="M568" s="10" t="s">
        <v>159</v>
      </c>
      <c r="N568" s="16" t="s">
        <v>75</v>
      </c>
      <c r="O568" s="17" t="s">
        <v>382</v>
      </c>
      <c r="P568" s="17" t="s">
        <v>383</v>
      </c>
      <c r="Q568" s="18" t="s">
        <v>78</v>
      </c>
      <c r="R568" s="18" t="s">
        <v>79</v>
      </c>
      <c r="S568" s="18" t="s">
        <v>61</v>
      </c>
      <c r="T568" s="18" t="s">
        <v>62</v>
      </c>
      <c r="U568" s="19" t="s">
        <v>80</v>
      </c>
    </row>
    <row r="569" spans="1:21" ht="15.75" customHeight="1" x14ac:dyDescent="0.25">
      <c r="A569" s="27" t="s">
        <v>3734</v>
      </c>
      <c r="B569" s="28" t="s">
        <v>3735</v>
      </c>
      <c r="C569" s="29" t="s">
        <v>3736</v>
      </c>
      <c r="D569" s="37" t="s">
        <v>109</v>
      </c>
      <c r="E569" s="29" t="s">
        <v>98</v>
      </c>
      <c r="F569" s="29"/>
      <c r="G569" s="24" t="s">
        <v>85</v>
      </c>
      <c r="H569" s="29" t="s">
        <v>100</v>
      </c>
      <c r="I569" s="32" t="s">
        <v>3737</v>
      </c>
      <c r="J569" s="28" t="s">
        <v>3738</v>
      </c>
      <c r="K569" s="29"/>
      <c r="L569" s="27"/>
      <c r="M569" s="28"/>
      <c r="N569" s="38"/>
      <c r="O569" s="34"/>
      <c r="P569" s="34"/>
      <c r="Q569" s="35" t="s">
        <v>78</v>
      </c>
      <c r="R569" s="35" t="s">
        <v>79</v>
      </c>
      <c r="S569" s="35" t="s">
        <v>61</v>
      </c>
      <c r="T569" s="35" t="s">
        <v>62</v>
      </c>
      <c r="U569" s="36" t="s">
        <v>80</v>
      </c>
    </row>
    <row r="570" spans="1:21" ht="15.75" customHeight="1" x14ac:dyDescent="0.25">
      <c r="A570" s="9" t="s">
        <v>3739</v>
      </c>
      <c r="B570" s="10" t="s">
        <v>3740</v>
      </c>
      <c r="C570" s="11" t="s">
        <v>3741</v>
      </c>
      <c r="D570" s="21" t="s">
        <v>109</v>
      </c>
      <c r="E570" s="11" t="s">
        <v>47</v>
      </c>
      <c r="F570" s="13">
        <v>110</v>
      </c>
      <c r="G570" s="25" t="s">
        <v>110</v>
      </c>
      <c r="H570" s="11" t="s">
        <v>330</v>
      </c>
      <c r="I570" s="15" t="s">
        <v>3742</v>
      </c>
      <c r="J570" s="10" t="s">
        <v>3743</v>
      </c>
      <c r="K570" s="11" t="s">
        <v>132</v>
      </c>
      <c r="L570" s="9" t="s">
        <v>90</v>
      </c>
      <c r="M570" s="10" t="s">
        <v>91</v>
      </c>
      <c r="N570" s="22"/>
      <c r="O570" s="17"/>
      <c r="P570" s="17"/>
      <c r="Q570" s="18" t="s">
        <v>78</v>
      </c>
      <c r="R570" s="18" t="s">
        <v>79</v>
      </c>
      <c r="S570" s="18" t="s">
        <v>61</v>
      </c>
      <c r="T570" s="18" t="s">
        <v>62</v>
      </c>
      <c r="U570" s="19" t="s">
        <v>80</v>
      </c>
    </row>
    <row r="571" spans="1:21" ht="15.75" customHeight="1" x14ac:dyDescent="0.25">
      <c r="A571" s="27" t="s">
        <v>3744</v>
      </c>
      <c r="B571" s="28" t="s">
        <v>3745</v>
      </c>
      <c r="C571" s="29" t="s">
        <v>3746</v>
      </c>
      <c r="D571" s="37" t="s">
        <v>109</v>
      </c>
      <c r="E571" s="29" t="s">
        <v>47</v>
      </c>
      <c r="F571" s="31">
        <v>125</v>
      </c>
      <c r="G571" s="25" t="s">
        <v>110</v>
      </c>
      <c r="H571" s="29" t="s">
        <v>330</v>
      </c>
      <c r="I571" s="32" t="s">
        <v>3747</v>
      </c>
      <c r="J571" s="28" t="s">
        <v>3748</v>
      </c>
      <c r="K571" s="29" t="s">
        <v>3749</v>
      </c>
      <c r="L571" s="27" t="s">
        <v>481</v>
      </c>
      <c r="M571" s="28" t="s">
        <v>482</v>
      </c>
      <c r="N571" s="38"/>
      <c r="O571" s="34"/>
      <c r="P571" s="34"/>
      <c r="Q571" s="35" t="s">
        <v>78</v>
      </c>
      <c r="R571" s="35" t="s">
        <v>79</v>
      </c>
      <c r="S571" s="35" t="s">
        <v>61</v>
      </c>
      <c r="T571" s="35" t="s">
        <v>62</v>
      </c>
      <c r="U571" s="36" t="s">
        <v>80</v>
      </c>
    </row>
    <row r="572" spans="1:21" ht="15.75" customHeight="1" x14ac:dyDescent="0.25">
      <c r="A572" s="9" t="s">
        <v>3750</v>
      </c>
      <c r="B572" s="10" t="s">
        <v>3751</v>
      </c>
      <c r="C572" s="11" t="s">
        <v>3752</v>
      </c>
      <c r="D572" s="12" t="s">
        <v>3753</v>
      </c>
      <c r="E572" s="11" t="s">
        <v>98</v>
      </c>
      <c r="F572" s="13">
        <v>292</v>
      </c>
      <c r="G572" s="20" t="s">
        <v>85</v>
      </c>
      <c r="H572" s="11" t="s">
        <v>129</v>
      </c>
      <c r="I572" s="15" t="s">
        <v>3754</v>
      </c>
      <c r="J572" s="10" t="s">
        <v>3755</v>
      </c>
      <c r="K572" s="11" t="s">
        <v>3756</v>
      </c>
      <c r="L572" s="9" t="s">
        <v>90</v>
      </c>
      <c r="M572" s="10" t="s">
        <v>91</v>
      </c>
      <c r="N572" s="16" t="s">
        <v>75</v>
      </c>
      <c r="O572" s="17" t="s">
        <v>124</v>
      </c>
      <c r="P572" s="17" t="s">
        <v>125</v>
      </c>
      <c r="Q572" s="18" t="s">
        <v>78</v>
      </c>
      <c r="R572" s="18" t="s">
        <v>79</v>
      </c>
      <c r="S572" s="18" t="s">
        <v>61</v>
      </c>
      <c r="T572" s="18" t="s">
        <v>62</v>
      </c>
      <c r="U572" s="19" t="s">
        <v>80</v>
      </c>
    </row>
    <row r="573" spans="1:21" ht="15.75" customHeight="1" x14ac:dyDescent="0.25">
      <c r="A573" s="27" t="s">
        <v>3757</v>
      </c>
      <c r="B573" s="28" t="s">
        <v>3758</v>
      </c>
      <c r="C573" s="29" t="s">
        <v>3759</v>
      </c>
      <c r="D573" s="37" t="s">
        <v>109</v>
      </c>
      <c r="E573" s="29" t="s">
        <v>47</v>
      </c>
      <c r="F573" s="29" t="s">
        <v>3760</v>
      </c>
      <c r="G573" s="24" t="s">
        <v>85</v>
      </c>
      <c r="H573" s="29" t="s">
        <v>120</v>
      </c>
      <c r="I573" s="32" t="s">
        <v>3761</v>
      </c>
      <c r="J573" s="28" t="s">
        <v>3762</v>
      </c>
      <c r="K573" s="29"/>
      <c r="L573" s="27"/>
      <c r="M573" s="28"/>
      <c r="N573" s="38"/>
      <c r="O573" s="34"/>
      <c r="P573" s="34"/>
      <c r="Q573" s="35" t="s">
        <v>78</v>
      </c>
      <c r="R573" s="35" t="s">
        <v>79</v>
      </c>
      <c r="S573" s="35" t="s">
        <v>61</v>
      </c>
      <c r="T573" s="35" t="s">
        <v>62</v>
      </c>
      <c r="U573" s="36" t="s">
        <v>80</v>
      </c>
    </row>
    <row r="574" spans="1:21" ht="15.75" customHeight="1" x14ac:dyDescent="0.25">
      <c r="A574" s="9" t="s">
        <v>3763</v>
      </c>
      <c r="B574" s="10" t="s">
        <v>3764</v>
      </c>
      <c r="C574" s="11" t="s">
        <v>3765</v>
      </c>
      <c r="D574" s="21" t="s">
        <v>109</v>
      </c>
      <c r="E574" s="11" t="s">
        <v>98</v>
      </c>
      <c r="F574" s="11" t="s">
        <v>3766</v>
      </c>
      <c r="G574" s="25" t="s">
        <v>110</v>
      </c>
      <c r="H574" s="11" t="s">
        <v>100</v>
      </c>
      <c r="I574" s="15" t="s">
        <v>3767</v>
      </c>
      <c r="J574" s="10" t="s">
        <v>3768</v>
      </c>
      <c r="K574" s="11" t="s">
        <v>1286</v>
      </c>
      <c r="L574" s="9" t="s">
        <v>90</v>
      </c>
      <c r="M574" s="10" t="s">
        <v>91</v>
      </c>
      <c r="N574" s="22"/>
      <c r="O574" s="17"/>
      <c r="P574" s="17"/>
      <c r="Q574" s="18" t="s">
        <v>78</v>
      </c>
      <c r="R574" s="18" t="s">
        <v>79</v>
      </c>
      <c r="S574" s="18" t="s">
        <v>61</v>
      </c>
      <c r="T574" s="18" t="s">
        <v>62</v>
      </c>
      <c r="U574" s="19" t="s">
        <v>80</v>
      </c>
    </row>
    <row r="575" spans="1:21" ht="15.75" customHeight="1" x14ac:dyDescent="0.25">
      <c r="A575" s="27" t="s">
        <v>3769</v>
      </c>
      <c r="B575" s="28" t="s">
        <v>3770</v>
      </c>
      <c r="C575" s="29" t="s">
        <v>3771</v>
      </c>
      <c r="D575" s="37" t="s">
        <v>109</v>
      </c>
      <c r="E575" s="29" t="s">
        <v>98</v>
      </c>
      <c r="F575" s="31">
        <v>198</v>
      </c>
      <c r="G575" s="25" t="s">
        <v>110</v>
      </c>
      <c r="H575" s="29" t="s">
        <v>86</v>
      </c>
      <c r="I575" s="32" t="s">
        <v>3772</v>
      </c>
      <c r="J575" s="28" t="s">
        <v>3773</v>
      </c>
      <c r="K575" s="29" t="s">
        <v>3774</v>
      </c>
      <c r="L575" s="27" t="s">
        <v>481</v>
      </c>
      <c r="M575" s="28" t="s">
        <v>482</v>
      </c>
      <c r="N575" s="38"/>
      <c r="O575" s="34"/>
      <c r="P575" s="34"/>
      <c r="Q575" s="35" t="s">
        <v>78</v>
      </c>
      <c r="R575" s="35" t="s">
        <v>79</v>
      </c>
      <c r="S575" s="35" t="s">
        <v>61</v>
      </c>
      <c r="T575" s="35" t="s">
        <v>62</v>
      </c>
      <c r="U575" s="36" t="s">
        <v>80</v>
      </c>
    </row>
    <row r="576" spans="1:21" ht="15.75" customHeight="1" x14ac:dyDescent="0.25">
      <c r="A576" s="9" t="s">
        <v>3775</v>
      </c>
      <c r="B576" s="10" t="s">
        <v>3776</v>
      </c>
      <c r="C576" s="11" t="s">
        <v>3777</v>
      </c>
      <c r="D576" s="21" t="s">
        <v>109</v>
      </c>
      <c r="E576" s="11" t="s">
        <v>47</v>
      </c>
      <c r="F576" s="13">
        <v>155</v>
      </c>
      <c r="G576" s="25" t="s">
        <v>110</v>
      </c>
      <c r="H576" s="11" t="s">
        <v>86</v>
      </c>
      <c r="I576" s="15" t="s">
        <v>3778</v>
      </c>
      <c r="J576" s="10" t="s">
        <v>3779</v>
      </c>
      <c r="K576" s="11" t="s">
        <v>3780</v>
      </c>
      <c r="L576" s="9" t="s">
        <v>90</v>
      </c>
      <c r="M576" s="10" t="s">
        <v>91</v>
      </c>
      <c r="N576" s="22"/>
      <c r="O576" s="17"/>
      <c r="P576" s="17"/>
      <c r="Q576" s="18" t="s">
        <v>78</v>
      </c>
      <c r="R576" s="18" t="s">
        <v>79</v>
      </c>
      <c r="S576" s="18" t="s">
        <v>61</v>
      </c>
      <c r="T576" s="18" t="s">
        <v>62</v>
      </c>
      <c r="U576" s="19" t="s">
        <v>80</v>
      </c>
    </row>
    <row r="577" spans="1:21" ht="15.75" customHeight="1" x14ac:dyDescent="0.25">
      <c r="A577" s="27" t="s">
        <v>3781</v>
      </c>
      <c r="B577" s="28" t="s">
        <v>3782</v>
      </c>
      <c r="C577" s="29" t="s">
        <v>3783</v>
      </c>
      <c r="D577" s="30" t="s">
        <v>3784</v>
      </c>
      <c r="E577" s="29" t="s">
        <v>1264</v>
      </c>
      <c r="F577" s="29" t="s">
        <v>3785</v>
      </c>
      <c r="G577" s="25" t="s">
        <v>68</v>
      </c>
      <c r="H577" s="29" t="s">
        <v>100</v>
      </c>
      <c r="I577" s="32" t="s">
        <v>3786</v>
      </c>
      <c r="J577" s="28" t="s">
        <v>3787</v>
      </c>
      <c r="K577" s="29" t="s">
        <v>1114</v>
      </c>
      <c r="L577" s="27" t="s">
        <v>90</v>
      </c>
      <c r="M577" s="28" t="s">
        <v>91</v>
      </c>
      <c r="N577" s="38"/>
      <c r="O577" s="34"/>
      <c r="P577" s="34"/>
      <c r="Q577" s="35" t="s">
        <v>78</v>
      </c>
      <c r="R577" s="35" t="s">
        <v>79</v>
      </c>
      <c r="S577" s="35" t="s">
        <v>61</v>
      </c>
      <c r="T577" s="35" t="s">
        <v>62</v>
      </c>
      <c r="U577" s="36" t="s">
        <v>80</v>
      </c>
    </row>
    <row r="578" spans="1:21" ht="15.75" customHeight="1" x14ac:dyDescent="0.25">
      <c r="A578" s="9" t="s">
        <v>3788</v>
      </c>
      <c r="B578" s="10" t="s">
        <v>3789</v>
      </c>
      <c r="C578" s="11" t="s">
        <v>3790</v>
      </c>
      <c r="D578" s="12" t="s">
        <v>3784</v>
      </c>
      <c r="E578" s="11" t="s">
        <v>98</v>
      </c>
      <c r="F578" s="13">
        <v>248</v>
      </c>
      <c r="G578" s="25" t="s">
        <v>68</v>
      </c>
      <c r="H578" s="11" t="s">
        <v>129</v>
      </c>
      <c r="I578" s="15" t="s">
        <v>3791</v>
      </c>
      <c r="J578" s="10" t="s">
        <v>3792</v>
      </c>
      <c r="K578" s="11" t="s">
        <v>1114</v>
      </c>
      <c r="L578" s="9" t="s">
        <v>90</v>
      </c>
      <c r="M578" s="10" t="s">
        <v>91</v>
      </c>
      <c r="N578" s="22"/>
      <c r="O578" s="17"/>
      <c r="P578" s="17"/>
      <c r="Q578" s="18" t="s">
        <v>78</v>
      </c>
      <c r="R578" s="18" t="s">
        <v>79</v>
      </c>
      <c r="S578" s="18" t="s">
        <v>61</v>
      </c>
      <c r="T578" s="18" t="s">
        <v>62</v>
      </c>
      <c r="U578" s="19" t="s">
        <v>80</v>
      </c>
    </row>
    <row r="579" spans="1:21" ht="15.75" customHeight="1" x14ac:dyDescent="0.25">
      <c r="A579" s="27" t="s">
        <v>3793</v>
      </c>
      <c r="B579" s="28" t="s">
        <v>3794</v>
      </c>
      <c r="C579" s="29" t="s">
        <v>3795</v>
      </c>
      <c r="D579" s="30" t="s">
        <v>3784</v>
      </c>
      <c r="E579" s="29" t="s">
        <v>98</v>
      </c>
      <c r="F579" s="31">
        <v>272</v>
      </c>
      <c r="G579" s="25" t="s">
        <v>68</v>
      </c>
      <c r="H579" s="29" t="s">
        <v>129</v>
      </c>
      <c r="I579" s="32" t="s">
        <v>3796</v>
      </c>
      <c r="J579" s="28" t="s">
        <v>3797</v>
      </c>
      <c r="K579" s="29" t="s">
        <v>1114</v>
      </c>
      <c r="L579" s="27" t="s">
        <v>90</v>
      </c>
      <c r="M579" s="28" t="s">
        <v>91</v>
      </c>
      <c r="N579" s="38"/>
      <c r="O579" s="34"/>
      <c r="P579" s="34"/>
      <c r="Q579" s="35" t="s">
        <v>78</v>
      </c>
      <c r="R579" s="35" t="s">
        <v>79</v>
      </c>
      <c r="S579" s="35" t="s">
        <v>61</v>
      </c>
      <c r="T579" s="35" t="s">
        <v>62</v>
      </c>
      <c r="U579" s="36" t="s">
        <v>80</v>
      </c>
    </row>
    <row r="580" spans="1:21" ht="15.75" customHeight="1" x14ac:dyDescent="0.25">
      <c r="A580" s="9" t="s">
        <v>3798</v>
      </c>
      <c r="B580" s="10" t="s">
        <v>3799</v>
      </c>
      <c r="C580" s="11" t="s">
        <v>3800</v>
      </c>
      <c r="D580" s="21" t="s">
        <v>109</v>
      </c>
      <c r="E580" s="11" t="s">
        <v>47</v>
      </c>
      <c r="F580" s="13">
        <v>31.8</v>
      </c>
      <c r="G580" s="14" t="s">
        <v>119</v>
      </c>
      <c r="H580" s="11" t="s">
        <v>69</v>
      </c>
      <c r="I580" s="15" t="s">
        <v>3801</v>
      </c>
      <c r="J580" s="10" t="s">
        <v>3802</v>
      </c>
      <c r="K580" s="11" t="s">
        <v>3803</v>
      </c>
      <c r="L580" s="9" t="s">
        <v>2005</v>
      </c>
      <c r="M580" s="10" t="s">
        <v>2006</v>
      </c>
      <c r="N580" s="22"/>
      <c r="O580" s="17"/>
      <c r="P580" s="17"/>
      <c r="Q580" s="18" t="s">
        <v>78</v>
      </c>
      <c r="R580" s="18" t="s">
        <v>79</v>
      </c>
      <c r="S580" s="18" t="s">
        <v>61</v>
      </c>
      <c r="T580" s="18" t="s">
        <v>62</v>
      </c>
      <c r="U580" s="19" t="s">
        <v>80</v>
      </c>
    </row>
    <row r="581" spans="1:21" ht="15.75" customHeight="1" x14ac:dyDescent="0.25">
      <c r="A581" s="27" t="s">
        <v>3804</v>
      </c>
      <c r="B581" s="28" t="s">
        <v>3805</v>
      </c>
      <c r="C581" s="29" t="s">
        <v>3806</v>
      </c>
      <c r="D581" s="30" t="s">
        <v>3807</v>
      </c>
      <c r="E581" s="29" t="s">
        <v>98</v>
      </c>
      <c r="F581" s="31">
        <v>305</v>
      </c>
      <c r="G581" s="14" t="s">
        <v>708</v>
      </c>
      <c r="H581" s="29" t="s">
        <v>129</v>
      </c>
      <c r="I581" s="32" t="s">
        <v>3808</v>
      </c>
      <c r="J581" s="28" t="s">
        <v>3809</v>
      </c>
      <c r="K581" s="29" t="s">
        <v>3810</v>
      </c>
      <c r="L581" s="27" t="s">
        <v>481</v>
      </c>
      <c r="M581" s="28" t="s">
        <v>482</v>
      </c>
      <c r="N581" s="39" t="s">
        <v>179</v>
      </c>
      <c r="O581" s="34" t="s">
        <v>869</v>
      </c>
      <c r="P581" s="34" t="s">
        <v>870</v>
      </c>
      <c r="Q581" s="35" t="s">
        <v>78</v>
      </c>
      <c r="R581" s="35" t="s">
        <v>79</v>
      </c>
      <c r="S581" s="35" t="s">
        <v>61</v>
      </c>
      <c r="T581" s="35" t="s">
        <v>62</v>
      </c>
      <c r="U581" s="36" t="s">
        <v>80</v>
      </c>
    </row>
    <row r="582" spans="1:21" ht="15.75" customHeight="1" x14ac:dyDescent="0.25">
      <c r="A582" s="9" t="s">
        <v>3811</v>
      </c>
      <c r="B582" s="10" t="s">
        <v>3812</v>
      </c>
      <c r="C582" s="11" t="s">
        <v>3813</v>
      </c>
      <c r="D582" s="12" t="s">
        <v>3814</v>
      </c>
      <c r="E582" s="11" t="s">
        <v>47</v>
      </c>
      <c r="F582" s="13">
        <v>68</v>
      </c>
      <c r="G582" s="14" t="s">
        <v>119</v>
      </c>
      <c r="H582" s="11" t="s">
        <v>48</v>
      </c>
      <c r="I582" s="15" t="s">
        <v>3815</v>
      </c>
      <c r="J582" s="10" t="s">
        <v>3816</v>
      </c>
      <c r="K582" s="11" t="s">
        <v>3817</v>
      </c>
      <c r="L582" s="9" t="s">
        <v>158</v>
      </c>
      <c r="M582" s="10" t="s">
        <v>159</v>
      </c>
      <c r="N582" s="16" t="s">
        <v>75</v>
      </c>
      <c r="O582" s="17" t="s">
        <v>712</v>
      </c>
      <c r="P582" s="17" t="s">
        <v>713</v>
      </c>
      <c r="Q582" s="18" t="s">
        <v>78</v>
      </c>
      <c r="R582" s="18" t="s">
        <v>79</v>
      </c>
      <c r="S582" s="18" t="s">
        <v>61</v>
      </c>
      <c r="T582" s="18" t="s">
        <v>62</v>
      </c>
      <c r="U582" s="19" t="s">
        <v>80</v>
      </c>
    </row>
    <row r="583" spans="1:21" ht="15.75" customHeight="1" x14ac:dyDescent="0.25">
      <c r="A583" s="27" t="s">
        <v>3818</v>
      </c>
      <c r="B583" s="28" t="s">
        <v>3819</v>
      </c>
      <c r="C583" s="29" t="s">
        <v>3820</v>
      </c>
      <c r="D583" s="37" t="s">
        <v>109</v>
      </c>
      <c r="E583" s="29" t="s">
        <v>47</v>
      </c>
      <c r="F583" s="31">
        <v>101</v>
      </c>
      <c r="G583" s="14" t="s">
        <v>119</v>
      </c>
      <c r="H583" s="29" t="s">
        <v>330</v>
      </c>
      <c r="I583" s="32" t="s">
        <v>3821</v>
      </c>
      <c r="J583" s="28" t="s">
        <v>3822</v>
      </c>
      <c r="K583" s="29" t="s">
        <v>3823</v>
      </c>
      <c r="L583" s="27" t="s">
        <v>158</v>
      </c>
      <c r="M583" s="28" t="s">
        <v>159</v>
      </c>
      <c r="N583" s="38"/>
      <c r="O583" s="34"/>
      <c r="P583" s="34"/>
      <c r="Q583" s="35" t="s">
        <v>78</v>
      </c>
      <c r="R583" s="35" t="s">
        <v>79</v>
      </c>
      <c r="S583" s="35" t="s">
        <v>61</v>
      </c>
      <c r="T583" s="35" t="s">
        <v>62</v>
      </c>
      <c r="U583" s="36" t="s">
        <v>80</v>
      </c>
    </row>
    <row r="584" spans="1:21" ht="15.75" customHeight="1" x14ac:dyDescent="0.25">
      <c r="A584" s="9" t="s">
        <v>3824</v>
      </c>
      <c r="B584" s="10" t="s">
        <v>3825</v>
      </c>
      <c r="C584" s="11" t="s">
        <v>3826</v>
      </c>
      <c r="D584" s="21" t="s">
        <v>109</v>
      </c>
      <c r="E584" s="11" t="s">
        <v>98</v>
      </c>
      <c r="F584" s="11" t="s">
        <v>99</v>
      </c>
      <c r="G584" s="24" t="s">
        <v>85</v>
      </c>
      <c r="H584" s="11" t="s">
        <v>100</v>
      </c>
      <c r="I584" s="15" t="s">
        <v>3827</v>
      </c>
      <c r="J584" s="10" t="s">
        <v>3828</v>
      </c>
      <c r="K584" s="11"/>
      <c r="L584" s="9"/>
      <c r="M584" s="10"/>
      <c r="N584" s="22"/>
      <c r="O584" s="17"/>
      <c r="P584" s="17"/>
      <c r="Q584" s="18" t="s">
        <v>78</v>
      </c>
      <c r="R584" s="18" t="s">
        <v>79</v>
      </c>
      <c r="S584" s="18" t="s">
        <v>61</v>
      </c>
      <c r="T584" s="18" t="s">
        <v>62</v>
      </c>
      <c r="U584" s="19" t="s">
        <v>80</v>
      </c>
    </row>
    <row r="585" spans="1:21" ht="15.75" customHeight="1" x14ac:dyDescent="0.25">
      <c r="A585" s="27" t="s">
        <v>3829</v>
      </c>
      <c r="B585" s="28" t="s">
        <v>3830</v>
      </c>
      <c r="C585" s="29" t="s">
        <v>3831</v>
      </c>
      <c r="D585" s="37" t="s">
        <v>109</v>
      </c>
      <c r="E585" s="29" t="s">
        <v>98</v>
      </c>
      <c r="F585" s="29" t="s">
        <v>3832</v>
      </c>
      <c r="G585" s="25" t="s">
        <v>110</v>
      </c>
      <c r="H585" s="29" t="s">
        <v>120</v>
      </c>
      <c r="I585" s="32" t="s">
        <v>3833</v>
      </c>
      <c r="J585" s="28" t="s">
        <v>3834</v>
      </c>
      <c r="K585" s="29" t="s">
        <v>3835</v>
      </c>
      <c r="L585" s="27" t="s">
        <v>90</v>
      </c>
      <c r="M585" s="28" t="s">
        <v>91</v>
      </c>
      <c r="N585" s="38"/>
      <c r="O585" s="34"/>
      <c r="P585" s="34"/>
      <c r="Q585" s="35" t="s">
        <v>78</v>
      </c>
      <c r="R585" s="35" t="s">
        <v>79</v>
      </c>
      <c r="S585" s="35" t="s">
        <v>61</v>
      </c>
      <c r="T585" s="35" t="s">
        <v>62</v>
      </c>
      <c r="U585" s="36" t="s">
        <v>80</v>
      </c>
    </row>
    <row r="586" spans="1:21" ht="15.75" customHeight="1" x14ac:dyDescent="0.25">
      <c r="A586" s="9" t="s">
        <v>3836</v>
      </c>
      <c r="B586" s="10" t="s">
        <v>3837</v>
      </c>
      <c r="C586" s="11" t="s">
        <v>3838</v>
      </c>
      <c r="D586" s="12" t="s">
        <v>3839</v>
      </c>
      <c r="E586" s="11" t="s">
        <v>67</v>
      </c>
      <c r="F586" s="13">
        <v>15.6</v>
      </c>
      <c r="G586" s="20" t="s">
        <v>85</v>
      </c>
      <c r="H586" s="11" t="s">
        <v>421</v>
      </c>
      <c r="I586" s="15" t="s">
        <v>3840</v>
      </c>
      <c r="J586" s="10" t="s">
        <v>3841</v>
      </c>
      <c r="K586" s="11" t="s">
        <v>3842</v>
      </c>
      <c r="L586" s="9" t="s">
        <v>73</v>
      </c>
      <c r="M586" s="10" t="s">
        <v>74</v>
      </c>
      <c r="N586" s="16" t="s">
        <v>75</v>
      </c>
      <c r="O586" s="17" t="s">
        <v>2783</v>
      </c>
      <c r="P586" s="17" t="s">
        <v>2784</v>
      </c>
      <c r="Q586" s="18" t="s">
        <v>78</v>
      </c>
      <c r="R586" s="18" t="s">
        <v>79</v>
      </c>
      <c r="S586" s="18" t="s">
        <v>61</v>
      </c>
      <c r="T586" s="18" t="s">
        <v>62</v>
      </c>
      <c r="U586" s="19" t="s">
        <v>80</v>
      </c>
    </row>
    <row r="587" spans="1:21" ht="15.75" customHeight="1" x14ac:dyDescent="0.25">
      <c r="A587" s="27" t="s">
        <v>3843</v>
      </c>
      <c r="B587" s="28" t="s">
        <v>3844</v>
      </c>
      <c r="C587" s="29" t="s">
        <v>3845</v>
      </c>
      <c r="D587" s="30" t="s">
        <v>3839</v>
      </c>
      <c r="E587" s="29" t="s">
        <v>67</v>
      </c>
      <c r="F587" s="31">
        <v>-72</v>
      </c>
      <c r="G587" s="20" t="s">
        <v>85</v>
      </c>
      <c r="H587" s="29" t="s">
        <v>69</v>
      </c>
      <c r="I587" s="32" t="s">
        <v>3846</v>
      </c>
      <c r="J587" s="28" t="s">
        <v>3847</v>
      </c>
      <c r="K587" s="29" t="s">
        <v>3848</v>
      </c>
      <c r="L587" s="27" t="s">
        <v>73</v>
      </c>
      <c r="M587" s="28" t="s">
        <v>74</v>
      </c>
      <c r="N587" s="33" t="s">
        <v>75</v>
      </c>
      <c r="O587" s="34" t="s">
        <v>2783</v>
      </c>
      <c r="P587" s="34" t="s">
        <v>2784</v>
      </c>
      <c r="Q587" s="35" t="s">
        <v>78</v>
      </c>
      <c r="R587" s="35" t="s">
        <v>79</v>
      </c>
      <c r="S587" s="35" t="s">
        <v>61</v>
      </c>
      <c r="T587" s="35" t="s">
        <v>62</v>
      </c>
      <c r="U587" s="36" t="s">
        <v>80</v>
      </c>
    </row>
    <row r="588" spans="1:21" ht="15.75" customHeight="1" x14ac:dyDescent="0.25">
      <c r="A588" s="9" t="s">
        <v>3849</v>
      </c>
      <c r="B588" s="10" t="s">
        <v>3850</v>
      </c>
      <c r="C588" s="11" t="s">
        <v>3851</v>
      </c>
      <c r="D588" s="12" t="s">
        <v>3852</v>
      </c>
      <c r="E588" s="11" t="s">
        <v>47</v>
      </c>
      <c r="F588" s="13">
        <v>216</v>
      </c>
      <c r="G588" s="20" t="s">
        <v>85</v>
      </c>
      <c r="H588" s="11" t="s">
        <v>129</v>
      </c>
      <c r="I588" s="15" t="s">
        <v>3853</v>
      </c>
      <c r="J588" s="10" t="s">
        <v>3854</v>
      </c>
      <c r="K588" s="11" t="s">
        <v>3001</v>
      </c>
      <c r="L588" s="9" t="s">
        <v>90</v>
      </c>
      <c r="M588" s="10" t="s">
        <v>91</v>
      </c>
      <c r="N588" s="23" t="s">
        <v>179</v>
      </c>
      <c r="O588" s="17" t="s">
        <v>292</v>
      </c>
      <c r="P588" s="17" t="s">
        <v>293</v>
      </c>
      <c r="Q588" s="18" t="s">
        <v>78</v>
      </c>
      <c r="R588" s="18" t="s">
        <v>79</v>
      </c>
      <c r="S588" s="18" t="s">
        <v>61</v>
      </c>
      <c r="T588" s="18" t="s">
        <v>62</v>
      </c>
      <c r="U588" s="19" t="s">
        <v>80</v>
      </c>
    </row>
    <row r="589" spans="1:21" ht="15.75" customHeight="1" x14ac:dyDescent="0.25">
      <c r="A589" s="27" t="s">
        <v>3855</v>
      </c>
      <c r="B589" s="28" t="s">
        <v>3856</v>
      </c>
      <c r="C589" s="29" t="s">
        <v>3857</v>
      </c>
      <c r="D589" s="37" t="s">
        <v>109</v>
      </c>
      <c r="E589" s="29" t="s">
        <v>47</v>
      </c>
      <c r="F589" s="31">
        <v>203</v>
      </c>
      <c r="G589" s="25" t="s">
        <v>110</v>
      </c>
      <c r="H589" s="29" t="s">
        <v>129</v>
      </c>
      <c r="I589" s="32" t="s">
        <v>3858</v>
      </c>
      <c r="J589" s="28" t="s">
        <v>3859</v>
      </c>
      <c r="K589" s="29" t="s">
        <v>3041</v>
      </c>
      <c r="L589" s="27" t="s">
        <v>90</v>
      </c>
      <c r="M589" s="28" t="s">
        <v>91</v>
      </c>
      <c r="N589" s="38"/>
      <c r="O589" s="34"/>
      <c r="P589" s="34"/>
      <c r="Q589" s="35" t="s">
        <v>78</v>
      </c>
      <c r="R589" s="35" t="s">
        <v>79</v>
      </c>
      <c r="S589" s="35" t="s">
        <v>61</v>
      </c>
      <c r="T589" s="35" t="s">
        <v>62</v>
      </c>
      <c r="U589" s="36" t="s">
        <v>80</v>
      </c>
    </row>
    <row r="590" spans="1:21" ht="15.75" customHeight="1" x14ac:dyDescent="0.25">
      <c r="A590" s="9" t="s">
        <v>3860</v>
      </c>
      <c r="B590" s="10" t="s">
        <v>3861</v>
      </c>
      <c r="C590" s="11" t="s">
        <v>3862</v>
      </c>
      <c r="D590" s="12" t="s">
        <v>3863</v>
      </c>
      <c r="E590" s="11" t="s">
        <v>98</v>
      </c>
      <c r="F590" s="13">
        <v>1100</v>
      </c>
      <c r="G590" s="20" t="s">
        <v>119</v>
      </c>
      <c r="H590" s="11" t="s">
        <v>129</v>
      </c>
      <c r="I590" s="15" t="s">
        <v>3864</v>
      </c>
      <c r="J590" s="10" t="s">
        <v>3865</v>
      </c>
      <c r="K590" s="11" t="s">
        <v>3866</v>
      </c>
      <c r="L590" s="9" t="s">
        <v>2005</v>
      </c>
      <c r="M590" s="10" t="s">
        <v>2006</v>
      </c>
      <c r="N590" s="16" t="s">
        <v>75</v>
      </c>
      <c r="O590" s="17" t="s">
        <v>124</v>
      </c>
      <c r="P590" s="17" t="s">
        <v>125</v>
      </c>
      <c r="Q590" s="18" t="s">
        <v>78</v>
      </c>
      <c r="R590" s="18" t="s">
        <v>79</v>
      </c>
      <c r="S590" s="18" t="s">
        <v>61</v>
      </c>
      <c r="T590" s="18" t="s">
        <v>62</v>
      </c>
      <c r="U590" s="19" t="s">
        <v>80</v>
      </c>
    </row>
    <row r="591" spans="1:21" ht="15.75" customHeight="1" x14ac:dyDescent="0.25">
      <c r="A591" s="27" t="s">
        <v>3867</v>
      </c>
      <c r="B591" s="28" t="s">
        <v>3868</v>
      </c>
      <c r="C591" s="29" t="s">
        <v>3869</v>
      </c>
      <c r="D591" s="37" t="s">
        <v>109</v>
      </c>
      <c r="E591" s="29" t="s">
        <v>67</v>
      </c>
      <c r="F591" s="31">
        <v>-268.89999999999998</v>
      </c>
      <c r="G591" s="24" t="s">
        <v>85</v>
      </c>
      <c r="H591" s="29" t="s">
        <v>69</v>
      </c>
      <c r="I591" s="32" t="s">
        <v>3870</v>
      </c>
      <c r="J591" s="28" t="s">
        <v>3871</v>
      </c>
      <c r="K591" s="29" t="s">
        <v>3872</v>
      </c>
      <c r="L591" s="27" t="s">
        <v>248</v>
      </c>
      <c r="M591" s="28" t="s">
        <v>249</v>
      </c>
      <c r="N591" s="38"/>
      <c r="O591" s="34"/>
      <c r="P591" s="34"/>
      <c r="Q591" s="35" t="s">
        <v>78</v>
      </c>
      <c r="R591" s="35" t="s">
        <v>79</v>
      </c>
      <c r="S591" s="35" t="s">
        <v>61</v>
      </c>
      <c r="T591" s="35" t="s">
        <v>62</v>
      </c>
      <c r="U591" s="36" t="s">
        <v>80</v>
      </c>
    </row>
    <row r="592" spans="1:21" ht="15.75" customHeight="1" x14ac:dyDescent="0.25">
      <c r="A592" s="9" t="s">
        <v>3873</v>
      </c>
      <c r="B592" s="10" t="s">
        <v>3874</v>
      </c>
      <c r="C592" s="11" t="s">
        <v>3875</v>
      </c>
      <c r="D592" s="21" t="s">
        <v>109</v>
      </c>
      <c r="E592" s="11" t="s">
        <v>67</v>
      </c>
      <c r="F592" s="13">
        <v>-153</v>
      </c>
      <c r="G592" s="24" t="s">
        <v>85</v>
      </c>
      <c r="H592" s="11" t="s">
        <v>69</v>
      </c>
      <c r="I592" s="15" t="s">
        <v>3876</v>
      </c>
      <c r="J592" s="10" t="s">
        <v>3877</v>
      </c>
      <c r="K592" s="11" t="s">
        <v>3878</v>
      </c>
      <c r="L592" s="9" t="s">
        <v>248</v>
      </c>
      <c r="M592" s="10" t="s">
        <v>249</v>
      </c>
      <c r="N592" s="22"/>
      <c r="O592" s="17"/>
      <c r="P592" s="17"/>
      <c r="Q592" s="18" t="s">
        <v>78</v>
      </c>
      <c r="R592" s="18" t="s">
        <v>79</v>
      </c>
      <c r="S592" s="18" t="s">
        <v>61</v>
      </c>
      <c r="T592" s="18" t="s">
        <v>62</v>
      </c>
      <c r="U592" s="19" t="s">
        <v>80</v>
      </c>
    </row>
    <row r="593" spans="1:21" ht="15.75" customHeight="1" x14ac:dyDescent="0.25">
      <c r="A593" s="27" t="s">
        <v>3879</v>
      </c>
      <c r="B593" s="28" t="s">
        <v>3880</v>
      </c>
      <c r="C593" s="29" t="s">
        <v>3881</v>
      </c>
      <c r="D593" s="37" t="s">
        <v>109</v>
      </c>
      <c r="E593" s="29" t="s">
        <v>47</v>
      </c>
      <c r="F593" s="31">
        <v>114</v>
      </c>
      <c r="G593" s="14" t="s">
        <v>119</v>
      </c>
      <c r="H593" s="29" t="s">
        <v>330</v>
      </c>
      <c r="I593" s="32" t="s">
        <v>3882</v>
      </c>
      <c r="J593" s="28" t="s">
        <v>3883</v>
      </c>
      <c r="K593" s="29" t="s">
        <v>3884</v>
      </c>
      <c r="L593" s="27" t="s">
        <v>158</v>
      </c>
      <c r="M593" s="28" t="s">
        <v>159</v>
      </c>
      <c r="N593" s="38"/>
      <c r="O593" s="34"/>
      <c r="P593" s="34"/>
      <c r="Q593" s="35" t="s">
        <v>78</v>
      </c>
      <c r="R593" s="35" t="s">
        <v>79</v>
      </c>
      <c r="S593" s="35" t="s">
        <v>61</v>
      </c>
      <c r="T593" s="35" t="s">
        <v>62</v>
      </c>
      <c r="U593" s="36" t="s">
        <v>80</v>
      </c>
    </row>
    <row r="594" spans="1:21" ht="15.75" customHeight="1" x14ac:dyDescent="0.25">
      <c r="A594" s="9" t="s">
        <v>3885</v>
      </c>
      <c r="B594" s="10" t="s">
        <v>3886</v>
      </c>
      <c r="C594" s="11" t="s">
        <v>3887</v>
      </c>
      <c r="D594" s="21" t="s">
        <v>109</v>
      </c>
      <c r="E594" s="11" t="s">
        <v>47</v>
      </c>
      <c r="F594" s="13">
        <v>149</v>
      </c>
      <c r="G594" s="14" t="s">
        <v>119</v>
      </c>
      <c r="H594" s="11" t="s">
        <v>330</v>
      </c>
      <c r="I594" s="15" t="s">
        <v>3888</v>
      </c>
      <c r="J594" s="10" t="s">
        <v>3889</v>
      </c>
      <c r="K594" s="11" t="s">
        <v>903</v>
      </c>
      <c r="L594" s="9" t="s">
        <v>158</v>
      </c>
      <c r="M594" s="10" t="s">
        <v>159</v>
      </c>
      <c r="N594" s="22"/>
      <c r="O594" s="17"/>
      <c r="P594" s="17"/>
      <c r="Q594" s="18" t="s">
        <v>78</v>
      </c>
      <c r="R594" s="18" t="s">
        <v>79</v>
      </c>
      <c r="S594" s="18" t="s">
        <v>61</v>
      </c>
      <c r="T594" s="18" t="s">
        <v>62</v>
      </c>
      <c r="U594" s="19" t="s">
        <v>80</v>
      </c>
    </row>
    <row r="595" spans="1:21" ht="15.75" customHeight="1" x14ac:dyDescent="0.25">
      <c r="A595" s="27" t="s">
        <v>3890</v>
      </c>
      <c r="B595" s="28" t="s">
        <v>3891</v>
      </c>
      <c r="C595" s="29" t="s">
        <v>3892</v>
      </c>
      <c r="D595" s="37" t="s">
        <v>109</v>
      </c>
      <c r="E595" s="29" t="s">
        <v>47</v>
      </c>
      <c r="F595" s="31">
        <v>193</v>
      </c>
      <c r="G595" s="24" t="s">
        <v>85</v>
      </c>
      <c r="H595" s="29" t="s">
        <v>86</v>
      </c>
      <c r="I595" s="32" t="s">
        <v>3893</v>
      </c>
      <c r="J595" s="28" t="s">
        <v>3894</v>
      </c>
      <c r="K595" s="29"/>
      <c r="L595" s="27"/>
      <c r="M595" s="28"/>
      <c r="N595" s="38"/>
      <c r="O595" s="34"/>
      <c r="P595" s="34"/>
      <c r="Q595" s="35" t="s">
        <v>78</v>
      </c>
      <c r="R595" s="35" t="s">
        <v>79</v>
      </c>
      <c r="S595" s="35" t="s">
        <v>61</v>
      </c>
      <c r="T595" s="35" t="s">
        <v>62</v>
      </c>
      <c r="U595" s="36" t="s">
        <v>80</v>
      </c>
    </row>
    <row r="596" spans="1:21" ht="15.75" customHeight="1" x14ac:dyDescent="0.25">
      <c r="A596" s="9" t="s">
        <v>3895</v>
      </c>
      <c r="B596" s="10" t="s">
        <v>3896</v>
      </c>
      <c r="C596" s="11" t="s">
        <v>3897</v>
      </c>
      <c r="D596" s="12" t="s">
        <v>243</v>
      </c>
      <c r="E596" s="11" t="s">
        <v>67</v>
      </c>
      <c r="F596" s="13">
        <v>-108.1</v>
      </c>
      <c r="G596" s="14" t="s">
        <v>68</v>
      </c>
      <c r="H596" s="11" t="s">
        <v>69</v>
      </c>
      <c r="I596" s="15" t="s">
        <v>3898</v>
      </c>
      <c r="J596" s="10" t="s">
        <v>3899</v>
      </c>
      <c r="K596" s="11" t="s">
        <v>3900</v>
      </c>
      <c r="L596" s="9" t="s">
        <v>248</v>
      </c>
      <c r="M596" s="10" t="s">
        <v>249</v>
      </c>
      <c r="N596" s="23" t="s">
        <v>179</v>
      </c>
      <c r="O596" s="17" t="s">
        <v>250</v>
      </c>
      <c r="P596" s="17" t="s">
        <v>251</v>
      </c>
      <c r="Q596" s="18" t="s">
        <v>78</v>
      </c>
      <c r="R596" s="18" t="s">
        <v>79</v>
      </c>
      <c r="S596" s="18" t="s">
        <v>61</v>
      </c>
      <c r="T596" s="18" t="s">
        <v>62</v>
      </c>
      <c r="U596" s="19" t="s">
        <v>80</v>
      </c>
    </row>
    <row r="597" spans="1:21" ht="15.75" customHeight="1" x14ac:dyDescent="0.25">
      <c r="A597" s="27" t="s">
        <v>3901</v>
      </c>
      <c r="B597" s="28" t="s">
        <v>3902</v>
      </c>
      <c r="C597" s="29" t="s">
        <v>3903</v>
      </c>
      <c r="D597" s="30" t="s">
        <v>3904</v>
      </c>
      <c r="E597" s="29" t="s">
        <v>98</v>
      </c>
      <c r="F597" s="31">
        <v>306</v>
      </c>
      <c r="G597" s="20" t="s">
        <v>85</v>
      </c>
      <c r="H597" s="29" t="s">
        <v>129</v>
      </c>
      <c r="I597" s="32" t="s">
        <v>3905</v>
      </c>
      <c r="J597" s="28" t="s">
        <v>3906</v>
      </c>
      <c r="K597" s="29" t="s">
        <v>3907</v>
      </c>
      <c r="L597" s="27" t="s">
        <v>90</v>
      </c>
      <c r="M597" s="28" t="s">
        <v>91</v>
      </c>
      <c r="N597" s="33" t="s">
        <v>75</v>
      </c>
      <c r="O597" s="34" t="s">
        <v>448</v>
      </c>
      <c r="P597" s="34" t="s">
        <v>449</v>
      </c>
      <c r="Q597" s="35" t="s">
        <v>78</v>
      </c>
      <c r="R597" s="35" t="s">
        <v>79</v>
      </c>
      <c r="S597" s="35" t="s">
        <v>61</v>
      </c>
      <c r="T597" s="35" t="s">
        <v>62</v>
      </c>
      <c r="U597" s="36" t="s">
        <v>80</v>
      </c>
    </row>
    <row r="598" spans="1:21" ht="15.75" customHeight="1" x14ac:dyDescent="0.25">
      <c r="A598" s="9" t="s">
        <v>3908</v>
      </c>
      <c r="B598" s="10" t="s">
        <v>3909</v>
      </c>
      <c r="C598" s="11" t="s">
        <v>3910</v>
      </c>
      <c r="D598" s="21" t="s">
        <v>109</v>
      </c>
      <c r="E598" s="11" t="s">
        <v>47</v>
      </c>
      <c r="F598" s="13">
        <v>95</v>
      </c>
      <c r="G598" s="25" t="s">
        <v>110</v>
      </c>
      <c r="H598" s="11" t="s">
        <v>48</v>
      </c>
      <c r="I598" s="15" t="s">
        <v>3911</v>
      </c>
      <c r="J598" s="10" t="s">
        <v>3912</v>
      </c>
      <c r="K598" s="11" t="s">
        <v>3913</v>
      </c>
      <c r="L598" s="9" t="s">
        <v>90</v>
      </c>
      <c r="M598" s="10" t="s">
        <v>91</v>
      </c>
      <c r="N598" s="22"/>
      <c r="O598" s="17"/>
      <c r="P598" s="17"/>
      <c r="Q598" s="18" t="s">
        <v>78</v>
      </c>
      <c r="R598" s="18" t="s">
        <v>79</v>
      </c>
      <c r="S598" s="18" t="s">
        <v>61</v>
      </c>
      <c r="T598" s="18" t="s">
        <v>62</v>
      </c>
      <c r="U598" s="19" t="s">
        <v>80</v>
      </c>
    </row>
    <row r="599" spans="1:21" ht="15.75" customHeight="1" x14ac:dyDescent="0.25">
      <c r="A599" s="27" t="s">
        <v>3914</v>
      </c>
      <c r="B599" s="28" t="s">
        <v>3915</v>
      </c>
      <c r="C599" s="29" t="s">
        <v>3916</v>
      </c>
      <c r="D599" s="37" t="s">
        <v>109</v>
      </c>
      <c r="E599" s="29" t="s">
        <v>98</v>
      </c>
      <c r="F599" s="29"/>
      <c r="G599" s="14" t="s">
        <v>119</v>
      </c>
      <c r="H599" s="29" t="s">
        <v>100</v>
      </c>
      <c r="I599" s="32" t="s">
        <v>3917</v>
      </c>
      <c r="J599" s="28" t="s">
        <v>3918</v>
      </c>
      <c r="K599" s="29" t="s">
        <v>3919</v>
      </c>
      <c r="L599" s="27" t="s">
        <v>158</v>
      </c>
      <c r="M599" s="28" t="s">
        <v>159</v>
      </c>
      <c r="N599" s="38"/>
      <c r="O599" s="34"/>
      <c r="P599" s="34"/>
      <c r="Q599" s="35" t="s">
        <v>78</v>
      </c>
      <c r="R599" s="35" t="s">
        <v>79</v>
      </c>
      <c r="S599" s="35" t="s">
        <v>61</v>
      </c>
      <c r="T599" s="35" t="s">
        <v>62</v>
      </c>
      <c r="U599" s="36" t="s">
        <v>80</v>
      </c>
    </row>
    <row r="600" spans="1:21" ht="15.75" customHeight="1" x14ac:dyDescent="0.25">
      <c r="A600" s="9" t="s">
        <v>3920</v>
      </c>
      <c r="B600" s="10" t="s">
        <v>3921</v>
      </c>
      <c r="C600" s="11" t="s">
        <v>3922</v>
      </c>
      <c r="D600" s="21" t="s">
        <v>109</v>
      </c>
      <c r="E600" s="11" t="s">
        <v>98</v>
      </c>
      <c r="F600" s="11"/>
      <c r="G600" s="14" t="s">
        <v>119</v>
      </c>
      <c r="H600" s="11" t="s">
        <v>100</v>
      </c>
      <c r="I600" s="15" t="s">
        <v>3923</v>
      </c>
      <c r="J600" s="10" t="s">
        <v>3924</v>
      </c>
      <c r="K600" s="11" t="s">
        <v>3925</v>
      </c>
      <c r="L600" s="9" t="s">
        <v>1203</v>
      </c>
      <c r="M600" s="10" t="s">
        <v>1204</v>
      </c>
      <c r="N600" s="22"/>
      <c r="O600" s="17"/>
      <c r="P600" s="17"/>
      <c r="Q600" s="18" t="s">
        <v>78</v>
      </c>
      <c r="R600" s="18" t="s">
        <v>79</v>
      </c>
      <c r="S600" s="18" t="s">
        <v>61</v>
      </c>
      <c r="T600" s="18" t="s">
        <v>62</v>
      </c>
      <c r="U600" s="19" t="s">
        <v>80</v>
      </c>
    </row>
    <row r="601" spans="1:21" ht="15.75" customHeight="1" x14ac:dyDescent="0.25">
      <c r="A601" s="27" t="s">
        <v>3926</v>
      </c>
      <c r="B601" s="28" t="s">
        <v>3927</v>
      </c>
      <c r="C601" s="29" t="s">
        <v>3928</v>
      </c>
      <c r="D601" s="37" t="s">
        <v>109</v>
      </c>
      <c r="E601" s="29" t="s">
        <v>98</v>
      </c>
      <c r="F601" s="31">
        <v>1560</v>
      </c>
      <c r="G601" s="25" t="s">
        <v>110</v>
      </c>
      <c r="H601" s="29" t="s">
        <v>129</v>
      </c>
      <c r="I601" s="32" t="s">
        <v>3929</v>
      </c>
      <c r="J601" s="28" t="s">
        <v>3930</v>
      </c>
      <c r="K601" s="29" t="s">
        <v>3931</v>
      </c>
      <c r="L601" s="27" t="s">
        <v>90</v>
      </c>
      <c r="M601" s="28" t="s">
        <v>91</v>
      </c>
      <c r="N601" s="38"/>
      <c r="O601" s="34"/>
      <c r="P601" s="34"/>
      <c r="Q601" s="35" t="s">
        <v>78</v>
      </c>
      <c r="R601" s="35" t="s">
        <v>79</v>
      </c>
      <c r="S601" s="35" t="s">
        <v>61</v>
      </c>
      <c r="T601" s="35" t="s">
        <v>62</v>
      </c>
      <c r="U601" s="36" t="s">
        <v>80</v>
      </c>
    </row>
    <row r="602" spans="1:21" ht="15.75" customHeight="1" x14ac:dyDescent="0.25">
      <c r="A602" s="9" t="s">
        <v>3932</v>
      </c>
      <c r="B602" s="10" t="s">
        <v>3933</v>
      </c>
      <c r="C602" s="11" t="s">
        <v>3934</v>
      </c>
      <c r="D602" s="21" t="s">
        <v>109</v>
      </c>
      <c r="E602" s="11" t="s">
        <v>98</v>
      </c>
      <c r="F602" s="11"/>
      <c r="G602" s="25" t="s">
        <v>110</v>
      </c>
      <c r="H602" s="11" t="s">
        <v>100</v>
      </c>
      <c r="I602" s="15" t="s">
        <v>3935</v>
      </c>
      <c r="J602" s="10" t="s">
        <v>3936</v>
      </c>
      <c r="K602" s="11" t="s">
        <v>3931</v>
      </c>
      <c r="L602" s="9" t="s">
        <v>90</v>
      </c>
      <c r="M602" s="10" t="s">
        <v>91</v>
      </c>
      <c r="N602" s="22"/>
      <c r="O602" s="17"/>
      <c r="P602" s="17"/>
      <c r="Q602" s="18" t="s">
        <v>78</v>
      </c>
      <c r="R602" s="18" t="s">
        <v>79</v>
      </c>
      <c r="S602" s="18" t="s">
        <v>61</v>
      </c>
      <c r="T602" s="18" t="s">
        <v>62</v>
      </c>
      <c r="U602" s="19" t="s">
        <v>80</v>
      </c>
    </row>
    <row r="603" spans="1:21" ht="15.75" customHeight="1" x14ac:dyDescent="0.25">
      <c r="A603" s="27" t="s">
        <v>3937</v>
      </c>
      <c r="B603" s="28" t="s">
        <v>3938</v>
      </c>
      <c r="C603" s="29" t="s">
        <v>3939</v>
      </c>
      <c r="D603" s="37" t="s">
        <v>109</v>
      </c>
      <c r="E603" s="29" t="s">
        <v>67</v>
      </c>
      <c r="F603" s="31">
        <v>12.5</v>
      </c>
      <c r="G603" s="20" t="s">
        <v>68</v>
      </c>
      <c r="H603" s="29" t="s">
        <v>69</v>
      </c>
      <c r="I603" s="32" t="s">
        <v>3940</v>
      </c>
      <c r="J603" s="28" t="s">
        <v>3941</v>
      </c>
      <c r="K603" s="29" t="s">
        <v>3942</v>
      </c>
      <c r="L603" s="27" t="s">
        <v>140</v>
      </c>
      <c r="M603" s="28" t="s">
        <v>141</v>
      </c>
      <c r="N603" s="38"/>
      <c r="O603" s="34"/>
      <c r="P603" s="34"/>
      <c r="Q603" s="35" t="s">
        <v>78</v>
      </c>
      <c r="R603" s="35" t="s">
        <v>79</v>
      </c>
      <c r="S603" s="35" t="s">
        <v>61</v>
      </c>
      <c r="T603" s="35" t="s">
        <v>62</v>
      </c>
      <c r="U603" s="36" t="s">
        <v>80</v>
      </c>
    </row>
    <row r="604" spans="1:21" ht="15.75" customHeight="1" x14ac:dyDescent="0.25">
      <c r="A604" s="9" t="s">
        <v>3943</v>
      </c>
      <c r="B604" s="10" t="s">
        <v>3944</v>
      </c>
      <c r="C604" s="11" t="s">
        <v>3945</v>
      </c>
      <c r="D604" s="21" t="s">
        <v>109</v>
      </c>
      <c r="E604" s="11" t="s">
        <v>47</v>
      </c>
      <c r="F604" s="13">
        <v>177</v>
      </c>
      <c r="G604" s="14" t="s">
        <v>119</v>
      </c>
      <c r="H604" s="11" t="s">
        <v>86</v>
      </c>
      <c r="I604" s="15" t="s">
        <v>3946</v>
      </c>
      <c r="J604" s="10" t="s">
        <v>3947</v>
      </c>
      <c r="K604" s="11" t="s">
        <v>3948</v>
      </c>
      <c r="L604" s="9" t="s">
        <v>158</v>
      </c>
      <c r="M604" s="10" t="s">
        <v>159</v>
      </c>
      <c r="N604" s="22"/>
      <c r="O604" s="17"/>
      <c r="P604" s="17"/>
      <c r="Q604" s="18" t="s">
        <v>78</v>
      </c>
      <c r="R604" s="18" t="s">
        <v>79</v>
      </c>
      <c r="S604" s="18" t="s">
        <v>61</v>
      </c>
      <c r="T604" s="18" t="s">
        <v>62</v>
      </c>
      <c r="U604" s="19" t="s">
        <v>80</v>
      </c>
    </row>
    <row r="605" spans="1:21" ht="15.75" customHeight="1" x14ac:dyDescent="0.25">
      <c r="A605" s="27" t="s">
        <v>3949</v>
      </c>
      <c r="B605" s="28" t="s">
        <v>3950</v>
      </c>
      <c r="C605" s="29" t="s">
        <v>3951</v>
      </c>
      <c r="D605" s="37" t="s">
        <v>109</v>
      </c>
      <c r="E605" s="29" t="s">
        <v>98</v>
      </c>
      <c r="F605" s="31">
        <v>269</v>
      </c>
      <c r="G605" s="24" t="s">
        <v>85</v>
      </c>
      <c r="H605" s="29" t="s">
        <v>129</v>
      </c>
      <c r="I605" s="32" t="s">
        <v>3952</v>
      </c>
      <c r="J605" s="28" t="s">
        <v>3953</v>
      </c>
      <c r="K605" s="29"/>
      <c r="L605" s="27"/>
      <c r="M605" s="28"/>
      <c r="N605" s="38"/>
      <c r="O605" s="34"/>
      <c r="P605" s="34"/>
      <c r="Q605" s="35" t="s">
        <v>78</v>
      </c>
      <c r="R605" s="35" t="s">
        <v>79</v>
      </c>
      <c r="S605" s="35" t="s">
        <v>61</v>
      </c>
      <c r="T605" s="35" t="s">
        <v>62</v>
      </c>
      <c r="U605" s="36" t="s">
        <v>80</v>
      </c>
    </row>
    <row r="606" spans="1:21" ht="15.75" customHeight="1" x14ac:dyDescent="0.25">
      <c r="A606" s="9" t="s">
        <v>3954</v>
      </c>
      <c r="B606" s="10" t="s">
        <v>3955</v>
      </c>
      <c r="C606" s="11" t="s">
        <v>3956</v>
      </c>
      <c r="D606" s="12" t="s">
        <v>1786</v>
      </c>
      <c r="E606" s="11" t="s">
        <v>47</v>
      </c>
      <c r="F606" s="13">
        <v>245</v>
      </c>
      <c r="G606" s="20" t="s">
        <v>119</v>
      </c>
      <c r="H606" s="11" t="s">
        <v>129</v>
      </c>
      <c r="I606" s="15" t="s">
        <v>3957</v>
      </c>
      <c r="J606" s="10" t="s">
        <v>3958</v>
      </c>
      <c r="K606" s="11"/>
      <c r="L606" s="9"/>
      <c r="M606" s="10"/>
      <c r="N606" s="16" t="s">
        <v>75</v>
      </c>
      <c r="O606" s="17" t="s">
        <v>292</v>
      </c>
      <c r="P606" s="17" t="s">
        <v>293</v>
      </c>
      <c r="Q606" s="18" t="s">
        <v>78</v>
      </c>
      <c r="R606" s="18" t="s">
        <v>79</v>
      </c>
      <c r="S606" s="18" t="s">
        <v>61</v>
      </c>
      <c r="T606" s="18" t="s">
        <v>62</v>
      </c>
      <c r="U606" s="19" t="s">
        <v>80</v>
      </c>
    </row>
    <row r="607" spans="1:21" ht="15.75" customHeight="1" x14ac:dyDescent="0.25">
      <c r="A607" s="27" t="s">
        <v>3959</v>
      </c>
      <c r="B607" s="28" t="s">
        <v>3960</v>
      </c>
      <c r="C607" s="29" t="s">
        <v>3961</v>
      </c>
      <c r="D607" s="30" t="s">
        <v>3962</v>
      </c>
      <c r="E607" s="29" t="s">
        <v>47</v>
      </c>
      <c r="F607" s="31">
        <v>207</v>
      </c>
      <c r="G607" s="20" t="s">
        <v>119</v>
      </c>
      <c r="H607" s="29" t="s">
        <v>129</v>
      </c>
      <c r="I607" s="32" t="s">
        <v>3963</v>
      </c>
      <c r="J607" s="28" t="s">
        <v>3964</v>
      </c>
      <c r="K607" s="29" t="s">
        <v>3965</v>
      </c>
      <c r="L607" s="27"/>
      <c r="M607" s="28"/>
      <c r="N607" s="33" t="s">
        <v>75</v>
      </c>
      <c r="O607" s="34" t="s">
        <v>1905</v>
      </c>
      <c r="P607" s="34" t="s">
        <v>1906</v>
      </c>
      <c r="Q607" s="35" t="s">
        <v>78</v>
      </c>
      <c r="R607" s="35" t="s">
        <v>79</v>
      </c>
      <c r="S607" s="35" t="s">
        <v>61</v>
      </c>
      <c r="T607" s="35" t="s">
        <v>62</v>
      </c>
      <c r="U607" s="36" t="s">
        <v>80</v>
      </c>
    </row>
    <row r="608" spans="1:21" ht="15.75" customHeight="1" x14ac:dyDescent="0.25">
      <c r="A608" s="9" t="s">
        <v>3966</v>
      </c>
      <c r="B608" s="10" t="s">
        <v>3967</v>
      </c>
      <c r="C608" s="11" t="s">
        <v>3968</v>
      </c>
      <c r="D608" s="21" t="s">
        <v>109</v>
      </c>
      <c r="E608" s="11" t="s">
        <v>47</v>
      </c>
      <c r="F608" s="13">
        <v>163</v>
      </c>
      <c r="G608" s="14" t="s">
        <v>119</v>
      </c>
      <c r="H608" s="11" t="s">
        <v>86</v>
      </c>
      <c r="I608" s="15" t="s">
        <v>3969</v>
      </c>
      <c r="J608" s="10" t="s">
        <v>3970</v>
      </c>
      <c r="K608" s="11" t="s">
        <v>3971</v>
      </c>
      <c r="L608" s="9" t="s">
        <v>158</v>
      </c>
      <c r="M608" s="10" t="s">
        <v>159</v>
      </c>
      <c r="N608" s="22"/>
      <c r="O608" s="17"/>
      <c r="P608" s="17"/>
      <c r="Q608" s="18" t="s">
        <v>78</v>
      </c>
      <c r="R608" s="18" t="s">
        <v>79</v>
      </c>
      <c r="S608" s="18" t="s">
        <v>61</v>
      </c>
      <c r="T608" s="18" t="s">
        <v>62</v>
      </c>
      <c r="U608" s="19" t="s">
        <v>80</v>
      </c>
    </row>
    <row r="609" spans="1:21" ht="15.75" customHeight="1" x14ac:dyDescent="0.25">
      <c r="A609" s="27" t="s">
        <v>3972</v>
      </c>
      <c r="B609" s="28" t="s">
        <v>3973</v>
      </c>
      <c r="C609" s="29" t="s">
        <v>3974</v>
      </c>
      <c r="D609" s="30" t="s">
        <v>1427</v>
      </c>
      <c r="E609" s="29" t="s">
        <v>47</v>
      </c>
      <c r="F609" s="29" t="s">
        <v>3975</v>
      </c>
      <c r="G609" s="20" t="s">
        <v>119</v>
      </c>
      <c r="H609" s="29" t="s">
        <v>330</v>
      </c>
      <c r="I609" s="32" t="s">
        <v>3976</v>
      </c>
      <c r="J609" s="28" t="s">
        <v>3977</v>
      </c>
      <c r="K609" s="29" t="s">
        <v>132</v>
      </c>
      <c r="L609" s="27" t="s">
        <v>90</v>
      </c>
      <c r="M609" s="28" t="s">
        <v>91</v>
      </c>
      <c r="N609" s="33" t="s">
        <v>75</v>
      </c>
      <c r="O609" s="34" t="s">
        <v>1020</v>
      </c>
      <c r="P609" s="34" t="s">
        <v>1021</v>
      </c>
      <c r="Q609" s="35" t="s">
        <v>78</v>
      </c>
      <c r="R609" s="35" t="s">
        <v>79</v>
      </c>
      <c r="S609" s="35" t="s">
        <v>61</v>
      </c>
      <c r="T609" s="35" t="s">
        <v>62</v>
      </c>
      <c r="U609" s="36" t="s">
        <v>80</v>
      </c>
    </row>
    <row r="610" spans="1:21" ht="15.75" customHeight="1" x14ac:dyDescent="0.25">
      <c r="A610" s="9" t="s">
        <v>3978</v>
      </c>
      <c r="B610" s="10" t="s">
        <v>3979</v>
      </c>
      <c r="C610" s="11" t="s">
        <v>3980</v>
      </c>
      <c r="D610" s="12" t="s">
        <v>2673</v>
      </c>
      <c r="E610" s="11" t="s">
        <v>47</v>
      </c>
      <c r="F610" s="13">
        <v>52</v>
      </c>
      <c r="G610" s="14" t="s">
        <v>119</v>
      </c>
      <c r="H610" s="11" t="s">
        <v>48</v>
      </c>
      <c r="I610" s="15" t="s">
        <v>3981</v>
      </c>
      <c r="J610" s="10" t="s">
        <v>3982</v>
      </c>
      <c r="K610" s="11" t="s">
        <v>3983</v>
      </c>
      <c r="L610" s="9" t="s">
        <v>158</v>
      </c>
      <c r="M610" s="10" t="s">
        <v>159</v>
      </c>
      <c r="N610" s="16" t="s">
        <v>75</v>
      </c>
      <c r="O610" s="17" t="s">
        <v>712</v>
      </c>
      <c r="P610" s="17" t="s">
        <v>713</v>
      </c>
      <c r="Q610" s="18" t="s">
        <v>78</v>
      </c>
      <c r="R610" s="18" t="s">
        <v>79</v>
      </c>
      <c r="S610" s="18" t="s">
        <v>61</v>
      </c>
      <c r="T610" s="18" t="s">
        <v>62</v>
      </c>
      <c r="U610" s="19" t="s">
        <v>80</v>
      </c>
    </row>
    <row r="611" spans="1:21" ht="15.75" customHeight="1" x14ac:dyDescent="0.25">
      <c r="A611" s="27" t="s">
        <v>3984</v>
      </c>
      <c r="B611" s="28" t="s">
        <v>3985</v>
      </c>
      <c r="C611" s="29" t="s">
        <v>3986</v>
      </c>
      <c r="D611" s="37" t="s">
        <v>109</v>
      </c>
      <c r="E611" s="29" t="s">
        <v>47</v>
      </c>
      <c r="F611" s="31">
        <v>290</v>
      </c>
      <c r="G611" s="24" t="s">
        <v>85</v>
      </c>
      <c r="H611" s="29" t="s">
        <v>129</v>
      </c>
      <c r="I611" s="32" t="s">
        <v>3987</v>
      </c>
      <c r="J611" s="28" t="s">
        <v>3988</v>
      </c>
      <c r="K611" s="29"/>
      <c r="L611" s="27"/>
      <c r="M611" s="28"/>
      <c r="N611" s="38"/>
      <c r="O611" s="34"/>
      <c r="P611" s="34"/>
      <c r="Q611" s="35" t="s">
        <v>78</v>
      </c>
      <c r="R611" s="35" t="s">
        <v>79</v>
      </c>
      <c r="S611" s="35" t="s">
        <v>61</v>
      </c>
      <c r="T611" s="35" t="s">
        <v>62</v>
      </c>
      <c r="U611" s="36" t="s">
        <v>80</v>
      </c>
    </row>
    <row r="612" spans="1:21" ht="15.75" customHeight="1" x14ac:dyDescent="0.25">
      <c r="A612" s="9" t="s">
        <v>3989</v>
      </c>
      <c r="B612" s="10" t="s">
        <v>3990</v>
      </c>
      <c r="C612" s="11" t="s">
        <v>3991</v>
      </c>
      <c r="D612" s="21" t="s">
        <v>109</v>
      </c>
      <c r="E612" s="11" t="s">
        <v>47</v>
      </c>
      <c r="F612" s="13">
        <v>80.5</v>
      </c>
      <c r="G612" s="14" t="s">
        <v>119</v>
      </c>
      <c r="H612" s="11" t="s">
        <v>48</v>
      </c>
      <c r="I612" s="15" t="s">
        <v>3992</v>
      </c>
      <c r="J612" s="10" t="s">
        <v>3993</v>
      </c>
      <c r="K612" s="11" t="s">
        <v>3994</v>
      </c>
      <c r="L612" s="9" t="s">
        <v>158</v>
      </c>
      <c r="M612" s="10" t="s">
        <v>159</v>
      </c>
      <c r="N612" s="22"/>
      <c r="O612" s="17"/>
      <c r="P612" s="17"/>
      <c r="Q612" s="18" t="s">
        <v>78</v>
      </c>
      <c r="R612" s="18" t="s">
        <v>79</v>
      </c>
      <c r="S612" s="18" t="s">
        <v>61</v>
      </c>
      <c r="T612" s="18" t="s">
        <v>62</v>
      </c>
      <c r="U612" s="19" t="s">
        <v>80</v>
      </c>
    </row>
    <row r="613" spans="1:21" ht="15.75" customHeight="1" x14ac:dyDescent="0.25">
      <c r="A613" s="27" t="s">
        <v>3995</v>
      </c>
      <c r="B613" s="28" t="s">
        <v>3996</v>
      </c>
      <c r="C613" s="29" t="s">
        <v>3997</v>
      </c>
      <c r="D613" s="37" t="s">
        <v>109</v>
      </c>
      <c r="E613" s="29" t="s">
        <v>98</v>
      </c>
      <c r="F613" s="29" t="s">
        <v>3998</v>
      </c>
      <c r="G613" s="25" t="s">
        <v>110</v>
      </c>
      <c r="H613" s="29" t="s">
        <v>100</v>
      </c>
      <c r="I613" s="32" t="s">
        <v>3999</v>
      </c>
      <c r="J613" s="28" t="s">
        <v>4000</v>
      </c>
      <c r="K613" s="29" t="s">
        <v>1286</v>
      </c>
      <c r="L613" s="27" t="s">
        <v>90</v>
      </c>
      <c r="M613" s="28" t="s">
        <v>91</v>
      </c>
      <c r="N613" s="38"/>
      <c r="O613" s="34"/>
      <c r="P613" s="34"/>
      <c r="Q613" s="35" t="s">
        <v>78</v>
      </c>
      <c r="R613" s="35" t="s">
        <v>79</v>
      </c>
      <c r="S613" s="35" t="s">
        <v>61</v>
      </c>
      <c r="T613" s="35" t="s">
        <v>62</v>
      </c>
      <c r="U613" s="36" t="s">
        <v>80</v>
      </c>
    </row>
    <row r="614" spans="1:21" ht="15.75" customHeight="1" x14ac:dyDescent="0.25">
      <c r="A614" s="9" t="s">
        <v>4001</v>
      </c>
      <c r="B614" s="10" t="s">
        <v>4002</v>
      </c>
      <c r="C614" s="11" t="s">
        <v>4003</v>
      </c>
      <c r="D614" s="12" t="s">
        <v>243</v>
      </c>
      <c r="E614" s="11" t="s">
        <v>67</v>
      </c>
      <c r="F614" s="13">
        <v>-246.1</v>
      </c>
      <c r="G614" s="14" t="s">
        <v>68</v>
      </c>
      <c r="H614" s="11" t="s">
        <v>69</v>
      </c>
      <c r="I614" s="15" t="s">
        <v>4004</v>
      </c>
      <c r="J614" s="10" t="s">
        <v>4002</v>
      </c>
      <c r="K614" s="11" t="s">
        <v>4005</v>
      </c>
      <c r="L614" s="9" t="s">
        <v>248</v>
      </c>
      <c r="M614" s="10" t="s">
        <v>249</v>
      </c>
      <c r="N614" s="23" t="s">
        <v>179</v>
      </c>
      <c r="O614" s="17" t="s">
        <v>250</v>
      </c>
      <c r="P614" s="17" t="s">
        <v>251</v>
      </c>
      <c r="Q614" s="18" t="s">
        <v>78</v>
      </c>
      <c r="R614" s="18" t="s">
        <v>79</v>
      </c>
      <c r="S614" s="18" t="s">
        <v>61</v>
      </c>
      <c r="T614" s="18" t="s">
        <v>62</v>
      </c>
      <c r="U614" s="19" t="s">
        <v>80</v>
      </c>
    </row>
    <row r="615" spans="1:21" ht="15.75" customHeight="1" x14ac:dyDescent="0.25">
      <c r="A615" s="27" t="s">
        <v>4006</v>
      </c>
      <c r="B615" s="28" t="s">
        <v>4007</v>
      </c>
      <c r="C615" s="29" t="s">
        <v>4008</v>
      </c>
      <c r="D615" s="37" t="s">
        <v>109</v>
      </c>
      <c r="E615" s="29" t="s">
        <v>98</v>
      </c>
      <c r="F615" s="29">
        <v>280.7</v>
      </c>
      <c r="G615" s="14" t="s">
        <v>119</v>
      </c>
      <c r="H615" s="29" t="s">
        <v>120</v>
      </c>
      <c r="I615" s="32" t="s">
        <v>4009</v>
      </c>
      <c r="J615" s="28" t="s">
        <v>4010</v>
      </c>
      <c r="K615" s="29" t="s">
        <v>4011</v>
      </c>
      <c r="L615" s="27" t="s">
        <v>1267</v>
      </c>
      <c r="M615" s="28" t="s">
        <v>1268</v>
      </c>
      <c r="N615" s="38"/>
      <c r="O615" s="34"/>
      <c r="P615" s="34"/>
      <c r="Q615" s="35" t="s">
        <v>78</v>
      </c>
      <c r="R615" s="35" t="s">
        <v>79</v>
      </c>
      <c r="S615" s="35" t="s">
        <v>61</v>
      </c>
      <c r="T615" s="35" t="s">
        <v>62</v>
      </c>
      <c r="U615" s="36" t="s">
        <v>80</v>
      </c>
    </row>
    <row r="616" spans="1:21" ht="15.75" customHeight="1" x14ac:dyDescent="0.25">
      <c r="A616" s="9" t="s">
        <v>4012</v>
      </c>
      <c r="B616" s="10" t="s">
        <v>4013</v>
      </c>
      <c r="C616" s="11" t="s">
        <v>4014</v>
      </c>
      <c r="D616" s="21" t="s">
        <v>109</v>
      </c>
      <c r="E616" s="11" t="s">
        <v>47</v>
      </c>
      <c r="F616" s="13">
        <v>255</v>
      </c>
      <c r="G616" s="24" t="s">
        <v>85</v>
      </c>
      <c r="H616" s="11" t="s">
        <v>129</v>
      </c>
      <c r="I616" s="15" t="s">
        <v>4015</v>
      </c>
      <c r="J616" s="10" t="s">
        <v>4016</v>
      </c>
      <c r="K616" s="11"/>
      <c r="L616" s="9"/>
      <c r="M616" s="10"/>
      <c r="N616" s="22"/>
      <c r="O616" s="17"/>
      <c r="P616" s="17"/>
      <c r="Q616" s="18" t="s">
        <v>78</v>
      </c>
      <c r="R616" s="18" t="s">
        <v>79</v>
      </c>
      <c r="S616" s="18" t="s">
        <v>61</v>
      </c>
      <c r="T616" s="18" t="s">
        <v>62</v>
      </c>
      <c r="U616" s="19" t="s">
        <v>80</v>
      </c>
    </row>
    <row r="617" spans="1:21" ht="15.75" customHeight="1" x14ac:dyDescent="0.25">
      <c r="A617" s="27" t="s">
        <v>4017</v>
      </c>
      <c r="B617" s="28" t="s">
        <v>4018</v>
      </c>
      <c r="C617" s="29" t="s">
        <v>4019</v>
      </c>
      <c r="D617" s="30" t="s">
        <v>4020</v>
      </c>
      <c r="E617" s="29" t="s">
        <v>98</v>
      </c>
      <c r="F617" s="31">
        <v>241</v>
      </c>
      <c r="G617" s="20" t="s">
        <v>85</v>
      </c>
      <c r="H617" s="29" t="s">
        <v>129</v>
      </c>
      <c r="I617" s="32" t="s">
        <v>4021</v>
      </c>
      <c r="J617" s="28" t="s">
        <v>4022</v>
      </c>
      <c r="K617" s="29" t="s">
        <v>4023</v>
      </c>
      <c r="L617" s="27" t="s">
        <v>90</v>
      </c>
      <c r="M617" s="28" t="s">
        <v>91</v>
      </c>
      <c r="N617" s="33" t="s">
        <v>75</v>
      </c>
      <c r="O617" s="34" t="s">
        <v>292</v>
      </c>
      <c r="P617" s="34" t="s">
        <v>293</v>
      </c>
      <c r="Q617" s="35" t="s">
        <v>78</v>
      </c>
      <c r="R617" s="35" t="s">
        <v>79</v>
      </c>
      <c r="S617" s="35" t="s">
        <v>61</v>
      </c>
      <c r="T617" s="35" t="s">
        <v>62</v>
      </c>
      <c r="U617" s="36" t="s">
        <v>80</v>
      </c>
    </row>
    <row r="618" spans="1:21" ht="15.75" customHeight="1" x14ac:dyDescent="0.25">
      <c r="A618" s="9" t="s">
        <v>4024</v>
      </c>
      <c r="B618" s="10" t="s">
        <v>4025</v>
      </c>
      <c r="C618" s="11" t="s">
        <v>4026</v>
      </c>
      <c r="D618" s="12" t="s">
        <v>4027</v>
      </c>
      <c r="E618" s="11" t="s">
        <v>98</v>
      </c>
      <c r="F618" s="11"/>
      <c r="G618" s="20" t="s">
        <v>85</v>
      </c>
      <c r="H618" s="11" t="s">
        <v>100</v>
      </c>
      <c r="I618" s="15" t="s">
        <v>4028</v>
      </c>
      <c r="J618" s="10" t="s">
        <v>4029</v>
      </c>
      <c r="K618" s="11" t="s">
        <v>332</v>
      </c>
      <c r="L618" s="9" t="s">
        <v>197</v>
      </c>
      <c r="M618" s="10" t="s">
        <v>198</v>
      </c>
      <c r="N618" s="16" t="s">
        <v>75</v>
      </c>
      <c r="O618" s="17" t="s">
        <v>104</v>
      </c>
      <c r="P618" s="17" t="s">
        <v>105</v>
      </c>
      <c r="Q618" s="18" t="s">
        <v>78</v>
      </c>
      <c r="R618" s="18" t="s">
        <v>79</v>
      </c>
      <c r="S618" s="18" t="s">
        <v>61</v>
      </c>
      <c r="T618" s="18" t="s">
        <v>62</v>
      </c>
      <c r="U618" s="19" t="s">
        <v>80</v>
      </c>
    </row>
    <row r="619" spans="1:21" ht="15.75" customHeight="1" x14ac:dyDescent="0.25">
      <c r="A619" s="27" t="s">
        <v>4030</v>
      </c>
      <c r="B619" s="28" t="s">
        <v>4031</v>
      </c>
      <c r="C619" s="29" t="s">
        <v>4032</v>
      </c>
      <c r="D619" s="37" t="s">
        <v>109</v>
      </c>
      <c r="E619" s="29" t="s">
        <v>98</v>
      </c>
      <c r="F619" s="29"/>
      <c r="G619" s="14" t="s">
        <v>119</v>
      </c>
      <c r="H619" s="29" t="s">
        <v>100</v>
      </c>
      <c r="I619" s="32" t="s">
        <v>4033</v>
      </c>
      <c r="J619" s="28" t="s">
        <v>4034</v>
      </c>
      <c r="K619" s="29" t="s">
        <v>4035</v>
      </c>
      <c r="L619" s="27" t="s">
        <v>1203</v>
      </c>
      <c r="M619" s="28" t="s">
        <v>1204</v>
      </c>
      <c r="N619" s="38"/>
      <c r="O619" s="34"/>
      <c r="P619" s="34"/>
      <c r="Q619" s="35" t="s">
        <v>78</v>
      </c>
      <c r="R619" s="35" t="s">
        <v>79</v>
      </c>
      <c r="S619" s="35" t="s">
        <v>61</v>
      </c>
      <c r="T619" s="35" t="s">
        <v>62</v>
      </c>
      <c r="U619" s="36" t="s">
        <v>80</v>
      </c>
    </row>
    <row r="620" spans="1:21" ht="15.75" customHeight="1" x14ac:dyDescent="0.25">
      <c r="A620" s="9" t="s">
        <v>4036</v>
      </c>
      <c r="B620" s="10" t="s">
        <v>4037</v>
      </c>
      <c r="C620" s="11" t="s">
        <v>4038</v>
      </c>
      <c r="D620" s="21" t="s">
        <v>109</v>
      </c>
      <c r="E620" s="11" t="s">
        <v>67</v>
      </c>
      <c r="F620" s="13">
        <v>-83</v>
      </c>
      <c r="G620" s="20" t="s">
        <v>68</v>
      </c>
      <c r="H620" s="11" t="s">
        <v>69</v>
      </c>
      <c r="I620" s="15" t="s">
        <v>4039</v>
      </c>
      <c r="J620" s="10" t="s">
        <v>4040</v>
      </c>
      <c r="K620" s="11" t="s">
        <v>4041</v>
      </c>
      <c r="L620" s="9" t="s">
        <v>140</v>
      </c>
      <c r="M620" s="10" t="s">
        <v>141</v>
      </c>
      <c r="N620" s="22"/>
      <c r="O620" s="17"/>
      <c r="P620" s="17"/>
      <c r="Q620" s="18" t="s">
        <v>78</v>
      </c>
      <c r="R620" s="18" t="s">
        <v>79</v>
      </c>
      <c r="S620" s="18" t="s">
        <v>61</v>
      </c>
      <c r="T620" s="18" t="s">
        <v>62</v>
      </c>
      <c r="U620" s="19" t="s">
        <v>80</v>
      </c>
    </row>
    <row r="621" spans="1:21" ht="15.75" customHeight="1" x14ac:dyDescent="0.25">
      <c r="A621" s="27" t="s">
        <v>4042</v>
      </c>
      <c r="B621" s="28" t="s">
        <v>4043</v>
      </c>
      <c r="C621" s="29" t="s">
        <v>4044</v>
      </c>
      <c r="D621" s="30" t="s">
        <v>4045</v>
      </c>
      <c r="E621" s="29" t="s">
        <v>98</v>
      </c>
      <c r="F621" s="31">
        <v>250</v>
      </c>
      <c r="G621" s="20" t="s">
        <v>85</v>
      </c>
      <c r="H621" s="29" t="s">
        <v>129</v>
      </c>
      <c r="I621" s="32" t="s">
        <v>4046</v>
      </c>
      <c r="J621" s="28" t="s">
        <v>4047</v>
      </c>
      <c r="K621" s="29"/>
      <c r="L621" s="27"/>
      <c r="M621" s="28"/>
      <c r="N621" s="39" t="s">
        <v>179</v>
      </c>
      <c r="O621" s="34" t="s">
        <v>292</v>
      </c>
      <c r="P621" s="34" t="s">
        <v>293</v>
      </c>
      <c r="Q621" s="35" t="s">
        <v>78</v>
      </c>
      <c r="R621" s="35" t="s">
        <v>79</v>
      </c>
      <c r="S621" s="35" t="s">
        <v>61</v>
      </c>
      <c r="T621" s="35" t="s">
        <v>62</v>
      </c>
      <c r="U621" s="36" t="s">
        <v>80</v>
      </c>
    </row>
    <row r="622" spans="1:21" ht="15.75" customHeight="1" x14ac:dyDescent="0.25">
      <c r="A622" s="9" t="s">
        <v>4048</v>
      </c>
      <c r="B622" s="10" t="s">
        <v>4049</v>
      </c>
      <c r="C622" s="11" t="s">
        <v>4050</v>
      </c>
      <c r="D622" s="21" t="s">
        <v>109</v>
      </c>
      <c r="E622" s="11" t="s">
        <v>67</v>
      </c>
      <c r="F622" s="13">
        <v>-4</v>
      </c>
      <c r="G622" s="24" t="s">
        <v>85</v>
      </c>
      <c r="H622" s="11" t="s">
        <v>69</v>
      </c>
      <c r="I622" s="15" t="s">
        <v>4051</v>
      </c>
      <c r="J622" s="10" t="s">
        <v>4052</v>
      </c>
      <c r="K622" s="11" t="s">
        <v>4053</v>
      </c>
      <c r="L622" s="9" t="s">
        <v>248</v>
      </c>
      <c r="M622" s="10" t="s">
        <v>249</v>
      </c>
      <c r="N622" s="22"/>
      <c r="O622" s="17"/>
      <c r="P622" s="17"/>
      <c r="Q622" s="18" t="s">
        <v>78</v>
      </c>
      <c r="R622" s="18" t="s">
        <v>79</v>
      </c>
      <c r="S622" s="18" t="s">
        <v>61</v>
      </c>
      <c r="T622" s="18" t="s">
        <v>62</v>
      </c>
      <c r="U622" s="19" t="s">
        <v>80</v>
      </c>
    </row>
    <row r="623" spans="1:21" ht="15.75" customHeight="1" x14ac:dyDescent="0.25">
      <c r="A623" s="27" t="s">
        <v>4054</v>
      </c>
      <c r="B623" s="28" t="s">
        <v>4055</v>
      </c>
      <c r="C623" s="29" t="s">
        <v>4056</v>
      </c>
      <c r="D623" s="30" t="s">
        <v>4057</v>
      </c>
      <c r="E623" s="29" t="s">
        <v>47</v>
      </c>
      <c r="F623" s="31">
        <v>63.3</v>
      </c>
      <c r="G623" s="20" t="s">
        <v>85</v>
      </c>
      <c r="H623" s="29" t="s">
        <v>48</v>
      </c>
      <c r="I623" s="32" t="s">
        <v>4058</v>
      </c>
      <c r="J623" s="28" t="s">
        <v>4059</v>
      </c>
      <c r="K623" s="29" t="s">
        <v>4060</v>
      </c>
      <c r="L623" s="27" t="s">
        <v>158</v>
      </c>
      <c r="M623" s="28" t="s">
        <v>159</v>
      </c>
      <c r="N623" s="33" t="s">
        <v>75</v>
      </c>
      <c r="O623" s="34" t="s">
        <v>382</v>
      </c>
      <c r="P623" s="34" t="s">
        <v>383</v>
      </c>
      <c r="Q623" s="35" t="s">
        <v>78</v>
      </c>
      <c r="R623" s="35" t="s">
        <v>79</v>
      </c>
      <c r="S623" s="35" t="s">
        <v>61</v>
      </c>
      <c r="T623" s="35" t="s">
        <v>62</v>
      </c>
      <c r="U623" s="36" t="s">
        <v>80</v>
      </c>
    </row>
    <row r="624" spans="1:21" ht="15.75" customHeight="1" x14ac:dyDescent="0.25">
      <c r="A624" s="9" t="s">
        <v>4061</v>
      </c>
      <c r="B624" s="10" t="s">
        <v>4062</v>
      </c>
      <c r="C624" s="11" t="s">
        <v>4063</v>
      </c>
      <c r="D624" s="21" t="s">
        <v>109</v>
      </c>
      <c r="E624" s="11" t="s">
        <v>98</v>
      </c>
      <c r="F624" s="13">
        <v>237</v>
      </c>
      <c r="G624" s="25" t="s">
        <v>110</v>
      </c>
      <c r="H624" s="11" t="s">
        <v>129</v>
      </c>
      <c r="I624" s="15" t="s">
        <v>4064</v>
      </c>
      <c r="J624" s="10" t="s">
        <v>4065</v>
      </c>
      <c r="K624" s="11" t="s">
        <v>4066</v>
      </c>
      <c r="L624" s="9" t="s">
        <v>481</v>
      </c>
      <c r="M624" s="10" t="s">
        <v>482</v>
      </c>
      <c r="N624" s="22"/>
      <c r="O624" s="17"/>
      <c r="P624" s="17"/>
      <c r="Q624" s="18" t="s">
        <v>78</v>
      </c>
      <c r="R624" s="18" t="s">
        <v>79</v>
      </c>
      <c r="S624" s="18" t="s">
        <v>61</v>
      </c>
      <c r="T624" s="18" t="s">
        <v>62</v>
      </c>
      <c r="U624" s="19" t="s">
        <v>80</v>
      </c>
    </row>
    <row r="625" spans="1:21" ht="15.75" customHeight="1" x14ac:dyDescent="0.25">
      <c r="A625" s="27" t="s">
        <v>4067</v>
      </c>
      <c r="B625" s="28" t="s">
        <v>4068</v>
      </c>
      <c r="C625" s="29" t="s">
        <v>4069</v>
      </c>
      <c r="D625" s="37" t="s">
        <v>109</v>
      </c>
      <c r="E625" s="29" t="s">
        <v>98</v>
      </c>
      <c r="F625" s="29" t="s">
        <v>4070</v>
      </c>
      <c r="G625" s="14" t="s">
        <v>119</v>
      </c>
      <c r="H625" s="29" t="s">
        <v>100</v>
      </c>
      <c r="I625" s="32" t="s">
        <v>4071</v>
      </c>
      <c r="J625" s="28" t="s">
        <v>4072</v>
      </c>
      <c r="K625" s="29" t="s">
        <v>4073</v>
      </c>
      <c r="L625" s="27" t="s">
        <v>1203</v>
      </c>
      <c r="M625" s="28" t="s">
        <v>1204</v>
      </c>
      <c r="N625" s="38"/>
      <c r="O625" s="34"/>
      <c r="P625" s="34"/>
      <c r="Q625" s="35" t="s">
        <v>78</v>
      </c>
      <c r="R625" s="35" t="s">
        <v>79</v>
      </c>
      <c r="S625" s="35" t="s">
        <v>61</v>
      </c>
      <c r="T625" s="35" t="s">
        <v>62</v>
      </c>
      <c r="U625" s="36" t="s">
        <v>80</v>
      </c>
    </row>
    <row r="626" spans="1:21" ht="15.75" customHeight="1" x14ac:dyDescent="0.25">
      <c r="A626" s="9" t="s">
        <v>4074</v>
      </c>
      <c r="B626" s="10" t="s">
        <v>4075</v>
      </c>
      <c r="C626" s="11" t="s">
        <v>4076</v>
      </c>
      <c r="D626" s="12" t="s">
        <v>4077</v>
      </c>
      <c r="E626" s="11" t="s">
        <v>98</v>
      </c>
      <c r="F626" s="11" t="s">
        <v>4078</v>
      </c>
      <c r="G626" s="20" t="s">
        <v>85</v>
      </c>
      <c r="H626" s="11" t="s">
        <v>100</v>
      </c>
      <c r="I626" s="15" t="s">
        <v>4079</v>
      </c>
      <c r="J626" s="10" t="s">
        <v>4080</v>
      </c>
      <c r="K626" s="11" t="s">
        <v>1655</v>
      </c>
      <c r="L626" s="9" t="s">
        <v>90</v>
      </c>
      <c r="M626" s="10" t="s">
        <v>91</v>
      </c>
      <c r="N626" s="16" t="s">
        <v>75</v>
      </c>
      <c r="O626" s="17" t="s">
        <v>92</v>
      </c>
      <c r="P626" s="17" t="s">
        <v>93</v>
      </c>
      <c r="Q626" s="18" t="s">
        <v>78</v>
      </c>
      <c r="R626" s="18" t="s">
        <v>79</v>
      </c>
      <c r="S626" s="18" t="s">
        <v>61</v>
      </c>
      <c r="T626" s="18" t="s">
        <v>62</v>
      </c>
      <c r="U626" s="19" t="s">
        <v>80</v>
      </c>
    </row>
    <row r="627" spans="1:21" ht="15.75" customHeight="1" x14ac:dyDescent="0.25">
      <c r="A627" s="27" t="s">
        <v>4081</v>
      </c>
      <c r="B627" s="28" t="s">
        <v>4082</v>
      </c>
      <c r="C627" s="29" t="s">
        <v>4083</v>
      </c>
      <c r="D627" s="30" t="s">
        <v>4084</v>
      </c>
      <c r="E627" s="29" t="s">
        <v>47</v>
      </c>
      <c r="F627" s="31">
        <v>211.9</v>
      </c>
      <c r="G627" s="14" t="s">
        <v>119</v>
      </c>
      <c r="H627" s="29" t="s">
        <v>129</v>
      </c>
      <c r="I627" s="32" t="s">
        <v>4085</v>
      </c>
      <c r="J627" s="28" t="s">
        <v>4086</v>
      </c>
      <c r="K627" s="29" t="s">
        <v>2348</v>
      </c>
      <c r="L627" s="27" t="s">
        <v>481</v>
      </c>
      <c r="M627" s="28" t="s">
        <v>482</v>
      </c>
      <c r="N627" s="39" t="s">
        <v>179</v>
      </c>
      <c r="O627" s="34" t="s">
        <v>869</v>
      </c>
      <c r="P627" s="34" t="s">
        <v>870</v>
      </c>
      <c r="Q627" s="35" t="s">
        <v>78</v>
      </c>
      <c r="R627" s="35" t="s">
        <v>79</v>
      </c>
      <c r="S627" s="35" t="s">
        <v>61</v>
      </c>
      <c r="T627" s="35" t="s">
        <v>62</v>
      </c>
      <c r="U627" s="36" t="s">
        <v>80</v>
      </c>
    </row>
    <row r="628" spans="1:21" ht="15.75" customHeight="1" x14ac:dyDescent="0.25">
      <c r="A628" s="9" t="s">
        <v>4087</v>
      </c>
      <c r="B628" s="10" t="s">
        <v>4088</v>
      </c>
      <c r="C628" s="11" t="s">
        <v>4089</v>
      </c>
      <c r="D628" s="21" t="s">
        <v>109</v>
      </c>
      <c r="E628" s="11" t="s">
        <v>47</v>
      </c>
      <c r="F628" s="13">
        <v>132</v>
      </c>
      <c r="G628" s="14" t="s">
        <v>119</v>
      </c>
      <c r="H628" s="11" t="s">
        <v>330</v>
      </c>
      <c r="I628" s="15" t="s">
        <v>4090</v>
      </c>
      <c r="J628" s="10" t="s">
        <v>4091</v>
      </c>
      <c r="K628" s="11" t="s">
        <v>4092</v>
      </c>
      <c r="L628" s="9" t="s">
        <v>158</v>
      </c>
      <c r="M628" s="10" t="s">
        <v>159</v>
      </c>
      <c r="N628" s="22"/>
      <c r="O628" s="17"/>
      <c r="P628" s="17"/>
      <c r="Q628" s="18" t="s">
        <v>78</v>
      </c>
      <c r="R628" s="18" t="s">
        <v>79</v>
      </c>
      <c r="S628" s="18" t="s">
        <v>61</v>
      </c>
      <c r="T628" s="18" t="s">
        <v>62</v>
      </c>
      <c r="U628" s="19" t="s">
        <v>80</v>
      </c>
    </row>
    <row r="629" spans="1:21" ht="15.75" customHeight="1" x14ac:dyDescent="0.25">
      <c r="A629" s="27" t="s">
        <v>4093</v>
      </c>
      <c r="B629" s="28" t="s">
        <v>4094</v>
      </c>
      <c r="C629" s="29" t="s">
        <v>4095</v>
      </c>
      <c r="D629" s="37" t="s">
        <v>109</v>
      </c>
      <c r="E629" s="29" t="s">
        <v>67</v>
      </c>
      <c r="F629" s="31">
        <v>-9</v>
      </c>
      <c r="G629" s="14" t="s">
        <v>119</v>
      </c>
      <c r="H629" s="29" t="s">
        <v>69</v>
      </c>
      <c r="I629" s="32" t="s">
        <v>4096</v>
      </c>
      <c r="J629" s="28" t="s">
        <v>4097</v>
      </c>
      <c r="K629" s="29" t="s">
        <v>4098</v>
      </c>
      <c r="L629" s="27" t="s">
        <v>73</v>
      </c>
      <c r="M629" s="28" t="s">
        <v>74</v>
      </c>
      <c r="N629" s="38"/>
      <c r="O629" s="34"/>
      <c r="P629" s="34"/>
      <c r="Q629" s="35" t="s">
        <v>78</v>
      </c>
      <c r="R629" s="35" t="s">
        <v>79</v>
      </c>
      <c r="S629" s="35" t="s">
        <v>61</v>
      </c>
      <c r="T629" s="35" t="s">
        <v>62</v>
      </c>
      <c r="U629" s="36" t="s">
        <v>80</v>
      </c>
    </row>
    <row r="630" spans="1:21" ht="15.75" customHeight="1" x14ac:dyDescent="0.25">
      <c r="A630" s="9" t="s">
        <v>4099</v>
      </c>
      <c r="B630" s="10" t="s">
        <v>4100</v>
      </c>
      <c r="C630" s="11" t="s">
        <v>4101</v>
      </c>
      <c r="D630" s="12" t="s">
        <v>2255</v>
      </c>
      <c r="E630" s="11" t="s">
        <v>47</v>
      </c>
      <c r="F630" s="13">
        <v>186</v>
      </c>
      <c r="G630" s="25" t="s">
        <v>119</v>
      </c>
      <c r="H630" s="11" t="s">
        <v>86</v>
      </c>
      <c r="I630" s="15" t="s">
        <v>4102</v>
      </c>
      <c r="J630" s="10" t="s">
        <v>4103</v>
      </c>
      <c r="K630" s="11" t="s">
        <v>4104</v>
      </c>
      <c r="L630" s="9" t="s">
        <v>481</v>
      </c>
      <c r="M630" s="10" t="s">
        <v>482</v>
      </c>
      <c r="N630" s="16" t="s">
        <v>75</v>
      </c>
      <c r="O630" s="17" t="s">
        <v>1127</v>
      </c>
      <c r="P630" s="17" t="s">
        <v>1128</v>
      </c>
      <c r="Q630" s="18" t="s">
        <v>78</v>
      </c>
      <c r="R630" s="18" t="s">
        <v>79</v>
      </c>
      <c r="S630" s="18" t="s">
        <v>61</v>
      </c>
      <c r="T630" s="18" t="s">
        <v>62</v>
      </c>
      <c r="U630" s="19" t="s">
        <v>80</v>
      </c>
    </row>
    <row r="631" spans="1:21" ht="15.75" customHeight="1" x14ac:dyDescent="0.25">
      <c r="A631" s="27" t="s">
        <v>4105</v>
      </c>
      <c r="B631" s="28" t="s">
        <v>4106</v>
      </c>
      <c r="C631" s="29" t="s">
        <v>4107</v>
      </c>
      <c r="D631" s="30" t="s">
        <v>4108</v>
      </c>
      <c r="E631" s="29" t="s">
        <v>47</v>
      </c>
      <c r="F631" s="31">
        <v>202</v>
      </c>
      <c r="G631" s="20" t="s">
        <v>119</v>
      </c>
      <c r="H631" s="29" t="s">
        <v>129</v>
      </c>
      <c r="I631" s="32" t="s">
        <v>4109</v>
      </c>
      <c r="J631" s="28" t="s">
        <v>4110</v>
      </c>
      <c r="K631" s="29" t="s">
        <v>4111</v>
      </c>
      <c r="L631" s="27" t="s">
        <v>90</v>
      </c>
      <c r="M631" s="28" t="s">
        <v>91</v>
      </c>
      <c r="N631" s="33" t="s">
        <v>75</v>
      </c>
      <c r="O631" s="34" t="s">
        <v>313</v>
      </c>
      <c r="P631" s="34" t="s">
        <v>314</v>
      </c>
      <c r="Q631" s="35" t="s">
        <v>78</v>
      </c>
      <c r="R631" s="35" t="s">
        <v>79</v>
      </c>
      <c r="S631" s="35" t="s">
        <v>61</v>
      </c>
      <c r="T631" s="35" t="s">
        <v>62</v>
      </c>
      <c r="U631" s="36" t="s">
        <v>80</v>
      </c>
    </row>
    <row r="632" spans="1:21" ht="15.75" customHeight="1" x14ac:dyDescent="0.25">
      <c r="A632" s="9" t="s">
        <v>4112</v>
      </c>
      <c r="B632" s="10" t="s">
        <v>4113</v>
      </c>
      <c r="C632" s="11" t="s">
        <v>4114</v>
      </c>
      <c r="D632" s="21" t="s">
        <v>109</v>
      </c>
      <c r="E632" s="11" t="s">
        <v>47</v>
      </c>
      <c r="F632" s="13">
        <v>169</v>
      </c>
      <c r="G632" s="14" t="s">
        <v>119</v>
      </c>
      <c r="H632" s="11" t="s">
        <v>86</v>
      </c>
      <c r="I632" s="15" t="s">
        <v>4115</v>
      </c>
      <c r="J632" s="10" t="s">
        <v>4116</v>
      </c>
      <c r="K632" s="11" t="s">
        <v>4117</v>
      </c>
      <c r="L632" s="9" t="s">
        <v>158</v>
      </c>
      <c r="M632" s="10" t="s">
        <v>159</v>
      </c>
      <c r="N632" s="22"/>
      <c r="O632" s="17"/>
      <c r="P632" s="17"/>
      <c r="Q632" s="18" t="s">
        <v>78</v>
      </c>
      <c r="R632" s="18" t="s">
        <v>79</v>
      </c>
      <c r="S632" s="18" t="s">
        <v>61</v>
      </c>
      <c r="T632" s="18" t="s">
        <v>62</v>
      </c>
      <c r="U632" s="19" t="s">
        <v>80</v>
      </c>
    </row>
    <row r="633" spans="1:21" ht="15.75" customHeight="1" x14ac:dyDescent="0.25">
      <c r="A633" s="27" t="s">
        <v>4118</v>
      </c>
      <c r="B633" s="28" t="s">
        <v>4119</v>
      </c>
      <c r="C633" s="29" t="s">
        <v>4120</v>
      </c>
      <c r="D633" s="30" t="s">
        <v>2224</v>
      </c>
      <c r="E633" s="29" t="s">
        <v>98</v>
      </c>
      <c r="F633" s="29"/>
      <c r="G633" s="20" t="s">
        <v>85</v>
      </c>
      <c r="H633" s="29" t="s">
        <v>120</v>
      </c>
      <c r="I633" s="32" t="s">
        <v>4121</v>
      </c>
      <c r="J633" s="28" t="s">
        <v>4122</v>
      </c>
      <c r="K633" s="29" t="s">
        <v>4123</v>
      </c>
      <c r="L633" s="27" t="s">
        <v>90</v>
      </c>
      <c r="M633" s="28" t="s">
        <v>91</v>
      </c>
      <c r="N633" s="33" t="s">
        <v>75</v>
      </c>
      <c r="O633" s="34" t="s">
        <v>92</v>
      </c>
      <c r="P633" s="34" t="s">
        <v>93</v>
      </c>
      <c r="Q633" s="35" t="s">
        <v>78</v>
      </c>
      <c r="R633" s="35" t="s">
        <v>79</v>
      </c>
      <c r="S633" s="35" t="s">
        <v>61</v>
      </c>
      <c r="T633" s="35" t="s">
        <v>62</v>
      </c>
      <c r="U633" s="36" t="s">
        <v>80</v>
      </c>
    </row>
    <row r="634" spans="1:21" ht="15.75" customHeight="1" x14ac:dyDescent="0.25">
      <c r="A634" s="9" t="s">
        <v>4124</v>
      </c>
      <c r="B634" s="10" t="s">
        <v>4125</v>
      </c>
      <c r="C634" s="11" t="s">
        <v>4126</v>
      </c>
      <c r="D634" s="21" t="s">
        <v>109</v>
      </c>
      <c r="E634" s="11" t="s">
        <v>67</v>
      </c>
      <c r="F634" s="13">
        <v>4.0999999999999996</v>
      </c>
      <c r="G634" s="24" t="s">
        <v>85</v>
      </c>
      <c r="H634" s="11" t="s">
        <v>69</v>
      </c>
      <c r="I634" s="15" t="s">
        <v>4127</v>
      </c>
      <c r="J634" s="10" t="s">
        <v>4128</v>
      </c>
      <c r="K634" s="11" t="s">
        <v>4129</v>
      </c>
      <c r="L634" s="9" t="s">
        <v>248</v>
      </c>
      <c r="M634" s="10" t="s">
        <v>249</v>
      </c>
      <c r="N634" s="22"/>
      <c r="O634" s="17"/>
      <c r="P634" s="17"/>
      <c r="Q634" s="18" t="s">
        <v>78</v>
      </c>
      <c r="R634" s="18" t="s">
        <v>79</v>
      </c>
      <c r="S634" s="18" t="s">
        <v>61</v>
      </c>
      <c r="T634" s="18" t="s">
        <v>62</v>
      </c>
      <c r="U634" s="19" t="s">
        <v>80</v>
      </c>
    </row>
    <row r="635" spans="1:21" ht="15.75" customHeight="1" x14ac:dyDescent="0.25">
      <c r="A635" s="27" t="s">
        <v>4130</v>
      </c>
      <c r="B635" s="28" t="s">
        <v>4131</v>
      </c>
      <c r="C635" s="29" t="s">
        <v>4132</v>
      </c>
      <c r="D635" s="37" t="s">
        <v>109</v>
      </c>
      <c r="E635" s="29" t="s">
        <v>98</v>
      </c>
      <c r="F635" s="29"/>
      <c r="G635" s="24" t="s">
        <v>85</v>
      </c>
      <c r="H635" s="29" t="s">
        <v>100</v>
      </c>
      <c r="I635" s="32" t="s">
        <v>4133</v>
      </c>
      <c r="J635" s="28" t="s">
        <v>4134</v>
      </c>
      <c r="K635" s="29"/>
      <c r="L635" s="27"/>
      <c r="M635" s="28"/>
      <c r="N635" s="38"/>
      <c r="O635" s="34"/>
      <c r="P635" s="34"/>
      <c r="Q635" s="35" t="s">
        <v>78</v>
      </c>
      <c r="R635" s="35" t="s">
        <v>79</v>
      </c>
      <c r="S635" s="35" t="s">
        <v>61</v>
      </c>
      <c r="T635" s="35" t="s">
        <v>62</v>
      </c>
      <c r="U635" s="36" t="s">
        <v>80</v>
      </c>
    </row>
    <row r="636" spans="1:21" ht="15.75" customHeight="1" x14ac:dyDescent="0.25">
      <c r="A636" s="9" t="s">
        <v>4135</v>
      </c>
      <c r="B636" s="10" t="s">
        <v>4136</v>
      </c>
      <c r="C636" s="11" t="s">
        <v>4137</v>
      </c>
      <c r="D636" s="21" t="s">
        <v>109</v>
      </c>
      <c r="E636" s="11" t="s">
        <v>98</v>
      </c>
      <c r="F636" s="13">
        <v>222</v>
      </c>
      <c r="G636" s="24" t="s">
        <v>85</v>
      </c>
      <c r="H636" s="11" t="s">
        <v>129</v>
      </c>
      <c r="I636" s="15" t="s">
        <v>4138</v>
      </c>
      <c r="J636" s="10" t="s">
        <v>4139</v>
      </c>
      <c r="K636" s="11"/>
      <c r="L636" s="9"/>
      <c r="M636" s="10"/>
      <c r="N636" s="22"/>
      <c r="O636" s="17"/>
      <c r="P636" s="17"/>
      <c r="Q636" s="18" t="s">
        <v>78</v>
      </c>
      <c r="R636" s="18" t="s">
        <v>79</v>
      </c>
      <c r="S636" s="18" t="s">
        <v>61</v>
      </c>
      <c r="T636" s="18" t="s">
        <v>62</v>
      </c>
      <c r="U636" s="19" t="s">
        <v>80</v>
      </c>
    </row>
    <row r="637" spans="1:21" ht="15.75" customHeight="1" x14ac:dyDescent="0.25">
      <c r="A637" s="27" t="s">
        <v>4140</v>
      </c>
      <c r="B637" s="28" t="s">
        <v>4141</v>
      </c>
      <c r="C637" s="29" t="s">
        <v>4142</v>
      </c>
      <c r="D637" s="37" t="s">
        <v>109</v>
      </c>
      <c r="E637" s="29" t="s">
        <v>47</v>
      </c>
      <c r="F637" s="31">
        <v>90.3</v>
      </c>
      <c r="G637" s="14" t="s">
        <v>119</v>
      </c>
      <c r="H637" s="29" t="s">
        <v>48</v>
      </c>
      <c r="I637" s="32" t="s">
        <v>4143</v>
      </c>
      <c r="J637" s="28" t="s">
        <v>4144</v>
      </c>
      <c r="K637" s="29" t="s">
        <v>4145</v>
      </c>
      <c r="L637" s="27" t="s">
        <v>158</v>
      </c>
      <c r="M637" s="28" t="s">
        <v>159</v>
      </c>
      <c r="N637" s="38"/>
      <c r="O637" s="34"/>
      <c r="P637" s="34"/>
      <c r="Q637" s="35" t="s">
        <v>78</v>
      </c>
      <c r="R637" s="35" t="s">
        <v>79</v>
      </c>
      <c r="S637" s="35" t="s">
        <v>61</v>
      </c>
      <c r="T637" s="35" t="s">
        <v>62</v>
      </c>
      <c r="U637" s="36" t="s">
        <v>80</v>
      </c>
    </row>
    <row r="638" spans="1:21" ht="15.75" customHeight="1" x14ac:dyDescent="0.25">
      <c r="A638" s="9" t="s">
        <v>4146</v>
      </c>
      <c r="B638" s="10" t="s">
        <v>4147</v>
      </c>
      <c r="C638" s="11" t="s">
        <v>4148</v>
      </c>
      <c r="D638" s="21" t="s">
        <v>109</v>
      </c>
      <c r="E638" s="11" t="s">
        <v>98</v>
      </c>
      <c r="F638" s="13">
        <v>167</v>
      </c>
      <c r="G638" s="24" t="s">
        <v>85</v>
      </c>
      <c r="H638" s="11" t="s">
        <v>86</v>
      </c>
      <c r="I638" s="15" t="s">
        <v>4149</v>
      </c>
      <c r="J638" s="10" t="s">
        <v>4150</v>
      </c>
      <c r="K638" s="11"/>
      <c r="L638" s="9"/>
      <c r="M638" s="10"/>
      <c r="N638" s="22"/>
      <c r="O638" s="17"/>
      <c r="P638" s="17"/>
      <c r="Q638" s="18" t="s">
        <v>78</v>
      </c>
      <c r="R638" s="18" t="s">
        <v>79</v>
      </c>
      <c r="S638" s="18" t="s">
        <v>61</v>
      </c>
      <c r="T638" s="18" t="s">
        <v>62</v>
      </c>
      <c r="U638" s="19" t="s">
        <v>80</v>
      </c>
    </row>
    <row r="639" spans="1:21" ht="15.75" customHeight="1" x14ac:dyDescent="0.25">
      <c r="A639" s="27" t="s">
        <v>4151</v>
      </c>
      <c r="B639" s="28" t="s">
        <v>4152</v>
      </c>
      <c r="C639" s="29" t="s">
        <v>4153</v>
      </c>
      <c r="D639" s="37" t="s">
        <v>109</v>
      </c>
      <c r="E639" s="29" t="s">
        <v>47</v>
      </c>
      <c r="F639" s="31">
        <v>135</v>
      </c>
      <c r="G639" s="25" t="s">
        <v>110</v>
      </c>
      <c r="H639" s="29" t="s">
        <v>330</v>
      </c>
      <c r="I639" s="32" t="s">
        <v>4154</v>
      </c>
      <c r="J639" s="28" t="s">
        <v>4155</v>
      </c>
      <c r="K639" s="29" t="s">
        <v>4156</v>
      </c>
      <c r="L639" s="27" t="s">
        <v>481</v>
      </c>
      <c r="M639" s="28" t="s">
        <v>482</v>
      </c>
      <c r="N639" s="38"/>
      <c r="O639" s="34"/>
      <c r="P639" s="34"/>
      <c r="Q639" s="35" t="s">
        <v>78</v>
      </c>
      <c r="R639" s="35" t="s">
        <v>79</v>
      </c>
      <c r="S639" s="35" t="s">
        <v>61</v>
      </c>
      <c r="T639" s="35" t="s">
        <v>62</v>
      </c>
      <c r="U639" s="36" t="s">
        <v>80</v>
      </c>
    </row>
    <row r="640" spans="1:21" ht="15.75" customHeight="1" x14ac:dyDescent="0.25">
      <c r="A640" s="9" t="s">
        <v>4157</v>
      </c>
      <c r="B640" s="10" t="s">
        <v>4158</v>
      </c>
      <c r="C640" s="11" t="s">
        <v>4159</v>
      </c>
      <c r="D640" s="12" t="s">
        <v>4160</v>
      </c>
      <c r="E640" s="11" t="s">
        <v>47</v>
      </c>
      <c r="F640" s="11" t="s">
        <v>4161</v>
      </c>
      <c r="G640" s="20" t="s">
        <v>119</v>
      </c>
      <c r="H640" s="11" t="s">
        <v>330</v>
      </c>
      <c r="I640" s="15" t="s">
        <v>4162</v>
      </c>
      <c r="J640" s="10" t="s">
        <v>4163</v>
      </c>
      <c r="K640" s="11" t="s">
        <v>132</v>
      </c>
      <c r="L640" s="9" t="s">
        <v>90</v>
      </c>
      <c r="M640" s="10" t="s">
        <v>91</v>
      </c>
      <c r="N640" s="16" t="s">
        <v>75</v>
      </c>
      <c r="O640" s="17" t="s">
        <v>124</v>
      </c>
      <c r="P640" s="17" t="s">
        <v>125</v>
      </c>
      <c r="Q640" s="18" t="s">
        <v>78</v>
      </c>
      <c r="R640" s="18" t="s">
        <v>79</v>
      </c>
      <c r="S640" s="18" t="s">
        <v>61</v>
      </c>
      <c r="T640" s="18" t="s">
        <v>62</v>
      </c>
      <c r="U640" s="19" t="s">
        <v>80</v>
      </c>
    </row>
    <row r="641" spans="1:21" ht="15.75" customHeight="1" x14ac:dyDescent="0.25">
      <c r="A641" s="27" t="s">
        <v>4164</v>
      </c>
      <c r="B641" s="28" t="s">
        <v>4165</v>
      </c>
      <c r="C641" s="29" t="s">
        <v>4166</v>
      </c>
      <c r="D641" s="37" t="s">
        <v>109</v>
      </c>
      <c r="E641" s="29" t="s">
        <v>67</v>
      </c>
      <c r="F641" s="31">
        <v>12</v>
      </c>
      <c r="G641" s="20" t="s">
        <v>68</v>
      </c>
      <c r="H641" s="29" t="s">
        <v>69</v>
      </c>
      <c r="I641" s="32" t="s">
        <v>4167</v>
      </c>
      <c r="J641" s="28" t="s">
        <v>4168</v>
      </c>
      <c r="K641" s="29" t="s">
        <v>4169</v>
      </c>
      <c r="L641" s="27" t="s">
        <v>140</v>
      </c>
      <c r="M641" s="28" t="s">
        <v>141</v>
      </c>
      <c r="N641" s="38"/>
      <c r="O641" s="34"/>
      <c r="P641" s="34"/>
      <c r="Q641" s="35" t="s">
        <v>78</v>
      </c>
      <c r="R641" s="35" t="s">
        <v>79</v>
      </c>
      <c r="S641" s="35" t="s">
        <v>61</v>
      </c>
      <c r="T641" s="35" t="s">
        <v>62</v>
      </c>
      <c r="U641" s="36" t="s">
        <v>80</v>
      </c>
    </row>
    <row r="642" spans="1:21" ht="15.75" customHeight="1" x14ac:dyDescent="0.25">
      <c r="A642" s="9" t="s">
        <v>4170</v>
      </c>
      <c r="B642" s="10" t="s">
        <v>4171</v>
      </c>
      <c r="C642" s="11" t="s">
        <v>4172</v>
      </c>
      <c r="D642" s="12" t="s">
        <v>4173</v>
      </c>
      <c r="E642" s="11" t="s">
        <v>47</v>
      </c>
      <c r="F642" s="13">
        <v>98.4</v>
      </c>
      <c r="G642" s="20" t="s">
        <v>119</v>
      </c>
      <c r="H642" s="11" t="s">
        <v>48</v>
      </c>
      <c r="I642" s="15" t="s">
        <v>4174</v>
      </c>
      <c r="J642" s="10" t="s">
        <v>4175</v>
      </c>
      <c r="K642" s="11" t="s">
        <v>4176</v>
      </c>
      <c r="L642" s="9" t="s">
        <v>158</v>
      </c>
      <c r="M642" s="10" t="s">
        <v>159</v>
      </c>
      <c r="N642" s="16" t="s">
        <v>75</v>
      </c>
      <c r="O642" s="17" t="s">
        <v>650</v>
      </c>
      <c r="P642" s="17" t="s">
        <v>651</v>
      </c>
      <c r="Q642" s="18" t="s">
        <v>78</v>
      </c>
      <c r="R642" s="18" t="s">
        <v>79</v>
      </c>
      <c r="S642" s="18" t="s">
        <v>61</v>
      </c>
      <c r="T642" s="18" t="s">
        <v>62</v>
      </c>
      <c r="U642" s="19" t="s">
        <v>80</v>
      </c>
    </row>
    <row r="643" spans="1:21" ht="15.75" customHeight="1" x14ac:dyDescent="0.25">
      <c r="A643" s="27" t="s">
        <v>4177</v>
      </c>
      <c r="B643" s="28" t="s">
        <v>4178</v>
      </c>
      <c r="C643" s="29" t="s">
        <v>4179</v>
      </c>
      <c r="D643" s="37" t="s">
        <v>109</v>
      </c>
      <c r="E643" s="29" t="s">
        <v>47</v>
      </c>
      <c r="F643" s="31">
        <v>90</v>
      </c>
      <c r="G643" s="14" t="s">
        <v>119</v>
      </c>
      <c r="H643" s="29" t="s">
        <v>48</v>
      </c>
      <c r="I643" s="32" t="s">
        <v>4180</v>
      </c>
      <c r="J643" s="28" t="s">
        <v>4181</v>
      </c>
      <c r="K643" s="29" t="s">
        <v>4176</v>
      </c>
      <c r="L643" s="27" t="s">
        <v>158</v>
      </c>
      <c r="M643" s="28" t="s">
        <v>159</v>
      </c>
      <c r="N643" s="38"/>
      <c r="O643" s="34"/>
      <c r="P643" s="34"/>
      <c r="Q643" s="35" t="s">
        <v>78</v>
      </c>
      <c r="R643" s="35" t="s">
        <v>79</v>
      </c>
      <c r="S643" s="35" t="s">
        <v>61</v>
      </c>
      <c r="T643" s="35" t="s">
        <v>62</v>
      </c>
      <c r="U643" s="36" t="s">
        <v>80</v>
      </c>
    </row>
    <row r="644" spans="1:21" ht="15.75" customHeight="1" x14ac:dyDescent="0.25">
      <c r="A644" s="9" t="s">
        <v>4182</v>
      </c>
      <c r="B644" s="10" t="s">
        <v>4183</v>
      </c>
      <c r="C644" s="11" t="s">
        <v>4184</v>
      </c>
      <c r="D644" s="21" t="s">
        <v>109</v>
      </c>
      <c r="E644" s="11" t="s">
        <v>98</v>
      </c>
      <c r="F644" s="13">
        <v>199</v>
      </c>
      <c r="G644" s="25" t="s">
        <v>110</v>
      </c>
      <c r="H644" s="11" t="s">
        <v>86</v>
      </c>
      <c r="I644" s="15" t="s">
        <v>4185</v>
      </c>
      <c r="J644" s="10" t="s">
        <v>4186</v>
      </c>
      <c r="K644" s="11" t="s">
        <v>4187</v>
      </c>
      <c r="L644" s="9" t="s">
        <v>481</v>
      </c>
      <c r="M644" s="10" t="s">
        <v>482</v>
      </c>
      <c r="N644" s="22"/>
      <c r="O644" s="17"/>
      <c r="P644" s="17"/>
      <c r="Q644" s="18" t="s">
        <v>78</v>
      </c>
      <c r="R644" s="18" t="s">
        <v>79</v>
      </c>
      <c r="S644" s="18" t="s">
        <v>61</v>
      </c>
      <c r="T644" s="18" t="s">
        <v>62</v>
      </c>
      <c r="U644" s="19" t="s">
        <v>80</v>
      </c>
    </row>
    <row r="645" spans="1:21" ht="15.75" customHeight="1" x14ac:dyDescent="0.25">
      <c r="A645" s="27" t="s">
        <v>4188</v>
      </c>
      <c r="B645" s="28" t="s">
        <v>4189</v>
      </c>
      <c r="C645" s="29" t="s">
        <v>4190</v>
      </c>
      <c r="D645" s="37" t="s">
        <v>109</v>
      </c>
      <c r="E645" s="29" t="s">
        <v>47</v>
      </c>
      <c r="F645" s="31">
        <v>198</v>
      </c>
      <c r="G645" s="24" t="s">
        <v>85</v>
      </c>
      <c r="H645" s="29" t="s">
        <v>86</v>
      </c>
      <c r="I645" s="32" t="s">
        <v>4191</v>
      </c>
      <c r="J645" s="28" t="s">
        <v>4192</v>
      </c>
      <c r="K645" s="29"/>
      <c r="L645" s="27"/>
      <c r="M645" s="28"/>
      <c r="N645" s="38"/>
      <c r="O645" s="34"/>
      <c r="P645" s="34"/>
      <c r="Q645" s="35" t="s">
        <v>78</v>
      </c>
      <c r="R645" s="35" t="s">
        <v>79</v>
      </c>
      <c r="S645" s="35" t="s">
        <v>61</v>
      </c>
      <c r="T645" s="35" t="s">
        <v>62</v>
      </c>
      <c r="U645" s="36" t="s">
        <v>80</v>
      </c>
    </row>
    <row r="646" spans="1:21" ht="15.75" customHeight="1" x14ac:dyDescent="0.25">
      <c r="A646" s="9" t="s">
        <v>4193</v>
      </c>
      <c r="B646" s="10" t="s">
        <v>4194</v>
      </c>
      <c r="C646" s="11" t="s">
        <v>4195</v>
      </c>
      <c r="D646" s="12" t="s">
        <v>4196</v>
      </c>
      <c r="E646" s="11" t="s">
        <v>98</v>
      </c>
      <c r="F646" s="11" t="s">
        <v>4197</v>
      </c>
      <c r="G646" s="20" t="s">
        <v>85</v>
      </c>
      <c r="H646" s="11" t="s">
        <v>120</v>
      </c>
      <c r="I646" s="15" t="s">
        <v>4198</v>
      </c>
      <c r="J646" s="10" t="s">
        <v>4199</v>
      </c>
      <c r="K646" s="11"/>
      <c r="L646" s="9"/>
      <c r="M646" s="10"/>
      <c r="N646" s="16" t="s">
        <v>75</v>
      </c>
      <c r="O646" s="17" t="s">
        <v>4200</v>
      </c>
      <c r="P646" s="17" t="s">
        <v>4201</v>
      </c>
      <c r="Q646" s="18" t="s">
        <v>78</v>
      </c>
      <c r="R646" s="18" t="s">
        <v>79</v>
      </c>
      <c r="S646" s="18" t="s">
        <v>61</v>
      </c>
      <c r="T646" s="18" t="s">
        <v>62</v>
      </c>
      <c r="U646" s="19" t="s">
        <v>80</v>
      </c>
    </row>
    <row r="647" spans="1:21" ht="15.75" customHeight="1" x14ac:dyDescent="0.25">
      <c r="A647" s="27" t="s">
        <v>4202</v>
      </c>
      <c r="B647" s="28" t="s">
        <v>4203</v>
      </c>
      <c r="C647" s="29" t="s">
        <v>4204</v>
      </c>
      <c r="D647" s="37" t="s">
        <v>109</v>
      </c>
      <c r="E647" s="29" t="s">
        <v>98</v>
      </c>
      <c r="F647" s="29" t="s">
        <v>4205</v>
      </c>
      <c r="G647" s="25" t="s">
        <v>110</v>
      </c>
      <c r="H647" s="29" t="s">
        <v>100</v>
      </c>
      <c r="I647" s="32" t="s">
        <v>4206</v>
      </c>
      <c r="J647" s="28" t="s">
        <v>4207</v>
      </c>
      <c r="K647" s="29" t="s">
        <v>4208</v>
      </c>
      <c r="L647" s="27" t="s">
        <v>90</v>
      </c>
      <c r="M647" s="28" t="s">
        <v>91</v>
      </c>
      <c r="N647" s="38"/>
      <c r="O647" s="34"/>
      <c r="P647" s="34"/>
      <c r="Q647" s="35" t="s">
        <v>78</v>
      </c>
      <c r="R647" s="35" t="s">
        <v>79</v>
      </c>
      <c r="S647" s="35" t="s">
        <v>61</v>
      </c>
      <c r="T647" s="35" t="s">
        <v>62</v>
      </c>
      <c r="U647" s="36" t="s">
        <v>80</v>
      </c>
    </row>
    <row r="648" spans="1:21" ht="15.75" customHeight="1" x14ac:dyDescent="0.25">
      <c r="A648" s="9" t="s">
        <v>4209</v>
      </c>
      <c r="B648" s="10" t="s">
        <v>4210</v>
      </c>
      <c r="C648" s="11" t="s">
        <v>4211</v>
      </c>
      <c r="D648" s="12" t="s">
        <v>4212</v>
      </c>
      <c r="E648" s="11"/>
      <c r="F648" s="13">
        <v>175</v>
      </c>
      <c r="G648" s="20" t="s">
        <v>119</v>
      </c>
      <c r="H648" s="11" t="s">
        <v>86</v>
      </c>
      <c r="I648" s="15" t="s">
        <v>4213</v>
      </c>
      <c r="J648" s="10" t="s">
        <v>4214</v>
      </c>
      <c r="K648" s="11" t="s">
        <v>4215</v>
      </c>
      <c r="L648" s="9" t="s">
        <v>158</v>
      </c>
      <c r="M648" s="10" t="s">
        <v>159</v>
      </c>
      <c r="N648" s="16" t="s">
        <v>75</v>
      </c>
      <c r="O648" s="17" t="s">
        <v>650</v>
      </c>
      <c r="P648" s="17" t="s">
        <v>651</v>
      </c>
      <c r="Q648" s="18" t="s">
        <v>78</v>
      </c>
      <c r="R648" s="18" t="s">
        <v>79</v>
      </c>
      <c r="S648" s="18" t="s">
        <v>61</v>
      </c>
      <c r="T648" s="18" t="s">
        <v>62</v>
      </c>
      <c r="U648" s="19" t="s">
        <v>80</v>
      </c>
    </row>
    <row r="649" spans="1:21" ht="15.75" customHeight="1" x14ac:dyDescent="0.25">
      <c r="A649" s="27" t="s">
        <v>4216</v>
      </c>
      <c r="B649" s="28" t="s">
        <v>4217</v>
      </c>
      <c r="C649" s="29" t="s">
        <v>4218</v>
      </c>
      <c r="D649" s="30" t="s">
        <v>4219</v>
      </c>
      <c r="E649" s="29" t="s">
        <v>47</v>
      </c>
      <c r="F649" s="31">
        <v>32</v>
      </c>
      <c r="G649" s="14" t="s">
        <v>119</v>
      </c>
      <c r="H649" s="29" t="s">
        <v>69</v>
      </c>
      <c r="I649" s="32" t="s">
        <v>4220</v>
      </c>
      <c r="J649" s="28" t="s">
        <v>4221</v>
      </c>
      <c r="K649" s="29" t="s">
        <v>4222</v>
      </c>
      <c r="L649" s="27" t="s">
        <v>158</v>
      </c>
      <c r="M649" s="28" t="s">
        <v>159</v>
      </c>
      <c r="N649" s="33" t="s">
        <v>75</v>
      </c>
      <c r="O649" s="34" t="s">
        <v>712</v>
      </c>
      <c r="P649" s="34" t="s">
        <v>713</v>
      </c>
      <c r="Q649" s="35" t="s">
        <v>78</v>
      </c>
      <c r="R649" s="35" t="s">
        <v>79</v>
      </c>
      <c r="S649" s="35" t="s">
        <v>61</v>
      </c>
      <c r="T649" s="35" t="s">
        <v>62</v>
      </c>
      <c r="U649" s="36" t="s">
        <v>80</v>
      </c>
    </row>
    <row r="650" spans="1:21" ht="15.75" customHeight="1" x14ac:dyDescent="0.25">
      <c r="A650" s="9" t="s">
        <v>4223</v>
      </c>
      <c r="B650" s="10" t="s">
        <v>4224</v>
      </c>
      <c r="C650" s="11" t="s">
        <v>4225</v>
      </c>
      <c r="D650" s="21" t="s">
        <v>109</v>
      </c>
      <c r="E650" s="11" t="s">
        <v>47</v>
      </c>
      <c r="F650" s="13">
        <v>132</v>
      </c>
      <c r="G650" s="14" t="s">
        <v>119</v>
      </c>
      <c r="H650" s="11" t="s">
        <v>330</v>
      </c>
      <c r="I650" s="15" t="s">
        <v>4226</v>
      </c>
      <c r="J650" s="10" t="s">
        <v>4227</v>
      </c>
      <c r="K650" s="11" t="s">
        <v>4228</v>
      </c>
      <c r="L650" s="9" t="s">
        <v>158</v>
      </c>
      <c r="M650" s="10" t="s">
        <v>159</v>
      </c>
      <c r="N650" s="22"/>
      <c r="O650" s="17"/>
      <c r="P650" s="17"/>
      <c r="Q650" s="18" t="s">
        <v>78</v>
      </c>
      <c r="R650" s="18" t="s">
        <v>79</v>
      </c>
      <c r="S650" s="18" t="s">
        <v>61</v>
      </c>
      <c r="T650" s="18" t="s">
        <v>62</v>
      </c>
      <c r="U650" s="19" t="s">
        <v>80</v>
      </c>
    </row>
    <row r="651" spans="1:21" ht="15.75" customHeight="1" x14ac:dyDescent="0.25">
      <c r="A651" s="27" t="s">
        <v>4229</v>
      </c>
      <c r="B651" s="28" t="s">
        <v>4230</v>
      </c>
      <c r="C651" s="29" t="s">
        <v>4231</v>
      </c>
      <c r="D651" s="30" t="s">
        <v>4232</v>
      </c>
      <c r="E651" s="29" t="s">
        <v>98</v>
      </c>
      <c r="F651" s="31">
        <v>218</v>
      </c>
      <c r="G651" s="20" t="s">
        <v>85</v>
      </c>
      <c r="H651" s="29" t="s">
        <v>129</v>
      </c>
      <c r="I651" s="32" t="s">
        <v>4233</v>
      </c>
      <c r="J651" s="28" t="s">
        <v>4234</v>
      </c>
      <c r="K651" s="29" t="s">
        <v>4235</v>
      </c>
      <c r="L651" s="27" t="s">
        <v>1698</v>
      </c>
      <c r="M651" s="28" t="s">
        <v>1699</v>
      </c>
      <c r="N651" s="39" t="s">
        <v>179</v>
      </c>
      <c r="O651" s="34" t="s">
        <v>650</v>
      </c>
      <c r="P651" s="34" t="s">
        <v>651</v>
      </c>
      <c r="Q651" s="35" t="s">
        <v>78</v>
      </c>
      <c r="R651" s="35" t="s">
        <v>79</v>
      </c>
      <c r="S651" s="35" t="s">
        <v>61</v>
      </c>
      <c r="T651" s="35" t="s">
        <v>62</v>
      </c>
      <c r="U651" s="36" t="s">
        <v>80</v>
      </c>
    </row>
    <row r="652" spans="1:21" ht="15.75" customHeight="1" x14ac:dyDescent="0.25">
      <c r="A652" s="9" t="s">
        <v>4236</v>
      </c>
      <c r="B652" s="10" t="s">
        <v>4237</v>
      </c>
      <c r="C652" s="11" t="s">
        <v>4238</v>
      </c>
      <c r="D652" s="21" t="s">
        <v>109</v>
      </c>
      <c r="E652" s="11" t="s">
        <v>98</v>
      </c>
      <c r="F652" s="11" t="s">
        <v>3307</v>
      </c>
      <c r="G652" s="24" t="s">
        <v>85</v>
      </c>
      <c r="H652" s="11" t="s">
        <v>120</v>
      </c>
      <c r="I652" s="15" t="s">
        <v>4239</v>
      </c>
      <c r="J652" s="10" t="s">
        <v>4240</v>
      </c>
      <c r="K652" s="11"/>
      <c r="L652" s="9"/>
      <c r="M652" s="10"/>
      <c r="N652" s="22"/>
      <c r="O652" s="17"/>
      <c r="P652" s="17"/>
      <c r="Q652" s="18" t="s">
        <v>78</v>
      </c>
      <c r="R652" s="18" t="s">
        <v>79</v>
      </c>
      <c r="S652" s="18" t="s">
        <v>61</v>
      </c>
      <c r="T652" s="18" t="s">
        <v>62</v>
      </c>
      <c r="U652" s="19" t="s">
        <v>80</v>
      </c>
    </row>
    <row r="653" spans="1:21" ht="15.75" customHeight="1" x14ac:dyDescent="0.25">
      <c r="A653" s="27" t="s">
        <v>4241</v>
      </c>
      <c r="B653" s="28" t="s">
        <v>4242</v>
      </c>
      <c r="C653" s="29" t="s">
        <v>4243</v>
      </c>
      <c r="D653" s="30" t="s">
        <v>4244</v>
      </c>
      <c r="E653" s="29" t="s">
        <v>98</v>
      </c>
      <c r="F653" s="31">
        <v>286</v>
      </c>
      <c r="G653" s="26" t="s">
        <v>119</v>
      </c>
      <c r="H653" s="29" t="s">
        <v>129</v>
      </c>
      <c r="I653" s="32" t="s">
        <v>4245</v>
      </c>
      <c r="J653" s="28" t="s">
        <v>4246</v>
      </c>
      <c r="K653" s="29" t="s">
        <v>332</v>
      </c>
      <c r="L653" s="27" t="s">
        <v>197</v>
      </c>
      <c r="M653" s="28" t="s">
        <v>198</v>
      </c>
      <c r="N653" s="39" t="s">
        <v>179</v>
      </c>
      <c r="O653" s="34" t="s">
        <v>934</v>
      </c>
      <c r="P653" s="34" t="s">
        <v>935</v>
      </c>
      <c r="Q653" s="35" t="s">
        <v>78</v>
      </c>
      <c r="R653" s="35" t="s">
        <v>79</v>
      </c>
      <c r="S653" s="35" t="s">
        <v>61</v>
      </c>
      <c r="T653" s="35" t="s">
        <v>62</v>
      </c>
      <c r="U653" s="36" t="s">
        <v>80</v>
      </c>
    </row>
    <row r="654" spans="1:21" ht="15.75" customHeight="1" x14ac:dyDescent="0.25">
      <c r="A654" s="9" t="s">
        <v>4247</v>
      </c>
      <c r="B654" s="10" t="s">
        <v>4248</v>
      </c>
      <c r="C654" s="11" t="s">
        <v>4249</v>
      </c>
      <c r="D654" s="21" t="s">
        <v>109</v>
      </c>
      <c r="E654" s="11" t="s">
        <v>98</v>
      </c>
      <c r="F654" s="13">
        <v>304.5</v>
      </c>
      <c r="G654" s="25" t="s">
        <v>110</v>
      </c>
      <c r="H654" s="11" t="s">
        <v>129</v>
      </c>
      <c r="I654" s="15" t="s">
        <v>4250</v>
      </c>
      <c r="J654" s="10" t="s">
        <v>4251</v>
      </c>
      <c r="K654" s="11" t="s">
        <v>4252</v>
      </c>
      <c r="L654" s="9" t="s">
        <v>90</v>
      </c>
      <c r="M654" s="10" t="s">
        <v>91</v>
      </c>
      <c r="N654" s="22"/>
      <c r="O654" s="17"/>
      <c r="P654" s="17"/>
      <c r="Q654" s="18" t="s">
        <v>78</v>
      </c>
      <c r="R654" s="18" t="s">
        <v>79</v>
      </c>
      <c r="S654" s="18" t="s">
        <v>61</v>
      </c>
      <c r="T654" s="18" t="s">
        <v>62</v>
      </c>
      <c r="U654" s="19" t="s">
        <v>80</v>
      </c>
    </row>
    <row r="655" spans="1:21" ht="15.75" customHeight="1" x14ac:dyDescent="0.25">
      <c r="A655" s="27" t="s">
        <v>4253</v>
      </c>
      <c r="B655" s="28" t="s">
        <v>4254</v>
      </c>
      <c r="C655" s="29" t="s">
        <v>4255</v>
      </c>
      <c r="D655" s="30" t="s">
        <v>1792</v>
      </c>
      <c r="E655" s="29" t="s">
        <v>98</v>
      </c>
      <c r="F655" s="31">
        <v>1625</v>
      </c>
      <c r="G655" s="20" t="s">
        <v>119</v>
      </c>
      <c r="H655" s="29" t="s">
        <v>129</v>
      </c>
      <c r="I655" s="32" t="s">
        <v>4256</v>
      </c>
      <c r="J655" s="28" t="s">
        <v>4257</v>
      </c>
      <c r="K655" s="29" t="s">
        <v>4258</v>
      </c>
      <c r="L655" s="27" t="s">
        <v>90</v>
      </c>
      <c r="M655" s="28" t="s">
        <v>91</v>
      </c>
      <c r="N655" s="33" t="s">
        <v>75</v>
      </c>
      <c r="O655" s="34" t="s">
        <v>1020</v>
      </c>
      <c r="P655" s="34" t="s">
        <v>1021</v>
      </c>
      <c r="Q655" s="35" t="s">
        <v>78</v>
      </c>
      <c r="R655" s="35" t="s">
        <v>79</v>
      </c>
      <c r="S655" s="35" t="s">
        <v>61</v>
      </c>
      <c r="T655" s="35" t="s">
        <v>62</v>
      </c>
      <c r="U655" s="36" t="s">
        <v>80</v>
      </c>
    </row>
    <row r="656" spans="1:21" ht="15.75" customHeight="1" x14ac:dyDescent="0.25">
      <c r="A656" s="9" t="s">
        <v>4259</v>
      </c>
      <c r="B656" s="10" t="s">
        <v>4260</v>
      </c>
      <c r="C656" s="11" t="s">
        <v>4261</v>
      </c>
      <c r="D656" s="12" t="s">
        <v>4262</v>
      </c>
      <c r="E656" s="11" t="s">
        <v>98</v>
      </c>
      <c r="F656" s="11"/>
      <c r="G656" s="20" t="s">
        <v>85</v>
      </c>
      <c r="H656" s="11" t="s">
        <v>120</v>
      </c>
      <c r="I656" s="15" t="s">
        <v>4263</v>
      </c>
      <c r="J656" s="10" t="s">
        <v>4264</v>
      </c>
      <c r="K656" s="11" t="s">
        <v>4265</v>
      </c>
      <c r="L656" s="9" t="s">
        <v>1203</v>
      </c>
      <c r="M656" s="10" t="s">
        <v>1204</v>
      </c>
      <c r="N656" s="16" t="s">
        <v>75</v>
      </c>
      <c r="O656" s="17" t="s">
        <v>4266</v>
      </c>
      <c r="P656" s="17" t="s">
        <v>4267</v>
      </c>
      <c r="Q656" s="18" t="s">
        <v>78</v>
      </c>
      <c r="R656" s="18" t="s">
        <v>79</v>
      </c>
      <c r="S656" s="18" t="s">
        <v>61</v>
      </c>
      <c r="T656" s="18" t="s">
        <v>62</v>
      </c>
      <c r="U656" s="19" t="s">
        <v>80</v>
      </c>
    </row>
    <row r="657" spans="1:21" ht="15.75" customHeight="1" x14ac:dyDescent="0.25">
      <c r="A657" s="27" t="s">
        <v>4268</v>
      </c>
      <c r="B657" s="28" t="s">
        <v>4269</v>
      </c>
      <c r="C657" s="29" t="s">
        <v>4270</v>
      </c>
      <c r="D657" s="37" t="s">
        <v>109</v>
      </c>
      <c r="E657" s="29" t="s">
        <v>47</v>
      </c>
      <c r="F657" s="31">
        <v>114</v>
      </c>
      <c r="G657" s="25" t="s">
        <v>110</v>
      </c>
      <c r="H657" s="29" t="s">
        <v>330</v>
      </c>
      <c r="I657" s="32" t="s">
        <v>4271</v>
      </c>
      <c r="J657" s="28" t="s">
        <v>4272</v>
      </c>
      <c r="K657" s="29" t="s">
        <v>4273</v>
      </c>
      <c r="L657" s="27" t="s">
        <v>90</v>
      </c>
      <c r="M657" s="28" t="s">
        <v>91</v>
      </c>
      <c r="N657" s="38"/>
      <c r="O657" s="34"/>
      <c r="P657" s="34"/>
      <c r="Q657" s="35" t="s">
        <v>78</v>
      </c>
      <c r="R657" s="35" t="s">
        <v>79</v>
      </c>
      <c r="S657" s="35" t="s">
        <v>61</v>
      </c>
      <c r="T657" s="35" t="s">
        <v>62</v>
      </c>
      <c r="U657" s="36" t="s">
        <v>80</v>
      </c>
    </row>
    <row r="658" spans="1:21" ht="15.75" customHeight="1" x14ac:dyDescent="0.25">
      <c r="A658" s="9" t="s">
        <v>4274</v>
      </c>
      <c r="B658" s="10" t="s">
        <v>4275</v>
      </c>
      <c r="C658" s="11" t="s">
        <v>4276</v>
      </c>
      <c r="D658" s="21" t="s">
        <v>109</v>
      </c>
      <c r="E658" s="11" t="s">
        <v>1264</v>
      </c>
      <c r="F658" s="11"/>
      <c r="G658" s="24" t="s">
        <v>85</v>
      </c>
      <c r="H658" s="11" t="s">
        <v>100</v>
      </c>
      <c r="I658" s="15" t="s">
        <v>4277</v>
      </c>
      <c r="J658" s="10" t="s">
        <v>4278</v>
      </c>
      <c r="K658" s="11"/>
      <c r="L658" s="9"/>
      <c r="M658" s="10"/>
      <c r="N658" s="22"/>
      <c r="O658" s="17"/>
      <c r="P658" s="17"/>
      <c r="Q658" s="18" t="s">
        <v>78</v>
      </c>
      <c r="R658" s="18" t="s">
        <v>79</v>
      </c>
      <c r="S658" s="18" t="s">
        <v>61</v>
      </c>
      <c r="T658" s="18" t="s">
        <v>62</v>
      </c>
      <c r="U658" s="19" t="s">
        <v>80</v>
      </c>
    </row>
    <row r="659" spans="1:21" ht="15.75" customHeight="1" x14ac:dyDescent="0.25">
      <c r="A659" s="27" t="s">
        <v>4279</v>
      </c>
      <c r="B659" s="28" t="s">
        <v>4280</v>
      </c>
      <c r="C659" s="29" t="s">
        <v>4281</v>
      </c>
      <c r="D659" s="37" t="s">
        <v>109</v>
      </c>
      <c r="E659" s="29" t="s">
        <v>1264</v>
      </c>
      <c r="F659" s="29"/>
      <c r="G659" s="24" t="s">
        <v>85</v>
      </c>
      <c r="H659" s="29" t="s">
        <v>100</v>
      </c>
      <c r="I659" s="32" t="s">
        <v>4282</v>
      </c>
      <c r="J659" s="28" t="s">
        <v>4283</v>
      </c>
      <c r="K659" s="29"/>
      <c r="L659" s="27"/>
      <c r="M659" s="28"/>
      <c r="N659" s="38"/>
      <c r="O659" s="34"/>
      <c r="P659" s="34"/>
      <c r="Q659" s="35" t="s">
        <v>78</v>
      </c>
      <c r="R659" s="35" t="s">
        <v>79</v>
      </c>
      <c r="S659" s="35" t="s">
        <v>61</v>
      </c>
      <c r="T659" s="35" t="s">
        <v>62</v>
      </c>
      <c r="U659" s="36" t="s">
        <v>80</v>
      </c>
    </row>
    <row r="660" spans="1:21" ht="15.75" customHeight="1" x14ac:dyDescent="0.25">
      <c r="A660" s="9" t="s">
        <v>4284</v>
      </c>
      <c r="B660" s="10" t="s">
        <v>4285</v>
      </c>
      <c r="C660" s="11" t="s">
        <v>4286</v>
      </c>
      <c r="D660" s="21" t="s">
        <v>109</v>
      </c>
      <c r="E660" s="11" t="s">
        <v>98</v>
      </c>
      <c r="F660" s="13">
        <v>243</v>
      </c>
      <c r="G660" s="24" t="s">
        <v>85</v>
      </c>
      <c r="H660" s="11" t="s">
        <v>129</v>
      </c>
      <c r="I660" s="15" t="s">
        <v>4287</v>
      </c>
      <c r="J660" s="10" t="s">
        <v>4288</v>
      </c>
      <c r="K660" s="11"/>
      <c r="L660" s="9"/>
      <c r="M660" s="10"/>
      <c r="N660" s="22"/>
      <c r="O660" s="17"/>
      <c r="P660" s="17"/>
      <c r="Q660" s="18" t="s">
        <v>78</v>
      </c>
      <c r="R660" s="18" t="s">
        <v>79</v>
      </c>
      <c r="S660" s="18" t="s">
        <v>61</v>
      </c>
      <c r="T660" s="18" t="s">
        <v>62</v>
      </c>
      <c r="U660" s="19" t="s">
        <v>80</v>
      </c>
    </row>
    <row r="661" spans="1:21" ht="15.75" customHeight="1" x14ac:dyDescent="0.25">
      <c r="A661" s="27" t="s">
        <v>4289</v>
      </c>
      <c r="B661" s="28" t="s">
        <v>4290</v>
      </c>
      <c r="C661" s="29" t="s">
        <v>4291</v>
      </c>
      <c r="D661" s="37" t="s">
        <v>109</v>
      </c>
      <c r="E661" s="29" t="s">
        <v>47</v>
      </c>
      <c r="F661" s="31">
        <v>119</v>
      </c>
      <c r="G661" s="14" t="s">
        <v>119</v>
      </c>
      <c r="H661" s="29" t="s">
        <v>330</v>
      </c>
      <c r="I661" s="32" t="s">
        <v>4292</v>
      </c>
      <c r="J661" s="28" t="s">
        <v>4293</v>
      </c>
      <c r="K661" s="29" t="s">
        <v>4294</v>
      </c>
      <c r="L661" s="27" t="s">
        <v>158</v>
      </c>
      <c r="M661" s="28" t="s">
        <v>159</v>
      </c>
      <c r="N661" s="38"/>
      <c r="O661" s="34"/>
      <c r="P661" s="34"/>
      <c r="Q661" s="35" t="s">
        <v>78</v>
      </c>
      <c r="R661" s="35" t="s">
        <v>79</v>
      </c>
      <c r="S661" s="35" t="s">
        <v>61</v>
      </c>
      <c r="T661" s="35" t="s">
        <v>62</v>
      </c>
      <c r="U661" s="36" t="s">
        <v>80</v>
      </c>
    </row>
    <row r="662" spans="1:21" ht="15.75" customHeight="1" x14ac:dyDescent="0.25">
      <c r="A662" s="9" t="s">
        <v>4295</v>
      </c>
      <c r="B662" s="10" t="s">
        <v>4296</v>
      </c>
      <c r="C662" s="11" t="s">
        <v>4297</v>
      </c>
      <c r="D662" s="12" t="s">
        <v>4298</v>
      </c>
      <c r="E662" s="11" t="s">
        <v>98</v>
      </c>
      <c r="F662" s="11"/>
      <c r="G662" s="20" t="s">
        <v>119</v>
      </c>
      <c r="H662" s="11" t="s">
        <v>100</v>
      </c>
      <c r="I662" s="15" t="s">
        <v>4299</v>
      </c>
      <c r="J662" s="10" t="s">
        <v>4300</v>
      </c>
      <c r="K662" s="11" t="s">
        <v>2694</v>
      </c>
      <c r="L662" s="9" t="s">
        <v>90</v>
      </c>
      <c r="M662" s="10" t="s">
        <v>91</v>
      </c>
      <c r="N662" s="16" t="s">
        <v>75</v>
      </c>
      <c r="O662" s="17" t="s">
        <v>92</v>
      </c>
      <c r="P662" s="17" t="s">
        <v>93</v>
      </c>
      <c r="Q662" s="18" t="s">
        <v>78</v>
      </c>
      <c r="R662" s="18" t="s">
        <v>79</v>
      </c>
      <c r="S662" s="18" t="s">
        <v>61</v>
      </c>
      <c r="T662" s="18" t="s">
        <v>62</v>
      </c>
      <c r="U662" s="19" t="s">
        <v>80</v>
      </c>
    </row>
    <row r="663" spans="1:21" ht="15.75" customHeight="1" x14ac:dyDescent="0.25">
      <c r="A663" s="27" t="s">
        <v>4301</v>
      </c>
      <c r="B663" s="28" t="s">
        <v>4302</v>
      </c>
      <c r="C663" s="29" t="s">
        <v>4303</v>
      </c>
      <c r="D663" s="37" t="s">
        <v>109</v>
      </c>
      <c r="E663" s="29" t="s">
        <v>98</v>
      </c>
      <c r="F663" s="29" t="s">
        <v>4304</v>
      </c>
      <c r="G663" s="25" t="s">
        <v>110</v>
      </c>
      <c r="H663" s="29" t="s">
        <v>100</v>
      </c>
      <c r="I663" s="32" t="s">
        <v>4305</v>
      </c>
      <c r="J663" s="28" t="s">
        <v>4306</v>
      </c>
      <c r="K663" s="29" t="s">
        <v>1655</v>
      </c>
      <c r="L663" s="27" t="s">
        <v>90</v>
      </c>
      <c r="M663" s="28" t="s">
        <v>91</v>
      </c>
      <c r="N663" s="38"/>
      <c r="O663" s="34"/>
      <c r="P663" s="34"/>
      <c r="Q663" s="35" t="s">
        <v>78</v>
      </c>
      <c r="R663" s="35" t="s">
        <v>79</v>
      </c>
      <c r="S663" s="35" t="s">
        <v>61</v>
      </c>
      <c r="T663" s="35" t="s">
        <v>62</v>
      </c>
      <c r="U663" s="36" t="s">
        <v>80</v>
      </c>
    </row>
    <row r="664" spans="1:21" ht="15.75" customHeight="1" x14ac:dyDescent="0.25">
      <c r="A664" s="9" t="s">
        <v>4307</v>
      </c>
      <c r="B664" s="10" t="s">
        <v>4308</v>
      </c>
      <c r="C664" s="11" t="s">
        <v>4309</v>
      </c>
      <c r="D664" s="12" t="s">
        <v>4310</v>
      </c>
      <c r="E664" s="11" t="s">
        <v>98</v>
      </c>
      <c r="F664" s="13">
        <v>260</v>
      </c>
      <c r="G664" s="20" t="s">
        <v>85</v>
      </c>
      <c r="H664" s="11" t="s">
        <v>129</v>
      </c>
      <c r="I664" s="15" t="s">
        <v>4311</v>
      </c>
      <c r="J664" s="10" t="s">
        <v>4312</v>
      </c>
      <c r="K664" s="11"/>
      <c r="L664" s="9"/>
      <c r="M664" s="10"/>
      <c r="N664" s="23" t="s">
        <v>179</v>
      </c>
      <c r="O664" s="17" t="s">
        <v>292</v>
      </c>
      <c r="P664" s="17" t="s">
        <v>293</v>
      </c>
      <c r="Q664" s="18" t="s">
        <v>78</v>
      </c>
      <c r="R664" s="18" t="s">
        <v>79</v>
      </c>
      <c r="S664" s="18" t="s">
        <v>61</v>
      </c>
      <c r="T664" s="18" t="s">
        <v>62</v>
      </c>
      <c r="U664" s="19" t="s">
        <v>80</v>
      </c>
    </row>
    <row r="665" spans="1:21" ht="15.75" customHeight="1" x14ac:dyDescent="0.25">
      <c r="A665" s="27" t="s">
        <v>4313</v>
      </c>
      <c r="B665" s="28" t="s">
        <v>4314</v>
      </c>
      <c r="C665" s="29" t="s">
        <v>4315</v>
      </c>
      <c r="D665" s="30" t="s">
        <v>4316</v>
      </c>
      <c r="E665" s="29" t="s">
        <v>47</v>
      </c>
      <c r="F665" s="31">
        <v>156</v>
      </c>
      <c r="G665" s="20" t="s">
        <v>85</v>
      </c>
      <c r="H665" s="29" t="s">
        <v>86</v>
      </c>
      <c r="I665" s="32" t="s">
        <v>4317</v>
      </c>
      <c r="J665" s="28" t="s">
        <v>4318</v>
      </c>
      <c r="K665" s="29" t="s">
        <v>507</v>
      </c>
      <c r="L665" s="27" t="s">
        <v>90</v>
      </c>
      <c r="M665" s="28" t="s">
        <v>91</v>
      </c>
      <c r="N665" s="33" t="s">
        <v>75</v>
      </c>
      <c r="O665" s="34" t="s">
        <v>92</v>
      </c>
      <c r="P665" s="34" t="s">
        <v>93</v>
      </c>
      <c r="Q665" s="35" t="s">
        <v>78</v>
      </c>
      <c r="R665" s="35" t="s">
        <v>79</v>
      </c>
      <c r="S665" s="35" t="s">
        <v>61</v>
      </c>
      <c r="T665" s="35" t="s">
        <v>62</v>
      </c>
      <c r="U665" s="36" t="s">
        <v>80</v>
      </c>
    </row>
    <row r="666" spans="1:21" ht="15.75" customHeight="1" x14ac:dyDescent="0.25">
      <c r="A666" s="9" t="s">
        <v>4319</v>
      </c>
      <c r="B666" s="10" t="s">
        <v>4320</v>
      </c>
      <c r="C666" s="11" t="s">
        <v>4321</v>
      </c>
      <c r="D666" s="21" t="s">
        <v>109</v>
      </c>
      <c r="E666" s="11" t="s">
        <v>47</v>
      </c>
      <c r="F666" s="13">
        <v>157</v>
      </c>
      <c r="G666" s="14" t="s">
        <v>119</v>
      </c>
      <c r="H666" s="11" t="s">
        <v>86</v>
      </c>
      <c r="I666" s="15" t="s">
        <v>4322</v>
      </c>
      <c r="J666" s="10" t="s">
        <v>4323</v>
      </c>
      <c r="K666" s="11" t="s">
        <v>4324</v>
      </c>
      <c r="L666" s="9" t="s">
        <v>158</v>
      </c>
      <c r="M666" s="10" t="s">
        <v>159</v>
      </c>
      <c r="N666" s="22"/>
      <c r="O666" s="17"/>
      <c r="P666" s="17"/>
      <c r="Q666" s="18" t="s">
        <v>78</v>
      </c>
      <c r="R666" s="18" t="s">
        <v>79</v>
      </c>
      <c r="S666" s="18" t="s">
        <v>61</v>
      </c>
      <c r="T666" s="18" t="s">
        <v>62</v>
      </c>
      <c r="U666" s="19" t="s">
        <v>80</v>
      </c>
    </row>
    <row r="667" spans="1:21" ht="15.75" customHeight="1" x14ac:dyDescent="0.25">
      <c r="A667" s="27" t="s">
        <v>4325</v>
      </c>
      <c r="B667" s="28" t="s">
        <v>4326</v>
      </c>
      <c r="C667" s="29" t="s">
        <v>4327</v>
      </c>
      <c r="D667" s="37" t="s">
        <v>109</v>
      </c>
      <c r="E667" s="29" t="s">
        <v>67</v>
      </c>
      <c r="F667" s="31">
        <v>-28</v>
      </c>
      <c r="G667" s="20" t="s">
        <v>68</v>
      </c>
      <c r="H667" s="29" t="s">
        <v>69</v>
      </c>
      <c r="I667" s="32" t="s">
        <v>4328</v>
      </c>
      <c r="J667" s="28" t="s">
        <v>4329</v>
      </c>
      <c r="K667" s="29" t="s">
        <v>4330</v>
      </c>
      <c r="L667" s="27" t="s">
        <v>140</v>
      </c>
      <c r="M667" s="28" t="s">
        <v>141</v>
      </c>
      <c r="N667" s="38"/>
      <c r="O667" s="34"/>
      <c r="P667" s="34"/>
      <c r="Q667" s="35" t="s">
        <v>78</v>
      </c>
      <c r="R667" s="35" t="s">
        <v>79</v>
      </c>
      <c r="S667" s="35" t="s">
        <v>61</v>
      </c>
      <c r="T667" s="35" t="s">
        <v>62</v>
      </c>
      <c r="U667" s="36" t="s">
        <v>80</v>
      </c>
    </row>
    <row r="668" spans="1:21" ht="15.75" customHeight="1" x14ac:dyDescent="0.25">
      <c r="A668" s="9" t="s">
        <v>4331</v>
      </c>
      <c r="B668" s="10" t="s">
        <v>4332</v>
      </c>
      <c r="C668" s="11" t="s">
        <v>4333</v>
      </c>
      <c r="D668" s="21" t="s">
        <v>109</v>
      </c>
      <c r="E668" s="11" t="s">
        <v>47</v>
      </c>
      <c r="F668" s="13">
        <v>197.2</v>
      </c>
      <c r="G668" s="24" t="s">
        <v>85</v>
      </c>
      <c r="H668" s="11" t="s">
        <v>86</v>
      </c>
      <c r="I668" s="15" t="s">
        <v>4334</v>
      </c>
      <c r="J668" s="10" t="s">
        <v>4335</v>
      </c>
      <c r="K668" s="11"/>
      <c r="L668" s="9"/>
      <c r="M668" s="10"/>
      <c r="N668" s="22"/>
      <c r="O668" s="17"/>
      <c r="P668" s="17"/>
      <c r="Q668" s="18" t="s">
        <v>78</v>
      </c>
      <c r="R668" s="18" t="s">
        <v>79</v>
      </c>
      <c r="S668" s="18" t="s">
        <v>61</v>
      </c>
      <c r="T668" s="18" t="s">
        <v>62</v>
      </c>
      <c r="U668" s="19" t="s">
        <v>80</v>
      </c>
    </row>
    <row r="669" spans="1:21" ht="15.75" customHeight="1" x14ac:dyDescent="0.25">
      <c r="A669" s="27" t="s">
        <v>4336</v>
      </c>
      <c r="B669" s="28" t="s">
        <v>4337</v>
      </c>
      <c r="C669" s="29" t="s">
        <v>4338</v>
      </c>
      <c r="D669" s="37" t="s">
        <v>109</v>
      </c>
      <c r="E669" s="29" t="s">
        <v>67</v>
      </c>
      <c r="F669" s="31">
        <v>-83</v>
      </c>
      <c r="G669" s="14" t="s">
        <v>119</v>
      </c>
      <c r="H669" s="29" t="s">
        <v>69</v>
      </c>
      <c r="I669" s="32" t="s">
        <v>4339</v>
      </c>
      <c r="J669" s="28" t="s">
        <v>4340</v>
      </c>
      <c r="K669" s="29" t="s">
        <v>4341</v>
      </c>
      <c r="L669" s="27" t="s">
        <v>73</v>
      </c>
      <c r="M669" s="28" t="s">
        <v>74</v>
      </c>
      <c r="N669" s="38"/>
      <c r="O669" s="34"/>
      <c r="P669" s="34"/>
      <c r="Q669" s="35" t="s">
        <v>78</v>
      </c>
      <c r="R669" s="35" t="s">
        <v>79</v>
      </c>
      <c r="S669" s="35" t="s">
        <v>61</v>
      </c>
      <c r="T669" s="35" t="s">
        <v>62</v>
      </c>
      <c r="U669" s="36" t="s">
        <v>80</v>
      </c>
    </row>
    <row r="670" spans="1:21" ht="15.75" customHeight="1" x14ac:dyDescent="0.25">
      <c r="A670" s="9" t="s">
        <v>4342</v>
      </c>
      <c r="B670" s="10" t="s">
        <v>4343</v>
      </c>
      <c r="C670" s="11" t="s">
        <v>4344</v>
      </c>
      <c r="D670" s="12" t="s">
        <v>4345</v>
      </c>
      <c r="E670" s="11" t="s">
        <v>47</v>
      </c>
      <c r="F670" s="13">
        <v>141</v>
      </c>
      <c r="G670" s="20" t="s">
        <v>119</v>
      </c>
      <c r="H670" s="11" t="s">
        <v>330</v>
      </c>
      <c r="I670" s="15" t="s">
        <v>4346</v>
      </c>
      <c r="J670" s="10" t="s">
        <v>4347</v>
      </c>
      <c r="K670" s="11" t="s">
        <v>4348</v>
      </c>
      <c r="L670" s="9" t="s">
        <v>481</v>
      </c>
      <c r="M670" s="10" t="s">
        <v>482</v>
      </c>
      <c r="N670" s="16" t="s">
        <v>75</v>
      </c>
      <c r="O670" s="17" t="s">
        <v>2951</v>
      </c>
      <c r="P670" s="17" t="s">
        <v>2952</v>
      </c>
      <c r="Q670" s="18" t="s">
        <v>78</v>
      </c>
      <c r="R670" s="18" t="s">
        <v>79</v>
      </c>
      <c r="S670" s="18" t="s">
        <v>61</v>
      </c>
      <c r="T670" s="18" t="s">
        <v>62</v>
      </c>
      <c r="U670" s="19" t="s">
        <v>80</v>
      </c>
    </row>
    <row r="671" spans="1:21" ht="15.75" customHeight="1" x14ac:dyDescent="0.25">
      <c r="A671" s="27" t="s">
        <v>4349</v>
      </c>
      <c r="B671" s="28" t="s">
        <v>4350</v>
      </c>
      <c r="C671" s="29" t="s">
        <v>4351</v>
      </c>
      <c r="D671" s="30" t="s">
        <v>4352</v>
      </c>
      <c r="E671" s="29" t="s">
        <v>98</v>
      </c>
      <c r="F671" s="31">
        <v>336</v>
      </c>
      <c r="G671" s="20" t="s">
        <v>85</v>
      </c>
      <c r="H671" s="29" t="s">
        <v>129</v>
      </c>
      <c r="I671" s="32" t="s">
        <v>4353</v>
      </c>
      <c r="J671" s="28" t="s">
        <v>4354</v>
      </c>
      <c r="K671" s="29" t="s">
        <v>4355</v>
      </c>
      <c r="L671" s="27" t="s">
        <v>90</v>
      </c>
      <c r="M671" s="28" t="s">
        <v>91</v>
      </c>
      <c r="N671" s="33" t="s">
        <v>75</v>
      </c>
      <c r="O671" s="34" t="s">
        <v>92</v>
      </c>
      <c r="P671" s="34" t="s">
        <v>93</v>
      </c>
      <c r="Q671" s="35" t="s">
        <v>78</v>
      </c>
      <c r="R671" s="35" t="s">
        <v>79</v>
      </c>
      <c r="S671" s="35" t="s">
        <v>61</v>
      </c>
      <c r="T671" s="35" t="s">
        <v>62</v>
      </c>
      <c r="U671" s="36" t="s">
        <v>80</v>
      </c>
    </row>
    <row r="672" spans="1:21" ht="15.75" customHeight="1" x14ac:dyDescent="0.25">
      <c r="A672" s="9" t="s">
        <v>4356</v>
      </c>
      <c r="B672" s="10" t="s">
        <v>4357</v>
      </c>
      <c r="C672" s="11" t="s">
        <v>4358</v>
      </c>
      <c r="D672" s="12" t="s">
        <v>4359</v>
      </c>
      <c r="E672" s="11" t="s">
        <v>47</v>
      </c>
      <c r="F672" s="13">
        <v>234</v>
      </c>
      <c r="G672" s="20" t="s">
        <v>85</v>
      </c>
      <c r="H672" s="11" t="s">
        <v>129</v>
      </c>
      <c r="I672" s="15" t="s">
        <v>4360</v>
      </c>
      <c r="J672" s="10" t="s">
        <v>4361</v>
      </c>
      <c r="K672" s="11" t="s">
        <v>132</v>
      </c>
      <c r="L672" s="9" t="s">
        <v>90</v>
      </c>
      <c r="M672" s="10" t="s">
        <v>91</v>
      </c>
      <c r="N672" s="16" t="s">
        <v>75</v>
      </c>
      <c r="O672" s="17" t="s">
        <v>124</v>
      </c>
      <c r="P672" s="17" t="s">
        <v>125</v>
      </c>
      <c r="Q672" s="18" t="s">
        <v>78</v>
      </c>
      <c r="R672" s="18" t="s">
        <v>79</v>
      </c>
      <c r="S672" s="18" t="s">
        <v>61</v>
      </c>
      <c r="T672" s="18" t="s">
        <v>62</v>
      </c>
      <c r="U672" s="19" t="s">
        <v>80</v>
      </c>
    </row>
    <row r="673" spans="1:21" ht="15.75" customHeight="1" x14ac:dyDescent="0.25">
      <c r="A673" s="27" t="s">
        <v>4362</v>
      </c>
      <c r="B673" s="28" t="s">
        <v>4363</v>
      </c>
      <c r="C673" s="29" t="s">
        <v>4364</v>
      </c>
      <c r="D673" s="37" t="s">
        <v>109</v>
      </c>
      <c r="E673" s="29" t="s">
        <v>98</v>
      </c>
      <c r="F673" s="31">
        <v>300</v>
      </c>
      <c r="G673" s="25" t="s">
        <v>110</v>
      </c>
      <c r="H673" s="29" t="s">
        <v>129</v>
      </c>
      <c r="I673" s="32" t="s">
        <v>4365</v>
      </c>
      <c r="J673" s="28" t="s">
        <v>4366</v>
      </c>
      <c r="K673" s="29" t="s">
        <v>3053</v>
      </c>
      <c r="L673" s="27" t="s">
        <v>90</v>
      </c>
      <c r="M673" s="28" t="s">
        <v>91</v>
      </c>
      <c r="N673" s="38"/>
      <c r="O673" s="34"/>
      <c r="P673" s="34"/>
      <c r="Q673" s="35" t="s">
        <v>78</v>
      </c>
      <c r="R673" s="35" t="s">
        <v>79</v>
      </c>
      <c r="S673" s="35" t="s">
        <v>61</v>
      </c>
      <c r="T673" s="35" t="s">
        <v>62</v>
      </c>
      <c r="U673" s="36" t="s">
        <v>80</v>
      </c>
    </row>
    <row r="674" spans="1:21" ht="15.75" customHeight="1" x14ac:dyDescent="0.25">
      <c r="A674" s="9" t="s">
        <v>4367</v>
      </c>
      <c r="B674" s="10" t="s">
        <v>4368</v>
      </c>
      <c r="C674" s="11" t="s">
        <v>4369</v>
      </c>
      <c r="D674" s="21" t="s">
        <v>109</v>
      </c>
      <c r="E674" s="11" t="s">
        <v>98</v>
      </c>
      <c r="F674" s="13">
        <v>299</v>
      </c>
      <c r="G674" s="25" t="s">
        <v>110</v>
      </c>
      <c r="H674" s="11" t="s">
        <v>129</v>
      </c>
      <c r="I674" s="15" t="s">
        <v>4370</v>
      </c>
      <c r="J674" s="10" t="s">
        <v>4371</v>
      </c>
      <c r="K674" s="11" t="s">
        <v>3053</v>
      </c>
      <c r="L674" s="9" t="s">
        <v>90</v>
      </c>
      <c r="M674" s="10" t="s">
        <v>91</v>
      </c>
      <c r="N674" s="22"/>
      <c r="O674" s="17"/>
      <c r="P674" s="17"/>
      <c r="Q674" s="18" t="s">
        <v>78</v>
      </c>
      <c r="R674" s="18" t="s">
        <v>79</v>
      </c>
      <c r="S674" s="18" t="s">
        <v>61</v>
      </c>
      <c r="T674" s="18" t="s">
        <v>62</v>
      </c>
      <c r="U674" s="19" t="s">
        <v>80</v>
      </c>
    </row>
    <row r="675" spans="1:21" ht="15.75" customHeight="1" x14ac:dyDescent="0.25">
      <c r="A675" s="27" t="s">
        <v>4372</v>
      </c>
      <c r="B675" s="28" t="s">
        <v>4373</v>
      </c>
      <c r="C675" s="29" t="s">
        <v>4374</v>
      </c>
      <c r="D675" s="30" t="s">
        <v>2869</v>
      </c>
      <c r="E675" s="29" t="s">
        <v>67</v>
      </c>
      <c r="F675" s="31">
        <v>-87.7</v>
      </c>
      <c r="G675" s="20" t="s">
        <v>119</v>
      </c>
      <c r="H675" s="29" t="s">
        <v>69</v>
      </c>
      <c r="I675" s="32" t="s">
        <v>4375</v>
      </c>
      <c r="J675" s="28" t="s">
        <v>4376</v>
      </c>
      <c r="K675" s="29" t="s">
        <v>4377</v>
      </c>
      <c r="L675" s="27" t="s">
        <v>140</v>
      </c>
      <c r="M675" s="28" t="s">
        <v>141</v>
      </c>
      <c r="N675" s="33" t="s">
        <v>75</v>
      </c>
      <c r="O675" s="34" t="s">
        <v>4378</v>
      </c>
      <c r="P675" s="34" t="s">
        <v>4379</v>
      </c>
      <c r="Q675" s="35" t="s">
        <v>78</v>
      </c>
      <c r="R675" s="35" t="s">
        <v>79</v>
      </c>
      <c r="S675" s="35" t="s">
        <v>61</v>
      </c>
      <c r="T675" s="35" t="s">
        <v>62</v>
      </c>
      <c r="U675" s="36" t="s">
        <v>80</v>
      </c>
    </row>
    <row r="676" spans="1:21" ht="15.75" customHeight="1" x14ac:dyDescent="0.25">
      <c r="A676" s="9" t="s">
        <v>4380</v>
      </c>
      <c r="B676" s="10" t="s">
        <v>4381</v>
      </c>
      <c r="C676" s="11" t="s">
        <v>1909</v>
      </c>
      <c r="D676" s="12" t="s">
        <v>4382</v>
      </c>
      <c r="E676" s="11" t="s">
        <v>47</v>
      </c>
      <c r="F676" s="13">
        <v>98</v>
      </c>
      <c r="G676" s="20" t="s">
        <v>85</v>
      </c>
      <c r="H676" s="11" t="s">
        <v>48</v>
      </c>
      <c r="I676" s="15" t="s">
        <v>4383</v>
      </c>
      <c r="J676" s="10" t="s">
        <v>4384</v>
      </c>
      <c r="K676" s="11" t="s">
        <v>4385</v>
      </c>
      <c r="L676" s="9" t="s">
        <v>481</v>
      </c>
      <c r="M676" s="10" t="s">
        <v>482</v>
      </c>
      <c r="N676" s="16" t="s">
        <v>75</v>
      </c>
      <c r="O676" s="17" t="s">
        <v>591</v>
      </c>
      <c r="P676" s="17" t="s">
        <v>592</v>
      </c>
      <c r="Q676" s="18" t="s">
        <v>78</v>
      </c>
      <c r="R676" s="18" t="s">
        <v>79</v>
      </c>
      <c r="S676" s="18" t="s">
        <v>61</v>
      </c>
      <c r="T676" s="18" t="s">
        <v>62</v>
      </c>
      <c r="U676" s="19" t="s">
        <v>80</v>
      </c>
    </row>
    <row r="677" spans="1:21" ht="15.75" customHeight="1" x14ac:dyDescent="0.25">
      <c r="A677" s="27" t="s">
        <v>4386</v>
      </c>
      <c r="B677" s="28" t="s">
        <v>4387</v>
      </c>
      <c r="C677" s="29" t="s">
        <v>4388</v>
      </c>
      <c r="D677" s="37" t="s">
        <v>109</v>
      </c>
      <c r="E677" s="29" t="s">
        <v>47</v>
      </c>
      <c r="F677" s="31">
        <v>76</v>
      </c>
      <c r="G677" s="25" t="s">
        <v>110</v>
      </c>
      <c r="H677" s="29" t="s">
        <v>48</v>
      </c>
      <c r="I677" s="32" t="s">
        <v>4389</v>
      </c>
      <c r="J677" s="28" t="s">
        <v>4390</v>
      </c>
      <c r="K677" s="29" t="s">
        <v>4391</v>
      </c>
      <c r="L677" s="27" t="s">
        <v>90</v>
      </c>
      <c r="M677" s="28" t="s">
        <v>91</v>
      </c>
      <c r="N677" s="38"/>
      <c r="O677" s="34"/>
      <c r="P677" s="34"/>
      <c r="Q677" s="35" t="s">
        <v>78</v>
      </c>
      <c r="R677" s="35" t="s">
        <v>79</v>
      </c>
      <c r="S677" s="35" t="s">
        <v>61</v>
      </c>
      <c r="T677" s="35" t="s">
        <v>62</v>
      </c>
      <c r="U677" s="36" t="s">
        <v>80</v>
      </c>
    </row>
    <row r="678" spans="1:21" ht="15.75" customHeight="1" x14ac:dyDescent="0.25">
      <c r="A678" s="9" t="s">
        <v>4392</v>
      </c>
      <c r="B678" s="10" t="s">
        <v>4393</v>
      </c>
      <c r="C678" s="11" t="s">
        <v>4394</v>
      </c>
      <c r="D678" s="12" t="s">
        <v>790</v>
      </c>
      <c r="E678" s="11" t="s">
        <v>98</v>
      </c>
      <c r="F678" s="11"/>
      <c r="G678" s="14" t="s">
        <v>119</v>
      </c>
      <c r="H678" s="11" t="s">
        <v>100</v>
      </c>
      <c r="I678" s="15" t="s">
        <v>4395</v>
      </c>
      <c r="J678" s="10" t="s">
        <v>4396</v>
      </c>
      <c r="K678" s="11" t="s">
        <v>332</v>
      </c>
      <c r="L678" s="9" t="s">
        <v>197</v>
      </c>
      <c r="M678" s="10" t="s">
        <v>198</v>
      </c>
      <c r="N678" s="23" t="s">
        <v>179</v>
      </c>
      <c r="O678" s="17"/>
      <c r="P678" s="17"/>
      <c r="Q678" s="18" t="s">
        <v>78</v>
      </c>
      <c r="R678" s="18" t="s">
        <v>79</v>
      </c>
      <c r="S678" s="18" t="s">
        <v>61</v>
      </c>
      <c r="T678" s="18" t="s">
        <v>62</v>
      </c>
      <c r="U678" s="19" t="s">
        <v>80</v>
      </c>
    </row>
    <row r="679" spans="1:21" ht="15.75" customHeight="1" x14ac:dyDescent="0.25">
      <c r="A679" s="27" t="s">
        <v>4397</v>
      </c>
      <c r="B679" s="28" t="s">
        <v>4398</v>
      </c>
      <c r="C679" s="29" t="s">
        <v>4399</v>
      </c>
      <c r="D679" s="37" t="s">
        <v>109</v>
      </c>
      <c r="E679" s="29" t="s">
        <v>98</v>
      </c>
      <c r="F679" s="29" t="s">
        <v>99</v>
      </c>
      <c r="G679" s="25" t="s">
        <v>110</v>
      </c>
      <c r="H679" s="29" t="s">
        <v>120</v>
      </c>
      <c r="I679" s="32" t="s">
        <v>4400</v>
      </c>
      <c r="J679" s="28" t="s">
        <v>4401</v>
      </c>
      <c r="K679" s="29" t="s">
        <v>4402</v>
      </c>
      <c r="L679" s="27" t="s">
        <v>90</v>
      </c>
      <c r="M679" s="28" t="s">
        <v>91</v>
      </c>
      <c r="N679" s="38"/>
      <c r="O679" s="34"/>
      <c r="P679" s="34"/>
      <c r="Q679" s="35" t="s">
        <v>78</v>
      </c>
      <c r="R679" s="35" t="s">
        <v>79</v>
      </c>
      <c r="S679" s="35" t="s">
        <v>61</v>
      </c>
      <c r="T679" s="35" t="s">
        <v>62</v>
      </c>
      <c r="U679" s="36" t="s">
        <v>80</v>
      </c>
    </row>
    <row r="680" spans="1:21" ht="15.75" customHeight="1" x14ac:dyDescent="0.25">
      <c r="A680" s="9" t="s">
        <v>4403</v>
      </c>
      <c r="B680" s="10" t="s">
        <v>4404</v>
      </c>
      <c r="C680" s="11" t="s">
        <v>4405</v>
      </c>
      <c r="D680" s="21" t="s">
        <v>109</v>
      </c>
      <c r="E680" s="11" t="s">
        <v>98</v>
      </c>
      <c r="F680" s="11"/>
      <c r="G680" s="24" t="s">
        <v>85</v>
      </c>
      <c r="H680" s="11" t="s">
        <v>100</v>
      </c>
      <c r="I680" s="15" t="s">
        <v>4406</v>
      </c>
      <c r="J680" s="10" t="s">
        <v>4407</v>
      </c>
      <c r="K680" s="11"/>
      <c r="L680" s="9"/>
      <c r="M680" s="10"/>
      <c r="N680" s="22"/>
      <c r="O680" s="17"/>
      <c r="P680" s="17"/>
      <c r="Q680" s="18" t="s">
        <v>78</v>
      </c>
      <c r="R680" s="18" t="s">
        <v>79</v>
      </c>
      <c r="S680" s="18" t="s">
        <v>61</v>
      </c>
      <c r="T680" s="18" t="s">
        <v>62</v>
      </c>
      <c r="U680" s="19" t="s">
        <v>80</v>
      </c>
    </row>
    <row r="681" spans="1:21" ht="15.75" customHeight="1" x14ac:dyDescent="0.25">
      <c r="A681" s="27" t="s">
        <v>4408</v>
      </c>
      <c r="B681" s="28" t="s">
        <v>4409</v>
      </c>
      <c r="C681" s="29" t="s">
        <v>4410</v>
      </c>
      <c r="D681" s="30" t="s">
        <v>4411</v>
      </c>
      <c r="E681" s="29" t="s">
        <v>98</v>
      </c>
      <c r="F681" s="31">
        <v>377</v>
      </c>
      <c r="G681" s="20" t="s">
        <v>119</v>
      </c>
      <c r="H681" s="29" t="s">
        <v>129</v>
      </c>
      <c r="I681" s="32" t="s">
        <v>4412</v>
      </c>
      <c r="J681" s="28" t="s">
        <v>4413</v>
      </c>
      <c r="K681" s="29"/>
      <c r="L681" s="27"/>
      <c r="M681" s="28"/>
      <c r="N681" s="39" t="s">
        <v>179</v>
      </c>
      <c r="O681" s="34" t="s">
        <v>292</v>
      </c>
      <c r="P681" s="34" t="s">
        <v>293</v>
      </c>
      <c r="Q681" s="35" t="s">
        <v>78</v>
      </c>
      <c r="R681" s="35" t="s">
        <v>79</v>
      </c>
      <c r="S681" s="35" t="s">
        <v>61</v>
      </c>
      <c r="T681" s="35" t="s">
        <v>62</v>
      </c>
      <c r="U681" s="36" t="s">
        <v>80</v>
      </c>
    </row>
    <row r="682" spans="1:21" ht="15.75" customHeight="1" x14ac:dyDescent="0.25">
      <c r="A682" s="9" t="s">
        <v>4414</v>
      </c>
      <c r="B682" s="10" t="s">
        <v>4415</v>
      </c>
      <c r="C682" s="11" t="s">
        <v>2000</v>
      </c>
      <c r="D682" s="12" t="s">
        <v>4416</v>
      </c>
      <c r="E682" s="11" t="s">
        <v>67</v>
      </c>
      <c r="F682" s="13">
        <v>1100</v>
      </c>
      <c r="G682" s="14" t="s">
        <v>68</v>
      </c>
      <c r="H682" s="11" t="s">
        <v>129</v>
      </c>
      <c r="I682" s="15" t="s">
        <v>4417</v>
      </c>
      <c r="J682" s="10" t="s">
        <v>4418</v>
      </c>
      <c r="K682" s="11" t="s">
        <v>4419</v>
      </c>
      <c r="L682" s="9" t="s">
        <v>1698</v>
      </c>
      <c r="M682" s="10" t="s">
        <v>1699</v>
      </c>
      <c r="N682" s="16" t="s">
        <v>75</v>
      </c>
      <c r="O682" s="17" t="s">
        <v>2007</v>
      </c>
      <c r="P682" s="17" t="s">
        <v>2008</v>
      </c>
      <c r="Q682" s="18" t="s">
        <v>78</v>
      </c>
      <c r="R682" s="18" t="s">
        <v>79</v>
      </c>
      <c r="S682" s="18" t="s">
        <v>61</v>
      </c>
      <c r="T682" s="18" t="s">
        <v>62</v>
      </c>
      <c r="U682" s="19" t="s">
        <v>80</v>
      </c>
    </row>
    <row r="683" spans="1:21" ht="15.75" customHeight="1" x14ac:dyDescent="0.25">
      <c r="A683" s="27" t="s">
        <v>4420</v>
      </c>
      <c r="B683" s="28" t="s">
        <v>4421</v>
      </c>
      <c r="C683" s="29" t="s">
        <v>4422</v>
      </c>
      <c r="D683" s="37" t="s">
        <v>109</v>
      </c>
      <c r="E683" s="29" t="s">
        <v>1264</v>
      </c>
      <c r="F683" s="29" t="s">
        <v>3113</v>
      </c>
      <c r="G683" s="14" t="s">
        <v>119</v>
      </c>
      <c r="H683" s="29" t="s">
        <v>100</v>
      </c>
      <c r="I683" s="32" t="s">
        <v>4423</v>
      </c>
      <c r="J683" s="28" t="s">
        <v>4424</v>
      </c>
      <c r="K683" s="29" t="s">
        <v>4425</v>
      </c>
      <c r="L683" s="27" t="s">
        <v>1267</v>
      </c>
      <c r="M683" s="28" t="s">
        <v>1268</v>
      </c>
      <c r="N683" s="33" t="s">
        <v>75</v>
      </c>
      <c r="O683" s="34" t="s">
        <v>2007</v>
      </c>
      <c r="P683" s="34" t="s">
        <v>2008</v>
      </c>
      <c r="Q683" s="35" t="s">
        <v>78</v>
      </c>
      <c r="R683" s="35" t="s">
        <v>79</v>
      </c>
      <c r="S683" s="35" t="s">
        <v>61</v>
      </c>
      <c r="T683" s="35" t="s">
        <v>62</v>
      </c>
      <c r="U683" s="36" t="s">
        <v>80</v>
      </c>
    </row>
    <row r="684" spans="1:21" ht="15.75" customHeight="1" x14ac:dyDescent="0.25">
      <c r="A684" s="9" t="s">
        <v>4426</v>
      </c>
      <c r="B684" s="10" t="s">
        <v>4427</v>
      </c>
      <c r="C684" s="11" t="s">
        <v>4428</v>
      </c>
      <c r="D684" s="12" t="s">
        <v>46</v>
      </c>
      <c r="E684" s="11" t="s">
        <v>47</v>
      </c>
      <c r="F684" s="13">
        <v>77</v>
      </c>
      <c r="G684" s="14" t="s">
        <v>708</v>
      </c>
      <c r="H684" s="11" t="s">
        <v>48</v>
      </c>
      <c r="I684" s="15" t="s">
        <v>4429</v>
      </c>
      <c r="J684" s="10" t="s">
        <v>4430</v>
      </c>
      <c r="K684" s="11" t="s">
        <v>1985</v>
      </c>
      <c r="L684" s="9" t="s">
        <v>158</v>
      </c>
      <c r="M684" s="10" t="s">
        <v>159</v>
      </c>
      <c r="N684" s="16" t="s">
        <v>75</v>
      </c>
      <c r="O684" s="17" t="s">
        <v>712</v>
      </c>
      <c r="P684" s="17" t="s">
        <v>713</v>
      </c>
      <c r="Q684" s="18" t="s">
        <v>78</v>
      </c>
      <c r="R684" s="18" t="s">
        <v>79</v>
      </c>
      <c r="S684" s="18" t="s">
        <v>61</v>
      </c>
      <c r="T684" s="18" t="s">
        <v>62</v>
      </c>
      <c r="U684" s="19" t="s">
        <v>80</v>
      </c>
    </row>
    <row r="685" spans="1:21" ht="15.75" customHeight="1" x14ac:dyDescent="0.25">
      <c r="A685" s="27" t="s">
        <v>4431</v>
      </c>
      <c r="B685" s="28" t="s">
        <v>4432</v>
      </c>
      <c r="C685" s="29" t="s">
        <v>4433</v>
      </c>
      <c r="D685" s="37" t="s">
        <v>109</v>
      </c>
      <c r="E685" s="29" t="s">
        <v>98</v>
      </c>
      <c r="F685" s="29"/>
      <c r="G685" s="24" t="s">
        <v>85</v>
      </c>
      <c r="H685" s="29" t="s">
        <v>100</v>
      </c>
      <c r="I685" s="32" t="s">
        <v>4434</v>
      </c>
      <c r="J685" s="28" t="s">
        <v>4435</v>
      </c>
      <c r="K685" s="29"/>
      <c r="L685" s="27"/>
      <c r="M685" s="28"/>
      <c r="N685" s="38"/>
      <c r="O685" s="34"/>
      <c r="P685" s="34"/>
      <c r="Q685" s="35" t="s">
        <v>78</v>
      </c>
      <c r="R685" s="35" t="s">
        <v>79</v>
      </c>
      <c r="S685" s="35" t="s">
        <v>61</v>
      </c>
      <c r="T685" s="35" t="s">
        <v>62</v>
      </c>
      <c r="U685" s="36" t="s">
        <v>80</v>
      </c>
    </row>
    <row r="686" spans="1:21" ht="15.75" customHeight="1" x14ac:dyDescent="0.25">
      <c r="A686" s="9" t="s">
        <v>4436</v>
      </c>
      <c r="B686" s="10" t="s">
        <v>4437</v>
      </c>
      <c r="C686" s="11" t="s">
        <v>4438</v>
      </c>
      <c r="D686" s="21" t="s">
        <v>109</v>
      </c>
      <c r="E686" s="11" t="s">
        <v>47</v>
      </c>
      <c r="F686" s="13">
        <v>118</v>
      </c>
      <c r="G686" s="25" t="s">
        <v>110</v>
      </c>
      <c r="H686" s="11" t="s">
        <v>330</v>
      </c>
      <c r="I686" s="15" t="s">
        <v>4439</v>
      </c>
      <c r="J686" s="10" t="s">
        <v>4440</v>
      </c>
      <c r="K686" s="11" t="s">
        <v>132</v>
      </c>
      <c r="L686" s="9" t="s">
        <v>90</v>
      </c>
      <c r="M686" s="10" t="s">
        <v>91</v>
      </c>
      <c r="N686" s="22"/>
      <c r="O686" s="17"/>
      <c r="P686" s="17"/>
      <c r="Q686" s="18" t="s">
        <v>78</v>
      </c>
      <c r="R686" s="18" t="s">
        <v>79</v>
      </c>
      <c r="S686" s="18" t="s">
        <v>61</v>
      </c>
      <c r="T686" s="18" t="s">
        <v>62</v>
      </c>
      <c r="U686" s="19" t="s">
        <v>80</v>
      </c>
    </row>
    <row r="687" spans="1:21" ht="15.75" customHeight="1" x14ac:dyDescent="0.25">
      <c r="A687" s="27" t="s">
        <v>4441</v>
      </c>
      <c r="B687" s="28" t="s">
        <v>4442</v>
      </c>
      <c r="C687" s="29" t="s">
        <v>4443</v>
      </c>
      <c r="D687" s="37" t="s">
        <v>109</v>
      </c>
      <c r="E687" s="29" t="s">
        <v>47</v>
      </c>
      <c r="F687" s="31">
        <v>85</v>
      </c>
      <c r="G687" s="25" t="s">
        <v>110</v>
      </c>
      <c r="H687" s="29" t="s">
        <v>48</v>
      </c>
      <c r="I687" s="32" t="s">
        <v>4444</v>
      </c>
      <c r="J687" s="28" t="s">
        <v>4445</v>
      </c>
      <c r="K687" s="29" t="s">
        <v>4446</v>
      </c>
      <c r="L687" s="27" t="s">
        <v>90</v>
      </c>
      <c r="M687" s="28" t="s">
        <v>91</v>
      </c>
      <c r="N687" s="38"/>
      <c r="O687" s="34"/>
      <c r="P687" s="34"/>
      <c r="Q687" s="35" t="s">
        <v>78</v>
      </c>
      <c r="R687" s="35" t="s">
        <v>79</v>
      </c>
      <c r="S687" s="35" t="s">
        <v>61</v>
      </c>
      <c r="T687" s="35" t="s">
        <v>62</v>
      </c>
      <c r="U687" s="36" t="s">
        <v>80</v>
      </c>
    </row>
    <row r="688" spans="1:21" ht="15.75" customHeight="1" x14ac:dyDescent="0.25">
      <c r="A688" s="9" t="s">
        <v>4447</v>
      </c>
      <c r="B688" s="10" t="s">
        <v>4448</v>
      </c>
      <c r="C688" s="11" t="s">
        <v>4449</v>
      </c>
      <c r="D688" s="12" t="s">
        <v>2412</v>
      </c>
      <c r="E688" s="11" t="s">
        <v>98</v>
      </c>
      <c r="F688" s="11"/>
      <c r="G688" s="25" t="s">
        <v>119</v>
      </c>
      <c r="H688" s="11" t="s">
        <v>100</v>
      </c>
      <c r="I688" s="15" t="s">
        <v>4450</v>
      </c>
      <c r="J688" s="10" t="s">
        <v>4451</v>
      </c>
      <c r="K688" s="11" t="s">
        <v>3209</v>
      </c>
      <c r="L688" s="9" t="s">
        <v>481</v>
      </c>
      <c r="M688" s="10" t="s">
        <v>482</v>
      </c>
      <c r="N688" s="16" t="s">
        <v>75</v>
      </c>
      <c r="O688" s="17" t="s">
        <v>1127</v>
      </c>
      <c r="P688" s="17" t="s">
        <v>1128</v>
      </c>
      <c r="Q688" s="18" t="s">
        <v>78</v>
      </c>
      <c r="R688" s="18" t="s">
        <v>79</v>
      </c>
      <c r="S688" s="18" t="s">
        <v>61</v>
      </c>
      <c r="T688" s="18" t="s">
        <v>62</v>
      </c>
      <c r="U688" s="19" t="s">
        <v>80</v>
      </c>
    </row>
    <row r="689" spans="1:21" ht="15.75" customHeight="1" x14ac:dyDescent="0.25">
      <c r="A689" s="27" t="s">
        <v>4452</v>
      </c>
      <c r="B689" s="28" t="s">
        <v>4453</v>
      </c>
      <c r="C689" s="29" t="s">
        <v>4454</v>
      </c>
      <c r="D689" s="37" t="s">
        <v>109</v>
      </c>
      <c r="E689" s="29" t="s">
        <v>47</v>
      </c>
      <c r="F689" s="31">
        <v>130</v>
      </c>
      <c r="G689" s="25" t="s">
        <v>110</v>
      </c>
      <c r="H689" s="29" t="s">
        <v>330</v>
      </c>
      <c r="I689" s="32" t="s">
        <v>4455</v>
      </c>
      <c r="J689" s="28" t="s">
        <v>4453</v>
      </c>
      <c r="K689" s="29" t="s">
        <v>132</v>
      </c>
      <c r="L689" s="27" t="s">
        <v>90</v>
      </c>
      <c r="M689" s="28" t="s">
        <v>91</v>
      </c>
      <c r="N689" s="38"/>
      <c r="O689" s="34"/>
      <c r="P689" s="34"/>
      <c r="Q689" s="35" t="s">
        <v>78</v>
      </c>
      <c r="R689" s="35" t="s">
        <v>79</v>
      </c>
      <c r="S689" s="35" t="s">
        <v>61</v>
      </c>
      <c r="T689" s="35" t="s">
        <v>62</v>
      </c>
      <c r="U689" s="36" t="s">
        <v>80</v>
      </c>
    </row>
    <row r="690" spans="1:21" ht="15.75" customHeight="1" x14ac:dyDescent="0.25">
      <c r="A690" s="9" t="s">
        <v>4456</v>
      </c>
      <c r="B690" s="10" t="s">
        <v>4457</v>
      </c>
      <c r="C690" s="11" t="s">
        <v>4458</v>
      </c>
      <c r="D690" s="12" t="s">
        <v>4459</v>
      </c>
      <c r="E690" s="11" t="s">
        <v>98</v>
      </c>
      <c r="F690" s="11" t="s">
        <v>99</v>
      </c>
      <c r="G690" s="20" t="s">
        <v>85</v>
      </c>
      <c r="H690" s="11" t="s">
        <v>120</v>
      </c>
      <c r="I690" s="15" t="s">
        <v>4460</v>
      </c>
      <c r="J690" s="10" t="s">
        <v>4461</v>
      </c>
      <c r="K690" s="11" t="s">
        <v>4462</v>
      </c>
      <c r="L690" s="9" t="s">
        <v>481</v>
      </c>
      <c r="M690" s="10" t="s">
        <v>482</v>
      </c>
      <c r="N690" s="16" t="s">
        <v>75</v>
      </c>
      <c r="O690" s="17" t="s">
        <v>483</v>
      </c>
      <c r="P690" s="17" t="s">
        <v>484</v>
      </c>
      <c r="Q690" s="18" t="s">
        <v>78</v>
      </c>
      <c r="R690" s="18" t="s">
        <v>79</v>
      </c>
      <c r="S690" s="18" t="s">
        <v>61</v>
      </c>
      <c r="T690" s="18" t="s">
        <v>62</v>
      </c>
      <c r="U690" s="19" t="s">
        <v>80</v>
      </c>
    </row>
    <row r="691" spans="1:21" ht="15.75" customHeight="1" x14ac:dyDescent="0.25">
      <c r="A691" s="27" t="s">
        <v>4463</v>
      </c>
      <c r="B691" s="28" t="s">
        <v>4464</v>
      </c>
      <c r="C691" s="29" t="s">
        <v>4465</v>
      </c>
      <c r="D691" s="37" t="s">
        <v>109</v>
      </c>
      <c r="E691" s="29" t="s">
        <v>67</v>
      </c>
      <c r="F691" s="31">
        <v>1336</v>
      </c>
      <c r="G691" s="14" t="s">
        <v>119</v>
      </c>
      <c r="H691" s="29" t="s">
        <v>129</v>
      </c>
      <c r="I691" s="32" t="s">
        <v>4466</v>
      </c>
      <c r="J691" s="28" t="s">
        <v>4467</v>
      </c>
      <c r="K691" s="29" t="s">
        <v>4468</v>
      </c>
      <c r="L691" s="27" t="s">
        <v>2005</v>
      </c>
      <c r="M691" s="28" t="s">
        <v>2006</v>
      </c>
      <c r="N691" s="38"/>
      <c r="O691" s="34"/>
      <c r="P691" s="34"/>
      <c r="Q691" s="35" t="s">
        <v>78</v>
      </c>
      <c r="R691" s="35" t="s">
        <v>79</v>
      </c>
      <c r="S691" s="35" t="s">
        <v>61</v>
      </c>
      <c r="T691" s="35" t="s">
        <v>62</v>
      </c>
      <c r="U691" s="36" t="s">
        <v>80</v>
      </c>
    </row>
    <row r="692" spans="1:21" ht="15.75" customHeight="1" x14ac:dyDescent="0.25">
      <c r="A692" s="9" t="s">
        <v>4469</v>
      </c>
      <c r="B692" s="10" t="s">
        <v>4470</v>
      </c>
      <c r="C692" s="11" t="s">
        <v>4471</v>
      </c>
      <c r="D692" s="21" t="s">
        <v>109</v>
      </c>
      <c r="E692" s="11" t="s">
        <v>98</v>
      </c>
      <c r="F692" s="13">
        <v>1360</v>
      </c>
      <c r="G692" s="24" t="s">
        <v>85</v>
      </c>
      <c r="H692" s="11" t="s">
        <v>129</v>
      </c>
      <c r="I692" s="15" t="s">
        <v>4472</v>
      </c>
      <c r="J692" s="10" t="s">
        <v>4473</v>
      </c>
      <c r="K692" s="11"/>
      <c r="L692" s="9"/>
      <c r="M692" s="10"/>
      <c r="N692" s="22"/>
      <c r="O692" s="17"/>
      <c r="P692" s="17"/>
      <c r="Q692" s="18" t="s">
        <v>78</v>
      </c>
      <c r="R692" s="18" t="s">
        <v>79</v>
      </c>
      <c r="S692" s="18" t="s">
        <v>61</v>
      </c>
      <c r="T692" s="18" t="s">
        <v>62</v>
      </c>
      <c r="U692" s="19" t="s">
        <v>80</v>
      </c>
    </row>
    <row r="693" spans="1:21" ht="15.75" customHeight="1" x14ac:dyDescent="0.25">
      <c r="A693" s="27" t="s">
        <v>4474</v>
      </c>
      <c r="B693" s="28" t="s">
        <v>4475</v>
      </c>
      <c r="C693" s="29" t="s">
        <v>4476</v>
      </c>
      <c r="D693" s="37" t="s">
        <v>109</v>
      </c>
      <c r="E693" s="29" t="s">
        <v>98</v>
      </c>
      <c r="F693" s="31">
        <v>213</v>
      </c>
      <c r="G693" s="14" t="s">
        <v>119</v>
      </c>
      <c r="H693" s="29" t="s">
        <v>129</v>
      </c>
      <c r="I693" s="32" t="s">
        <v>4477</v>
      </c>
      <c r="J693" s="28" t="s">
        <v>4478</v>
      </c>
      <c r="K693" s="29" t="s">
        <v>4479</v>
      </c>
      <c r="L693" s="27" t="s">
        <v>1698</v>
      </c>
      <c r="M693" s="28" t="s">
        <v>1699</v>
      </c>
      <c r="N693" s="38"/>
      <c r="O693" s="34"/>
      <c r="P693" s="34"/>
      <c r="Q693" s="35" t="s">
        <v>78</v>
      </c>
      <c r="R693" s="35" t="s">
        <v>79</v>
      </c>
      <c r="S693" s="35" t="s">
        <v>61</v>
      </c>
      <c r="T693" s="35" t="s">
        <v>62</v>
      </c>
      <c r="U693" s="36" t="s">
        <v>80</v>
      </c>
    </row>
    <row r="694" spans="1:21" ht="15.75" customHeight="1" x14ac:dyDescent="0.25">
      <c r="A694" s="9" t="s">
        <v>4480</v>
      </c>
      <c r="B694" s="10" t="s">
        <v>4481</v>
      </c>
      <c r="C694" s="11" t="s">
        <v>4482</v>
      </c>
      <c r="D694" s="21" t="s">
        <v>109</v>
      </c>
      <c r="E694" s="11" t="s">
        <v>47</v>
      </c>
      <c r="F694" s="13">
        <v>168</v>
      </c>
      <c r="G694" s="14" t="s">
        <v>119</v>
      </c>
      <c r="H694" s="11" t="s">
        <v>86</v>
      </c>
      <c r="I694" s="15" t="s">
        <v>4483</v>
      </c>
      <c r="J694" s="10" t="s">
        <v>4484</v>
      </c>
      <c r="K694" s="11" t="s">
        <v>4485</v>
      </c>
      <c r="L694" s="9" t="s">
        <v>158</v>
      </c>
      <c r="M694" s="10" t="s">
        <v>159</v>
      </c>
      <c r="N694" s="22"/>
      <c r="O694" s="17"/>
      <c r="P694" s="17"/>
      <c r="Q694" s="18" t="s">
        <v>78</v>
      </c>
      <c r="R694" s="18" t="s">
        <v>79</v>
      </c>
      <c r="S694" s="18" t="s">
        <v>61</v>
      </c>
      <c r="T694" s="18" t="s">
        <v>62</v>
      </c>
      <c r="U694" s="19" t="s">
        <v>80</v>
      </c>
    </row>
    <row r="695" spans="1:21" ht="15.75" customHeight="1" x14ac:dyDescent="0.25">
      <c r="A695" s="27" t="s">
        <v>4486</v>
      </c>
      <c r="B695" s="28" t="s">
        <v>4487</v>
      </c>
      <c r="C695" s="29" t="s">
        <v>4488</v>
      </c>
      <c r="D695" s="37" t="s">
        <v>109</v>
      </c>
      <c r="E695" s="29" t="s">
        <v>98</v>
      </c>
      <c r="F695" s="29"/>
      <c r="G695" s="14" t="s">
        <v>119</v>
      </c>
      <c r="H695" s="29" t="s">
        <v>100</v>
      </c>
      <c r="I695" s="32" t="s">
        <v>4489</v>
      </c>
      <c r="J695" s="28" t="s">
        <v>4490</v>
      </c>
      <c r="K695" s="29" t="s">
        <v>4491</v>
      </c>
      <c r="L695" s="27" t="s">
        <v>1203</v>
      </c>
      <c r="M695" s="28" t="s">
        <v>1204</v>
      </c>
      <c r="N695" s="38"/>
      <c r="O695" s="34"/>
      <c r="P695" s="34"/>
      <c r="Q695" s="35" t="s">
        <v>78</v>
      </c>
      <c r="R695" s="35" t="s">
        <v>79</v>
      </c>
      <c r="S695" s="35" t="s">
        <v>61</v>
      </c>
      <c r="T695" s="35" t="s">
        <v>62</v>
      </c>
      <c r="U695" s="36" t="s">
        <v>80</v>
      </c>
    </row>
    <row r="696" spans="1:21" ht="15.75" customHeight="1" x14ac:dyDescent="0.25">
      <c r="A696" s="9" t="s">
        <v>4492</v>
      </c>
      <c r="B696" s="10" t="s">
        <v>4493</v>
      </c>
      <c r="C696" s="11" t="s">
        <v>4494</v>
      </c>
      <c r="D696" s="21" t="s">
        <v>109</v>
      </c>
      <c r="E696" s="11" t="s">
        <v>98</v>
      </c>
      <c r="F696" s="11"/>
      <c r="G696" s="14" t="s">
        <v>119</v>
      </c>
      <c r="H696" s="11" t="s">
        <v>120</v>
      </c>
      <c r="I696" s="15" t="s">
        <v>4495</v>
      </c>
      <c r="J696" s="10" t="s">
        <v>4496</v>
      </c>
      <c r="K696" s="11" t="s">
        <v>4497</v>
      </c>
      <c r="L696" s="9" t="s">
        <v>1203</v>
      </c>
      <c r="M696" s="10" t="s">
        <v>1204</v>
      </c>
      <c r="N696" s="22"/>
      <c r="O696" s="17"/>
      <c r="P696" s="17"/>
      <c r="Q696" s="18" t="s">
        <v>78</v>
      </c>
      <c r="R696" s="18" t="s">
        <v>79</v>
      </c>
      <c r="S696" s="18" t="s">
        <v>61</v>
      </c>
      <c r="T696" s="18" t="s">
        <v>62</v>
      </c>
      <c r="U696" s="19" t="s">
        <v>80</v>
      </c>
    </row>
    <row r="697" spans="1:21" ht="15.75" customHeight="1" x14ac:dyDescent="0.25">
      <c r="A697" s="27" t="s">
        <v>4498</v>
      </c>
      <c r="B697" s="28" t="s">
        <v>4499</v>
      </c>
      <c r="C697" s="29" t="s">
        <v>4500</v>
      </c>
      <c r="D697" s="30" t="s">
        <v>4501</v>
      </c>
      <c r="E697" s="29"/>
      <c r="F697" s="31">
        <v>765.5</v>
      </c>
      <c r="G697" s="14" t="s">
        <v>68</v>
      </c>
      <c r="H697" s="29" t="s">
        <v>129</v>
      </c>
      <c r="I697" s="32" t="s">
        <v>4502</v>
      </c>
      <c r="J697" s="28" t="s">
        <v>4503</v>
      </c>
      <c r="K697" s="29" t="s">
        <v>4504</v>
      </c>
      <c r="L697" s="27" t="s">
        <v>2005</v>
      </c>
      <c r="M697" s="28" t="s">
        <v>2006</v>
      </c>
      <c r="N697" s="33" t="s">
        <v>75</v>
      </c>
      <c r="O697" s="34" t="s">
        <v>4505</v>
      </c>
      <c r="P697" s="34" t="s">
        <v>4506</v>
      </c>
      <c r="Q697" s="35" t="s">
        <v>78</v>
      </c>
      <c r="R697" s="35" t="s">
        <v>79</v>
      </c>
      <c r="S697" s="35" t="s">
        <v>61</v>
      </c>
      <c r="T697" s="35" t="s">
        <v>62</v>
      </c>
      <c r="U697" s="36" t="s">
        <v>80</v>
      </c>
    </row>
    <row r="698" spans="1:21" ht="15.75" customHeight="1" x14ac:dyDescent="0.25">
      <c r="A698" s="9" t="s">
        <v>4507</v>
      </c>
      <c r="B698" s="10" t="s">
        <v>4508</v>
      </c>
      <c r="C698" s="11" t="s">
        <v>4509</v>
      </c>
      <c r="D698" s="12" t="s">
        <v>4501</v>
      </c>
      <c r="E698" s="11" t="s">
        <v>67</v>
      </c>
      <c r="F698" s="13">
        <v>880</v>
      </c>
      <c r="G698" s="14" t="s">
        <v>68</v>
      </c>
      <c r="H698" s="11" t="s">
        <v>129</v>
      </c>
      <c r="I698" s="15" t="s">
        <v>4510</v>
      </c>
      <c r="J698" s="10" t="s">
        <v>4511</v>
      </c>
      <c r="K698" s="11" t="s">
        <v>4512</v>
      </c>
      <c r="L698" s="9" t="s">
        <v>2005</v>
      </c>
      <c r="M698" s="10" t="s">
        <v>2006</v>
      </c>
      <c r="N698" s="16" t="s">
        <v>75</v>
      </c>
      <c r="O698" s="17" t="s">
        <v>4505</v>
      </c>
      <c r="P698" s="17" t="s">
        <v>4506</v>
      </c>
      <c r="Q698" s="18" t="s">
        <v>78</v>
      </c>
      <c r="R698" s="18" t="s">
        <v>79</v>
      </c>
      <c r="S698" s="18" t="s">
        <v>61</v>
      </c>
      <c r="T698" s="18" t="s">
        <v>62</v>
      </c>
      <c r="U698" s="19" t="s">
        <v>80</v>
      </c>
    </row>
    <row r="699" spans="1:21" ht="15.75" customHeight="1" x14ac:dyDescent="0.25">
      <c r="A699" s="27" t="s">
        <v>4513</v>
      </c>
      <c r="B699" s="28" t="s">
        <v>4514</v>
      </c>
      <c r="C699" s="29" t="s">
        <v>4515</v>
      </c>
      <c r="D699" s="37" t="s">
        <v>109</v>
      </c>
      <c r="E699" s="29" t="s">
        <v>47</v>
      </c>
      <c r="F699" s="31">
        <v>255</v>
      </c>
      <c r="G699" s="24" t="s">
        <v>85</v>
      </c>
      <c r="H699" s="29" t="s">
        <v>129</v>
      </c>
      <c r="I699" s="32" t="s">
        <v>4516</v>
      </c>
      <c r="J699" s="28" t="s">
        <v>4517</v>
      </c>
      <c r="K699" s="29"/>
      <c r="L699" s="27"/>
      <c r="M699" s="28"/>
      <c r="N699" s="38"/>
      <c r="O699" s="34"/>
      <c r="P699" s="34"/>
      <c r="Q699" s="35" t="s">
        <v>78</v>
      </c>
      <c r="R699" s="35" t="s">
        <v>79</v>
      </c>
      <c r="S699" s="35" t="s">
        <v>61</v>
      </c>
      <c r="T699" s="35" t="s">
        <v>62</v>
      </c>
      <c r="U699" s="36" t="s">
        <v>80</v>
      </c>
    </row>
    <row r="700" spans="1:21" ht="15.75" customHeight="1" x14ac:dyDescent="0.25">
      <c r="A700" s="9" t="s">
        <v>4518</v>
      </c>
      <c r="B700" s="10" t="s">
        <v>4519</v>
      </c>
      <c r="C700" s="11" t="s">
        <v>4520</v>
      </c>
      <c r="D700" s="21" t="s">
        <v>109</v>
      </c>
      <c r="E700" s="11" t="s">
        <v>98</v>
      </c>
      <c r="F700" s="13">
        <v>285</v>
      </c>
      <c r="G700" s="24" t="s">
        <v>85</v>
      </c>
      <c r="H700" s="11" t="s">
        <v>129</v>
      </c>
      <c r="I700" s="15" t="s">
        <v>4521</v>
      </c>
      <c r="J700" s="10" t="s">
        <v>4522</v>
      </c>
      <c r="K700" s="11" t="s">
        <v>332</v>
      </c>
      <c r="L700" s="9" t="s">
        <v>197</v>
      </c>
      <c r="M700" s="10" t="s">
        <v>198</v>
      </c>
      <c r="N700" s="22"/>
      <c r="O700" s="17"/>
      <c r="P700" s="17"/>
      <c r="Q700" s="18" t="s">
        <v>78</v>
      </c>
      <c r="R700" s="18" t="s">
        <v>79</v>
      </c>
      <c r="S700" s="18" t="s">
        <v>61</v>
      </c>
      <c r="T700" s="18" t="s">
        <v>62</v>
      </c>
      <c r="U700" s="19" t="s">
        <v>80</v>
      </c>
    </row>
    <row r="701" spans="1:21" ht="15.75" customHeight="1" x14ac:dyDescent="0.25">
      <c r="A701" s="27" t="s">
        <v>4523</v>
      </c>
      <c r="B701" s="28" t="s">
        <v>4524</v>
      </c>
      <c r="C701" s="29" t="s">
        <v>4525</v>
      </c>
      <c r="D701" s="37" t="s">
        <v>109</v>
      </c>
      <c r="E701" s="29" t="s">
        <v>98</v>
      </c>
      <c r="F701" s="31">
        <v>481</v>
      </c>
      <c r="G701" s="24" t="s">
        <v>85</v>
      </c>
      <c r="H701" s="29" t="s">
        <v>129</v>
      </c>
      <c r="I701" s="32" t="s">
        <v>4526</v>
      </c>
      <c r="J701" s="28" t="s">
        <v>4527</v>
      </c>
      <c r="K701" s="29"/>
      <c r="L701" s="27"/>
      <c r="M701" s="28"/>
      <c r="N701" s="38"/>
      <c r="O701" s="34"/>
      <c r="P701" s="34"/>
      <c r="Q701" s="35" t="s">
        <v>78</v>
      </c>
      <c r="R701" s="35" t="s">
        <v>79</v>
      </c>
      <c r="S701" s="35" t="s">
        <v>61</v>
      </c>
      <c r="T701" s="35" t="s">
        <v>62</v>
      </c>
      <c r="U701" s="36" t="s">
        <v>80</v>
      </c>
    </row>
    <row r="702" spans="1:21" ht="15.75" customHeight="1" x14ac:dyDescent="0.25">
      <c r="A702" s="9" t="s">
        <v>4528</v>
      </c>
      <c r="B702" s="10" t="s">
        <v>4529</v>
      </c>
      <c r="C702" s="11" t="s">
        <v>4530</v>
      </c>
      <c r="D702" s="21" t="s">
        <v>109</v>
      </c>
      <c r="E702" s="11" t="s">
        <v>98</v>
      </c>
      <c r="F702" s="13">
        <v>480</v>
      </c>
      <c r="G702" s="24" t="s">
        <v>85</v>
      </c>
      <c r="H702" s="11" t="s">
        <v>129</v>
      </c>
      <c r="I702" s="15" t="s">
        <v>4531</v>
      </c>
      <c r="J702" s="10" t="s">
        <v>4532</v>
      </c>
      <c r="K702" s="11"/>
      <c r="L702" s="9"/>
      <c r="M702" s="10"/>
      <c r="N702" s="22"/>
      <c r="O702" s="17"/>
      <c r="P702" s="17"/>
      <c r="Q702" s="18" t="s">
        <v>78</v>
      </c>
      <c r="R702" s="18" t="s">
        <v>79</v>
      </c>
      <c r="S702" s="18" t="s">
        <v>61</v>
      </c>
      <c r="T702" s="18" t="s">
        <v>62</v>
      </c>
      <c r="U702" s="19" t="s">
        <v>80</v>
      </c>
    </row>
    <row r="703" spans="1:21" ht="15.75" customHeight="1" x14ac:dyDescent="0.25">
      <c r="A703" s="27" t="s">
        <v>4533</v>
      </c>
      <c r="B703" s="28" t="s">
        <v>4534</v>
      </c>
      <c r="C703" s="29" t="s">
        <v>4535</v>
      </c>
      <c r="D703" s="37" t="s">
        <v>109</v>
      </c>
      <c r="E703" s="29" t="s">
        <v>98</v>
      </c>
      <c r="F703" s="29"/>
      <c r="G703" s="25" t="s">
        <v>110</v>
      </c>
      <c r="H703" s="29" t="s">
        <v>100</v>
      </c>
      <c r="I703" s="32" t="s">
        <v>4536</v>
      </c>
      <c r="J703" s="28" t="s">
        <v>4537</v>
      </c>
      <c r="K703" s="29" t="s">
        <v>2764</v>
      </c>
      <c r="L703" s="27" t="s">
        <v>90</v>
      </c>
      <c r="M703" s="28" t="s">
        <v>91</v>
      </c>
      <c r="N703" s="38"/>
      <c r="O703" s="34"/>
      <c r="P703" s="34"/>
      <c r="Q703" s="35" t="s">
        <v>78</v>
      </c>
      <c r="R703" s="35" t="s">
        <v>79</v>
      </c>
      <c r="S703" s="35" t="s">
        <v>61</v>
      </c>
      <c r="T703" s="35" t="s">
        <v>62</v>
      </c>
      <c r="U703" s="36" t="s">
        <v>80</v>
      </c>
    </row>
    <row r="704" spans="1:21" ht="15.75" customHeight="1" x14ac:dyDescent="0.25">
      <c r="A704" s="9" t="s">
        <v>4538</v>
      </c>
      <c r="B704" s="10" t="s">
        <v>4539</v>
      </c>
      <c r="C704" s="11" t="s">
        <v>4540</v>
      </c>
      <c r="D704" s="21" t="s">
        <v>109</v>
      </c>
      <c r="E704" s="11" t="s">
        <v>47</v>
      </c>
      <c r="F704" s="13">
        <v>88</v>
      </c>
      <c r="G704" s="14" t="s">
        <v>119</v>
      </c>
      <c r="H704" s="11" t="s">
        <v>48</v>
      </c>
      <c r="I704" s="15" t="s">
        <v>4541</v>
      </c>
      <c r="J704" s="10" t="s">
        <v>4542</v>
      </c>
      <c r="K704" s="11" t="s">
        <v>2669</v>
      </c>
      <c r="L704" s="9" t="s">
        <v>158</v>
      </c>
      <c r="M704" s="10" t="s">
        <v>159</v>
      </c>
      <c r="N704" s="22"/>
      <c r="O704" s="17"/>
      <c r="P704" s="17"/>
      <c r="Q704" s="18" t="s">
        <v>78</v>
      </c>
      <c r="R704" s="18" t="s">
        <v>79</v>
      </c>
      <c r="S704" s="18" t="s">
        <v>61</v>
      </c>
      <c r="T704" s="18" t="s">
        <v>62</v>
      </c>
      <c r="U704" s="19" t="s">
        <v>80</v>
      </c>
    </row>
    <row r="705" spans="1:21" ht="15.75" customHeight="1" x14ac:dyDescent="0.25">
      <c r="A705" s="27" t="s">
        <v>4543</v>
      </c>
      <c r="B705" s="28" t="s">
        <v>4544</v>
      </c>
      <c r="C705" s="29" t="s">
        <v>4545</v>
      </c>
      <c r="D705" s="37" t="s">
        <v>109</v>
      </c>
      <c r="E705" s="29" t="s">
        <v>47</v>
      </c>
      <c r="F705" s="31">
        <v>120</v>
      </c>
      <c r="G705" s="14" t="s">
        <v>119</v>
      </c>
      <c r="H705" s="29" t="s">
        <v>330</v>
      </c>
      <c r="I705" s="32" t="s">
        <v>4546</v>
      </c>
      <c r="J705" s="28" t="s">
        <v>4547</v>
      </c>
      <c r="K705" s="29" t="s">
        <v>2669</v>
      </c>
      <c r="L705" s="27" t="s">
        <v>158</v>
      </c>
      <c r="M705" s="28" t="s">
        <v>159</v>
      </c>
      <c r="N705" s="38"/>
      <c r="O705" s="34"/>
      <c r="P705" s="34"/>
      <c r="Q705" s="35" t="s">
        <v>78</v>
      </c>
      <c r="R705" s="35" t="s">
        <v>79</v>
      </c>
      <c r="S705" s="35" t="s">
        <v>61</v>
      </c>
      <c r="T705" s="35" t="s">
        <v>62</v>
      </c>
      <c r="U705" s="36" t="s">
        <v>80</v>
      </c>
    </row>
    <row r="706" spans="1:21" ht="15.75" customHeight="1" x14ac:dyDescent="0.25">
      <c r="A706" s="9" t="s">
        <v>4548</v>
      </c>
      <c r="B706" s="10" t="s">
        <v>4549</v>
      </c>
      <c r="C706" s="11" t="s">
        <v>4550</v>
      </c>
      <c r="D706" s="21" t="s">
        <v>109</v>
      </c>
      <c r="E706" s="11" t="s">
        <v>98</v>
      </c>
      <c r="F706" s="11" t="s">
        <v>4551</v>
      </c>
      <c r="G706" s="25" t="s">
        <v>110</v>
      </c>
      <c r="H706" s="11" t="s">
        <v>100</v>
      </c>
      <c r="I706" s="15" t="s">
        <v>4552</v>
      </c>
      <c r="J706" s="10" t="s">
        <v>4553</v>
      </c>
      <c r="K706" s="11" t="s">
        <v>3053</v>
      </c>
      <c r="L706" s="9" t="s">
        <v>90</v>
      </c>
      <c r="M706" s="10" t="s">
        <v>91</v>
      </c>
      <c r="N706" s="22"/>
      <c r="O706" s="17"/>
      <c r="P706" s="17"/>
      <c r="Q706" s="18" t="s">
        <v>78</v>
      </c>
      <c r="R706" s="18" t="s">
        <v>79</v>
      </c>
      <c r="S706" s="18" t="s">
        <v>61</v>
      </c>
      <c r="T706" s="18" t="s">
        <v>62</v>
      </c>
      <c r="U706" s="19" t="s">
        <v>80</v>
      </c>
    </row>
    <row r="707" spans="1:21" ht="15.75" customHeight="1" x14ac:dyDescent="0.25">
      <c r="A707" s="27" t="s">
        <v>4554</v>
      </c>
      <c r="B707" s="28" t="s">
        <v>4555</v>
      </c>
      <c r="C707" s="29" t="s">
        <v>4556</v>
      </c>
      <c r="D707" s="37" t="s">
        <v>109</v>
      </c>
      <c r="E707" s="29" t="s">
        <v>98</v>
      </c>
      <c r="F707" s="29" t="s">
        <v>3077</v>
      </c>
      <c r="G707" s="25" t="s">
        <v>110</v>
      </c>
      <c r="H707" s="29" t="s">
        <v>100</v>
      </c>
      <c r="I707" s="32" t="s">
        <v>4557</v>
      </c>
      <c r="J707" s="28" t="s">
        <v>4558</v>
      </c>
      <c r="K707" s="29" t="s">
        <v>3080</v>
      </c>
      <c r="L707" s="27" t="s">
        <v>90</v>
      </c>
      <c r="M707" s="28" t="s">
        <v>91</v>
      </c>
      <c r="N707" s="38"/>
      <c r="O707" s="34"/>
      <c r="P707" s="34"/>
      <c r="Q707" s="35" t="s">
        <v>78</v>
      </c>
      <c r="R707" s="35" t="s">
        <v>79</v>
      </c>
      <c r="S707" s="35" t="s">
        <v>61</v>
      </c>
      <c r="T707" s="35" t="s">
        <v>62</v>
      </c>
      <c r="U707" s="36" t="s">
        <v>80</v>
      </c>
    </row>
    <row r="708" spans="1:21" ht="15.75" customHeight="1" x14ac:dyDescent="0.25">
      <c r="A708" s="9" t="s">
        <v>4559</v>
      </c>
      <c r="B708" s="10" t="s">
        <v>4560</v>
      </c>
      <c r="C708" s="11" t="s">
        <v>4561</v>
      </c>
      <c r="D708" s="21" t="s">
        <v>109</v>
      </c>
      <c r="E708" s="11" t="s">
        <v>98</v>
      </c>
      <c r="F708" s="11" t="s">
        <v>4562</v>
      </c>
      <c r="G708" s="25" t="s">
        <v>110</v>
      </c>
      <c r="H708" s="11" t="s">
        <v>100</v>
      </c>
      <c r="I708" s="15" t="s">
        <v>4563</v>
      </c>
      <c r="J708" s="10" t="s">
        <v>4564</v>
      </c>
      <c r="K708" s="11" t="s">
        <v>3080</v>
      </c>
      <c r="L708" s="9" t="s">
        <v>90</v>
      </c>
      <c r="M708" s="10" t="s">
        <v>91</v>
      </c>
      <c r="N708" s="22"/>
      <c r="O708" s="17"/>
      <c r="P708" s="17"/>
      <c r="Q708" s="18" t="s">
        <v>78</v>
      </c>
      <c r="R708" s="18" t="s">
        <v>79</v>
      </c>
      <c r="S708" s="18" t="s">
        <v>61</v>
      </c>
      <c r="T708" s="18" t="s">
        <v>62</v>
      </c>
      <c r="U708" s="19" t="s">
        <v>80</v>
      </c>
    </row>
    <row r="709" spans="1:21" ht="15.75" customHeight="1" x14ac:dyDescent="0.25">
      <c r="A709" s="27" t="s">
        <v>4565</v>
      </c>
      <c r="B709" s="28" t="s">
        <v>4566</v>
      </c>
      <c r="C709" s="29" t="s">
        <v>4567</v>
      </c>
      <c r="D709" s="37" t="s">
        <v>109</v>
      </c>
      <c r="E709" s="29" t="s">
        <v>98</v>
      </c>
      <c r="F709" s="29" t="s">
        <v>99</v>
      </c>
      <c r="G709" s="25" t="s">
        <v>110</v>
      </c>
      <c r="H709" s="29" t="s">
        <v>120</v>
      </c>
      <c r="I709" s="32" t="s">
        <v>4568</v>
      </c>
      <c r="J709" s="28" t="s">
        <v>4569</v>
      </c>
      <c r="K709" s="29" t="s">
        <v>3080</v>
      </c>
      <c r="L709" s="27" t="s">
        <v>90</v>
      </c>
      <c r="M709" s="28" t="s">
        <v>91</v>
      </c>
      <c r="N709" s="38"/>
      <c r="O709" s="34"/>
      <c r="P709" s="34"/>
      <c r="Q709" s="35" t="s">
        <v>78</v>
      </c>
      <c r="R709" s="35" t="s">
        <v>79</v>
      </c>
      <c r="S709" s="35" t="s">
        <v>61</v>
      </c>
      <c r="T709" s="35" t="s">
        <v>62</v>
      </c>
      <c r="U709" s="36" t="s">
        <v>80</v>
      </c>
    </row>
    <row r="710" spans="1:21" ht="15.75" customHeight="1" x14ac:dyDescent="0.25">
      <c r="A710" s="9" t="s">
        <v>4570</v>
      </c>
      <c r="B710" s="10" t="s">
        <v>4571</v>
      </c>
      <c r="C710" s="11" t="s">
        <v>4572</v>
      </c>
      <c r="D710" s="21" t="s">
        <v>109</v>
      </c>
      <c r="E710" s="11" t="s">
        <v>98</v>
      </c>
      <c r="F710" s="11" t="s">
        <v>4573</v>
      </c>
      <c r="G710" s="25" t="s">
        <v>110</v>
      </c>
      <c r="H710" s="11" t="s">
        <v>100</v>
      </c>
      <c r="I710" s="15" t="s">
        <v>4574</v>
      </c>
      <c r="J710" s="10" t="s">
        <v>4575</v>
      </c>
      <c r="K710" s="11" t="s">
        <v>3080</v>
      </c>
      <c r="L710" s="9" t="s">
        <v>90</v>
      </c>
      <c r="M710" s="10" t="s">
        <v>91</v>
      </c>
      <c r="N710" s="22"/>
      <c r="O710" s="17"/>
      <c r="P710" s="17"/>
      <c r="Q710" s="18" t="s">
        <v>78</v>
      </c>
      <c r="R710" s="18" t="s">
        <v>79</v>
      </c>
      <c r="S710" s="18" t="s">
        <v>61</v>
      </c>
      <c r="T710" s="18" t="s">
        <v>62</v>
      </c>
      <c r="U710" s="19" t="s">
        <v>80</v>
      </c>
    </row>
    <row r="711" spans="1:21" ht="15.75" customHeight="1" x14ac:dyDescent="0.25">
      <c r="A711" s="27" t="s">
        <v>4576</v>
      </c>
      <c r="B711" s="28" t="s">
        <v>4577</v>
      </c>
      <c r="C711" s="29" t="s">
        <v>4578</v>
      </c>
      <c r="D711" s="37" t="s">
        <v>109</v>
      </c>
      <c r="E711" s="29" t="s">
        <v>98</v>
      </c>
      <c r="F711" s="31">
        <v>536</v>
      </c>
      <c r="G711" s="24" t="s">
        <v>85</v>
      </c>
      <c r="H711" s="29" t="s">
        <v>129</v>
      </c>
      <c r="I711" s="32" t="s">
        <v>4579</v>
      </c>
      <c r="J711" s="28" t="s">
        <v>4580</v>
      </c>
      <c r="K711" s="29"/>
      <c r="L711" s="27"/>
      <c r="M711" s="28"/>
      <c r="N711" s="38"/>
      <c r="O711" s="34"/>
      <c r="P711" s="34"/>
      <c r="Q711" s="35" t="s">
        <v>78</v>
      </c>
      <c r="R711" s="35" t="s">
        <v>79</v>
      </c>
      <c r="S711" s="35" t="s">
        <v>61</v>
      </c>
      <c r="T711" s="35" t="s">
        <v>62</v>
      </c>
      <c r="U711" s="36" t="s">
        <v>80</v>
      </c>
    </row>
    <row r="712" spans="1:21" ht="15.75" customHeight="1" x14ac:dyDescent="0.25">
      <c r="A712" s="9" t="s">
        <v>4581</v>
      </c>
      <c r="B712" s="10" t="s">
        <v>4582</v>
      </c>
      <c r="C712" s="11" t="s">
        <v>4583</v>
      </c>
      <c r="D712" s="21" t="s">
        <v>109</v>
      </c>
      <c r="E712" s="11" t="s">
        <v>47</v>
      </c>
      <c r="F712" s="13">
        <v>116</v>
      </c>
      <c r="G712" s="14" t="s">
        <v>119</v>
      </c>
      <c r="H712" s="11" t="s">
        <v>330</v>
      </c>
      <c r="I712" s="15" t="s">
        <v>4584</v>
      </c>
      <c r="J712" s="10" t="s">
        <v>4585</v>
      </c>
      <c r="K712" s="11" t="s">
        <v>3267</v>
      </c>
      <c r="L712" s="9" t="s">
        <v>158</v>
      </c>
      <c r="M712" s="10" t="s">
        <v>159</v>
      </c>
      <c r="N712" s="22"/>
      <c r="O712" s="17"/>
      <c r="P712" s="17"/>
      <c r="Q712" s="18" t="s">
        <v>78</v>
      </c>
      <c r="R712" s="18" t="s">
        <v>79</v>
      </c>
      <c r="S712" s="18" t="s">
        <v>61</v>
      </c>
      <c r="T712" s="18" t="s">
        <v>62</v>
      </c>
      <c r="U712" s="19" t="s">
        <v>80</v>
      </c>
    </row>
    <row r="713" spans="1:21" ht="15.75" customHeight="1" x14ac:dyDescent="0.25">
      <c r="A713" s="27" t="s">
        <v>4586</v>
      </c>
      <c r="B713" s="28" t="s">
        <v>4587</v>
      </c>
      <c r="C713" s="29" t="s">
        <v>4588</v>
      </c>
      <c r="D713" s="37" t="s">
        <v>109</v>
      </c>
      <c r="E713" s="29" t="s">
        <v>47</v>
      </c>
      <c r="F713" s="31">
        <v>164</v>
      </c>
      <c r="G713" s="14" t="s">
        <v>119</v>
      </c>
      <c r="H713" s="29" t="s">
        <v>86</v>
      </c>
      <c r="I713" s="32" t="s">
        <v>4589</v>
      </c>
      <c r="J713" s="28" t="s">
        <v>4590</v>
      </c>
      <c r="K713" s="29" t="s">
        <v>4591</v>
      </c>
      <c r="L713" s="27" t="s">
        <v>158</v>
      </c>
      <c r="M713" s="28" t="s">
        <v>159</v>
      </c>
      <c r="N713" s="38"/>
      <c r="O713" s="34"/>
      <c r="P713" s="34"/>
      <c r="Q713" s="35" t="s">
        <v>78</v>
      </c>
      <c r="R713" s="35" t="s">
        <v>79</v>
      </c>
      <c r="S713" s="35" t="s">
        <v>61</v>
      </c>
      <c r="T713" s="35" t="s">
        <v>62</v>
      </c>
      <c r="U713" s="36" t="s">
        <v>80</v>
      </c>
    </row>
    <row r="714" spans="1:21" ht="15.75" customHeight="1" x14ac:dyDescent="0.25">
      <c r="A714" s="9" t="s">
        <v>4592</v>
      </c>
      <c r="B714" s="10" t="s">
        <v>4593</v>
      </c>
      <c r="C714" s="11" t="s">
        <v>4594</v>
      </c>
      <c r="D714" s="12" t="s">
        <v>3361</v>
      </c>
      <c r="E714" s="11" t="s">
        <v>47</v>
      </c>
      <c r="F714" s="13">
        <v>170</v>
      </c>
      <c r="G714" s="20" t="s">
        <v>119</v>
      </c>
      <c r="H714" s="11" t="s">
        <v>86</v>
      </c>
      <c r="I714" s="15" t="s">
        <v>4595</v>
      </c>
      <c r="J714" s="10" t="s">
        <v>4596</v>
      </c>
      <c r="K714" s="11" t="s">
        <v>3364</v>
      </c>
      <c r="L714" s="9" t="s">
        <v>158</v>
      </c>
      <c r="M714" s="10" t="s">
        <v>159</v>
      </c>
      <c r="N714" s="16" t="s">
        <v>75</v>
      </c>
      <c r="O714" s="17" t="s">
        <v>650</v>
      </c>
      <c r="P714" s="17" t="s">
        <v>651</v>
      </c>
      <c r="Q714" s="18" t="s">
        <v>78</v>
      </c>
      <c r="R714" s="18" t="s">
        <v>79</v>
      </c>
      <c r="S714" s="18" t="s">
        <v>61</v>
      </c>
      <c r="T714" s="18" t="s">
        <v>62</v>
      </c>
      <c r="U714" s="19" t="s">
        <v>80</v>
      </c>
    </row>
    <row r="715" spans="1:21" ht="15.75" customHeight="1" x14ac:dyDescent="0.25">
      <c r="A715" s="27" t="s">
        <v>4597</v>
      </c>
      <c r="B715" s="28" t="s">
        <v>4598</v>
      </c>
      <c r="C715" s="29" t="s">
        <v>4599</v>
      </c>
      <c r="D715" s="30" t="s">
        <v>3361</v>
      </c>
      <c r="E715" s="29" t="s">
        <v>47</v>
      </c>
      <c r="F715" s="31">
        <v>164</v>
      </c>
      <c r="G715" s="20" t="s">
        <v>119</v>
      </c>
      <c r="H715" s="29" t="s">
        <v>86</v>
      </c>
      <c r="I715" s="32" t="s">
        <v>4600</v>
      </c>
      <c r="J715" s="28" t="s">
        <v>4601</v>
      </c>
      <c r="K715" s="29" t="s">
        <v>3364</v>
      </c>
      <c r="L715" s="27" t="s">
        <v>158</v>
      </c>
      <c r="M715" s="28" t="s">
        <v>159</v>
      </c>
      <c r="N715" s="33" t="s">
        <v>75</v>
      </c>
      <c r="O715" s="34" t="s">
        <v>650</v>
      </c>
      <c r="P715" s="34" t="s">
        <v>651</v>
      </c>
      <c r="Q715" s="35" t="s">
        <v>78</v>
      </c>
      <c r="R715" s="35" t="s">
        <v>79</v>
      </c>
      <c r="S715" s="35" t="s">
        <v>61</v>
      </c>
      <c r="T715" s="35" t="s">
        <v>62</v>
      </c>
      <c r="U715" s="36" t="s">
        <v>80</v>
      </c>
    </row>
    <row r="716" spans="1:21" ht="15.75" customHeight="1" x14ac:dyDescent="0.25">
      <c r="A716" s="9" t="s">
        <v>4602</v>
      </c>
      <c r="B716" s="10" t="s">
        <v>4603</v>
      </c>
      <c r="C716" s="11" t="s">
        <v>4604</v>
      </c>
      <c r="D716" s="12" t="s">
        <v>3361</v>
      </c>
      <c r="E716" s="11" t="s">
        <v>47</v>
      </c>
      <c r="F716" s="13">
        <v>173</v>
      </c>
      <c r="G716" s="20" t="s">
        <v>119</v>
      </c>
      <c r="H716" s="11" t="s">
        <v>86</v>
      </c>
      <c r="I716" s="15" t="s">
        <v>4605</v>
      </c>
      <c r="J716" s="10" t="s">
        <v>4606</v>
      </c>
      <c r="K716" s="11" t="s">
        <v>3364</v>
      </c>
      <c r="L716" s="9" t="s">
        <v>158</v>
      </c>
      <c r="M716" s="10" t="s">
        <v>159</v>
      </c>
      <c r="N716" s="16" t="s">
        <v>75</v>
      </c>
      <c r="O716" s="17" t="s">
        <v>650</v>
      </c>
      <c r="P716" s="17" t="s">
        <v>651</v>
      </c>
      <c r="Q716" s="18" t="s">
        <v>78</v>
      </c>
      <c r="R716" s="18" t="s">
        <v>79</v>
      </c>
      <c r="S716" s="18" t="s">
        <v>61</v>
      </c>
      <c r="T716" s="18" t="s">
        <v>62</v>
      </c>
      <c r="U716" s="19" t="s">
        <v>80</v>
      </c>
    </row>
    <row r="717" spans="1:21" ht="15.75" customHeight="1" x14ac:dyDescent="0.25">
      <c r="A717" s="27" t="s">
        <v>4607</v>
      </c>
      <c r="B717" s="28" t="s">
        <v>4608</v>
      </c>
      <c r="C717" s="29" t="s">
        <v>4609</v>
      </c>
      <c r="D717" s="30" t="s">
        <v>4610</v>
      </c>
      <c r="E717" s="29" t="s">
        <v>47</v>
      </c>
      <c r="F717" s="31">
        <v>175</v>
      </c>
      <c r="G717" s="14" t="s">
        <v>110</v>
      </c>
      <c r="H717" s="29" t="s">
        <v>86</v>
      </c>
      <c r="I717" s="32" t="s">
        <v>4611</v>
      </c>
      <c r="J717" s="28" t="s">
        <v>4612</v>
      </c>
      <c r="K717" s="29" t="s">
        <v>3364</v>
      </c>
      <c r="L717" s="27" t="s">
        <v>158</v>
      </c>
      <c r="M717" s="28" t="s">
        <v>159</v>
      </c>
      <c r="N717" s="39" t="s">
        <v>179</v>
      </c>
      <c r="O717" s="34" t="s">
        <v>712</v>
      </c>
      <c r="P717" s="34" t="s">
        <v>713</v>
      </c>
      <c r="Q717" s="35" t="s">
        <v>78</v>
      </c>
      <c r="R717" s="35" t="s">
        <v>79</v>
      </c>
      <c r="S717" s="35" t="s">
        <v>61</v>
      </c>
      <c r="T717" s="35" t="s">
        <v>62</v>
      </c>
      <c r="U717" s="36" t="s">
        <v>80</v>
      </c>
    </row>
    <row r="718" spans="1:21" ht="15.75" customHeight="1" x14ac:dyDescent="0.25">
      <c r="A718" s="9" t="s">
        <v>4613</v>
      </c>
      <c r="B718" s="10" t="s">
        <v>4614</v>
      </c>
      <c r="C718" s="11" t="s">
        <v>4615</v>
      </c>
      <c r="D718" s="21" t="s">
        <v>109</v>
      </c>
      <c r="E718" s="11" t="s">
        <v>47</v>
      </c>
      <c r="F718" s="13">
        <v>104</v>
      </c>
      <c r="G718" s="14" t="s">
        <v>119</v>
      </c>
      <c r="H718" s="11" t="s">
        <v>330</v>
      </c>
      <c r="I718" s="15" t="s">
        <v>4616</v>
      </c>
      <c r="J718" s="10" t="s">
        <v>4617</v>
      </c>
      <c r="K718" s="11" t="s">
        <v>3823</v>
      </c>
      <c r="L718" s="9" t="s">
        <v>158</v>
      </c>
      <c r="M718" s="10" t="s">
        <v>159</v>
      </c>
      <c r="N718" s="22"/>
      <c r="O718" s="17"/>
      <c r="P718" s="17"/>
      <c r="Q718" s="18" t="s">
        <v>78</v>
      </c>
      <c r="R718" s="18" t="s">
        <v>79</v>
      </c>
      <c r="S718" s="18" t="s">
        <v>61</v>
      </c>
      <c r="T718" s="18" t="s">
        <v>62</v>
      </c>
      <c r="U718" s="19" t="s">
        <v>80</v>
      </c>
    </row>
    <row r="719" spans="1:21" ht="15.75" customHeight="1" x14ac:dyDescent="0.25">
      <c r="A719" s="27" t="s">
        <v>4618</v>
      </c>
      <c r="B719" s="28" t="s">
        <v>4619</v>
      </c>
      <c r="C719" s="29" t="s">
        <v>4620</v>
      </c>
      <c r="D719" s="37" t="s">
        <v>109</v>
      </c>
      <c r="E719" s="29" t="s">
        <v>98</v>
      </c>
      <c r="F719" s="29"/>
      <c r="G719" s="25" t="s">
        <v>110</v>
      </c>
      <c r="H719" s="29" t="s">
        <v>100</v>
      </c>
      <c r="I719" s="32" t="s">
        <v>4621</v>
      </c>
      <c r="J719" s="28" t="s">
        <v>4622</v>
      </c>
      <c r="K719" s="29" t="s">
        <v>4623</v>
      </c>
      <c r="L719" s="27" t="s">
        <v>481</v>
      </c>
      <c r="M719" s="28" t="s">
        <v>482</v>
      </c>
      <c r="N719" s="38"/>
      <c r="O719" s="34"/>
      <c r="P719" s="34"/>
      <c r="Q719" s="35" t="s">
        <v>78</v>
      </c>
      <c r="R719" s="35" t="s">
        <v>79</v>
      </c>
      <c r="S719" s="35" t="s">
        <v>61</v>
      </c>
      <c r="T719" s="35" t="s">
        <v>62</v>
      </c>
      <c r="U719" s="36" t="s">
        <v>80</v>
      </c>
    </row>
    <row r="720" spans="1:21" ht="15.75" customHeight="1" x14ac:dyDescent="0.25">
      <c r="A720" s="9" t="s">
        <v>4624</v>
      </c>
      <c r="B720" s="10" t="s">
        <v>4625</v>
      </c>
      <c r="C720" s="11" t="s">
        <v>4626</v>
      </c>
      <c r="D720" s="21" t="s">
        <v>109</v>
      </c>
      <c r="E720" s="11" t="s">
        <v>98</v>
      </c>
      <c r="F720" s="13">
        <v>550</v>
      </c>
      <c r="G720" s="24" t="s">
        <v>85</v>
      </c>
      <c r="H720" s="11" t="s">
        <v>129</v>
      </c>
      <c r="I720" s="15" t="s">
        <v>4627</v>
      </c>
      <c r="J720" s="10" t="s">
        <v>4628</v>
      </c>
      <c r="K720" s="11"/>
      <c r="L720" s="9"/>
      <c r="M720" s="10"/>
      <c r="N720" s="22"/>
      <c r="O720" s="17"/>
      <c r="P720" s="17"/>
      <c r="Q720" s="18" t="s">
        <v>78</v>
      </c>
      <c r="R720" s="18" t="s">
        <v>79</v>
      </c>
      <c r="S720" s="18" t="s">
        <v>61</v>
      </c>
      <c r="T720" s="18" t="s">
        <v>62</v>
      </c>
      <c r="U720" s="19" t="s">
        <v>80</v>
      </c>
    </row>
    <row r="721" spans="1:21" ht="15.75" customHeight="1" x14ac:dyDescent="0.25">
      <c r="A721" s="27" t="s">
        <v>4629</v>
      </c>
      <c r="B721" s="28" t="s">
        <v>4630</v>
      </c>
      <c r="C721" s="29" t="s">
        <v>4631</v>
      </c>
      <c r="D721" s="37" t="s">
        <v>109</v>
      </c>
      <c r="E721" s="29" t="s">
        <v>47</v>
      </c>
      <c r="F721" s="31">
        <v>175</v>
      </c>
      <c r="G721" s="25" t="s">
        <v>110</v>
      </c>
      <c r="H721" s="29" t="s">
        <v>86</v>
      </c>
      <c r="I721" s="32" t="s">
        <v>4632</v>
      </c>
      <c r="J721" s="28" t="s">
        <v>4633</v>
      </c>
      <c r="K721" s="29" t="s">
        <v>4634</v>
      </c>
      <c r="L721" s="27" t="s">
        <v>90</v>
      </c>
      <c r="M721" s="28" t="s">
        <v>91</v>
      </c>
      <c r="N721" s="38"/>
      <c r="O721" s="34"/>
      <c r="P721" s="34"/>
      <c r="Q721" s="35" t="s">
        <v>78</v>
      </c>
      <c r="R721" s="35" t="s">
        <v>79</v>
      </c>
      <c r="S721" s="35" t="s">
        <v>61</v>
      </c>
      <c r="T721" s="35" t="s">
        <v>62</v>
      </c>
      <c r="U721" s="36" t="s">
        <v>80</v>
      </c>
    </row>
    <row r="722" spans="1:21" ht="15.75" customHeight="1" x14ac:dyDescent="0.25">
      <c r="A722" s="9" t="s">
        <v>4635</v>
      </c>
      <c r="B722" s="10" t="s">
        <v>4636</v>
      </c>
      <c r="C722" s="11" t="s">
        <v>4637</v>
      </c>
      <c r="D722" s="21" t="s">
        <v>109</v>
      </c>
      <c r="E722" s="11" t="s">
        <v>98</v>
      </c>
      <c r="F722" s="13">
        <v>117</v>
      </c>
      <c r="G722" s="25" t="s">
        <v>110</v>
      </c>
      <c r="H722" s="11" t="s">
        <v>330</v>
      </c>
      <c r="I722" s="15" t="s">
        <v>4638</v>
      </c>
      <c r="J722" s="10" t="s">
        <v>4639</v>
      </c>
      <c r="K722" s="11" t="s">
        <v>1286</v>
      </c>
      <c r="L722" s="9" t="s">
        <v>90</v>
      </c>
      <c r="M722" s="10" t="s">
        <v>91</v>
      </c>
      <c r="N722" s="22"/>
      <c r="O722" s="17"/>
      <c r="P722" s="17"/>
      <c r="Q722" s="18" t="s">
        <v>78</v>
      </c>
      <c r="R722" s="18" t="s">
        <v>79</v>
      </c>
      <c r="S722" s="18" t="s">
        <v>61</v>
      </c>
      <c r="T722" s="18" t="s">
        <v>62</v>
      </c>
      <c r="U722" s="19" t="s">
        <v>80</v>
      </c>
    </row>
    <row r="723" spans="1:21" ht="15.75" customHeight="1" x14ac:dyDescent="0.25">
      <c r="A723" s="27" t="s">
        <v>4640</v>
      </c>
      <c r="B723" s="28" t="s">
        <v>4641</v>
      </c>
      <c r="C723" s="29" t="s">
        <v>4642</v>
      </c>
      <c r="D723" s="37" t="s">
        <v>109</v>
      </c>
      <c r="E723" s="29" t="s">
        <v>4643</v>
      </c>
      <c r="F723" s="29" t="s">
        <v>118</v>
      </c>
      <c r="G723" s="25" t="s">
        <v>110</v>
      </c>
      <c r="H723" s="29" t="s">
        <v>120</v>
      </c>
      <c r="I723" s="32" t="s">
        <v>4644</v>
      </c>
      <c r="J723" s="28" t="s">
        <v>4645</v>
      </c>
      <c r="K723" s="29" t="s">
        <v>337</v>
      </c>
      <c r="L723" s="27" t="s">
        <v>90</v>
      </c>
      <c r="M723" s="28" t="s">
        <v>91</v>
      </c>
      <c r="N723" s="38"/>
      <c r="O723" s="34"/>
      <c r="P723" s="34"/>
      <c r="Q723" s="35" t="s">
        <v>78</v>
      </c>
      <c r="R723" s="35" t="s">
        <v>79</v>
      </c>
      <c r="S723" s="35" t="s">
        <v>61</v>
      </c>
      <c r="T723" s="35" t="s">
        <v>62</v>
      </c>
      <c r="U723" s="36" t="s">
        <v>80</v>
      </c>
    </row>
    <row r="724" spans="1:21" ht="15.75" customHeight="1" x14ac:dyDescent="0.25">
      <c r="A724" s="9" t="s">
        <v>4646</v>
      </c>
      <c r="B724" s="10" t="s">
        <v>4647</v>
      </c>
      <c r="C724" s="11" t="s">
        <v>4648</v>
      </c>
      <c r="D724" s="21" t="s">
        <v>109</v>
      </c>
      <c r="E724" s="11" t="s">
        <v>98</v>
      </c>
      <c r="F724" s="11" t="s">
        <v>99</v>
      </c>
      <c r="G724" s="25" t="s">
        <v>110</v>
      </c>
      <c r="H724" s="11" t="s">
        <v>100</v>
      </c>
      <c r="I724" s="15" t="s">
        <v>4649</v>
      </c>
      <c r="J724" s="10" t="s">
        <v>4650</v>
      </c>
      <c r="K724" s="11" t="s">
        <v>337</v>
      </c>
      <c r="L724" s="9" t="s">
        <v>90</v>
      </c>
      <c r="M724" s="10" t="s">
        <v>91</v>
      </c>
      <c r="N724" s="22"/>
      <c r="O724" s="17"/>
      <c r="P724" s="17"/>
      <c r="Q724" s="18" t="s">
        <v>78</v>
      </c>
      <c r="R724" s="18" t="s">
        <v>79</v>
      </c>
      <c r="S724" s="18" t="s">
        <v>61</v>
      </c>
      <c r="T724" s="18" t="s">
        <v>62</v>
      </c>
      <c r="U724" s="19" t="s">
        <v>80</v>
      </c>
    </row>
    <row r="725" spans="1:21" ht="15.75" customHeight="1" x14ac:dyDescent="0.25">
      <c r="A725" s="27" t="s">
        <v>4651</v>
      </c>
      <c r="B725" s="28" t="s">
        <v>4652</v>
      </c>
      <c r="C725" s="29" t="s">
        <v>4653</v>
      </c>
      <c r="D725" s="37" t="s">
        <v>109</v>
      </c>
      <c r="E725" s="29" t="s">
        <v>98</v>
      </c>
      <c r="F725" s="29"/>
      <c r="G725" s="14" t="s">
        <v>119</v>
      </c>
      <c r="H725" s="29" t="s">
        <v>120</v>
      </c>
      <c r="I725" s="32" t="s">
        <v>4654</v>
      </c>
      <c r="J725" s="28" t="s">
        <v>4655</v>
      </c>
      <c r="K725" s="29" t="s">
        <v>4656</v>
      </c>
      <c r="L725" s="27" t="s">
        <v>2005</v>
      </c>
      <c r="M725" s="28" t="s">
        <v>2006</v>
      </c>
      <c r="N725" s="38"/>
      <c r="O725" s="34"/>
      <c r="P725" s="34"/>
      <c r="Q725" s="35" t="s">
        <v>78</v>
      </c>
      <c r="R725" s="35" t="s">
        <v>79</v>
      </c>
      <c r="S725" s="35" t="s">
        <v>61</v>
      </c>
      <c r="T725" s="35" t="s">
        <v>62</v>
      </c>
      <c r="U725" s="36" t="s">
        <v>80</v>
      </c>
    </row>
    <row r="726" spans="1:21" ht="15.75" customHeight="1" x14ac:dyDescent="0.25">
      <c r="A726" s="9" t="s">
        <v>4657</v>
      </c>
      <c r="B726" s="10" t="s">
        <v>4658</v>
      </c>
      <c r="C726" s="11" t="s">
        <v>4659</v>
      </c>
      <c r="D726" s="21" t="s">
        <v>109</v>
      </c>
      <c r="E726" s="11" t="s">
        <v>98</v>
      </c>
      <c r="F726" s="13">
        <v>328</v>
      </c>
      <c r="G726" s="24" t="s">
        <v>85</v>
      </c>
      <c r="H726" s="11" t="s">
        <v>129</v>
      </c>
      <c r="I726" s="15" t="s">
        <v>4660</v>
      </c>
      <c r="J726" s="10" t="s">
        <v>4661</v>
      </c>
      <c r="K726" s="11" t="s">
        <v>332</v>
      </c>
      <c r="L726" s="9" t="s">
        <v>197</v>
      </c>
      <c r="M726" s="10" t="s">
        <v>198</v>
      </c>
      <c r="N726" s="22"/>
      <c r="O726" s="17"/>
      <c r="P726" s="17"/>
      <c r="Q726" s="18" t="s">
        <v>78</v>
      </c>
      <c r="R726" s="18" t="s">
        <v>79</v>
      </c>
      <c r="S726" s="18" t="s">
        <v>61</v>
      </c>
      <c r="T726" s="18" t="s">
        <v>62</v>
      </c>
      <c r="U726" s="19" t="s">
        <v>80</v>
      </c>
    </row>
    <row r="727" spans="1:21" ht="15.75" customHeight="1" x14ac:dyDescent="0.25">
      <c r="A727" s="27" t="s">
        <v>4662</v>
      </c>
      <c r="B727" s="28" t="s">
        <v>4663</v>
      </c>
      <c r="C727" s="29" t="s">
        <v>4664</v>
      </c>
      <c r="D727" s="30" t="s">
        <v>4665</v>
      </c>
      <c r="E727" s="29"/>
      <c r="F727" s="29"/>
      <c r="G727" s="25" t="s">
        <v>119</v>
      </c>
      <c r="H727" s="29" t="s">
        <v>120</v>
      </c>
      <c r="I727" s="32" t="s">
        <v>4666</v>
      </c>
      <c r="J727" s="28" t="s">
        <v>4667</v>
      </c>
      <c r="K727" s="29" t="s">
        <v>4623</v>
      </c>
      <c r="L727" s="27" t="s">
        <v>481</v>
      </c>
      <c r="M727" s="28" t="s">
        <v>482</v>
      </c>
      <c r="N727" s="33" t="s">
        <v>75</v>
      </c>
      <c r="O727" s="34" t="s">
        <v>1127</v>
      </c>
      <c r="P727" s="34" t="s">
        <v>1128</v>
      </c>
      <c r="Q727" s="35" t="s">
        <v>78</v>
      </c>
      <c r="R727" s="35" t="s">
        <v>79</v>
      </c>
      <c r="S727" s="35" t="s">
        <v>61</v>
      </c>
      <c r="T727" s="35" t="s">
        <v>62</v>
      </c>
      <c r="U727" s="36" t="s">
        <v>80</v>
      </c>
    </row>
    <row r="728" spans="1:21" ht="15.75" customHeight="1" x14ac:dyDescent="0.25">
      <c r="A728" s="9" t="s">
        <v>4668</v>
      </c>
      <c r="B728" s="10" t="s">
        <v>4669</v>
      </c>
      <c r="C728" s="11" t="s">
        <v>4670</v>
      </c>
      <c r="D728" s="21" t="s">
        <v>109</v>
      </c>
      <c r="E728" s="11" t="s">
        <v>98</v>
      </c>
      <c r="F728" s="11"/>
      <c r="G728" s="24" t="s">
        <v>85</v>
      </c>
      <c r="H728" s="11" t="s">
        <v>100</v>
      </c>
      <c r="I728" s="15" t="s">
        <v>4671</v>
      </c>
      <c r="J728" s="10" t="s">
        <v>4672</v>
      </c>
      <c r="K728" s="11"/>
      <c r="L728" s="9"/>
      <c r="M728" s="10"/>
      <c r="N728" s="22"/>
      <c r="O728" s="17"/>
      <c r="P728" s="17"/>
      <c r="Q728" s="18" t="s">
        <v>78</v>
      </c>
      <c r="R728" s="18" t="s">
        <v>79</v>
      </c>
      <c r="S728" s="18" t="s">
        <v>61</v>
      </c>
      <c r="T728" s="18" t="s">
        <v>62</v>
      </c>
      <c r="U728" s="19" t="s">
        <v>80</v>
      </c>
    </row>
    <row r="729" spans="1:21" ht="15.75" customHeight="1" x14ac:dyDescent="0.25">
      <c r="A729" s="27" t="s">
        <v>4673</v>
      </c>
      <c r="B729" s="28" t="s">
        <v>4674</v>
      </c>
      <c r="C729" s="29" t="s">
        <v>4675</v>
      </c>
      <c r="D729" s="37" t="s">
        <v>109</v>
      </c>
      <c r="E729" s="29" t="s">
        <v>98</v>
      </c>
      <c r="F729" s="29"/>
      <c r="G729" s="24" t="s">
        <v>85</v>
      </c>
      <c r="H729" s="29" t="s">
        <v>100</v>
      </c>
      <c r="I729" s="32" t="s">
        <v>4676</v>
      </c>
      <c r="J729" s="28" t="s">
        <v>4677</v>
      </c>
      <c r="K729" s="29"/>
      <c r="L729" s="27"/>
      <c r="M729" s="28"/>
      <c r="N729" s="38"/>
      <c r="O729" s="34"/>
      <c r="P729" s="34"/>
      <c r="Q729" s="35" t="s">
        <v>78</v>
      </c>
      <c r="R729" s="35" t="s">
        <v>79</v>
      </c>
      <c r="S729" s="35" t="s">
        <v>61</v>
      </c>
      <c r="T729" s="35" t="s">
        <v>62</v>
      </c>
      <c r="U729" s="36" t="s">
        <v>80</v>
      </c>
    </row>
    <row r="730" spans="1:21" ht="15.75" customHeight="1" x14ac:dyDescent="0.25">
      <c r="A730" s="9" t="s">
        <v>4678</v>
      </c>
      <c r="B730" s="10" t="s">
        <v>4679</v>
      </c>
      <c r="C730" s="11" t="s">
        <v>4680</v>
      </c>
      <c r="D730" s="21" t="s">
        <v>109</v>
      </c>
      <c r="E730" s="11" t="s">
        <v>98</v>
      </c>
      <c r="F730" s="11" t="s">
        <v>4681</v>
      </c>
      <c r="G730" s="24" t="s">
        <v>85</v>
      </c>
      <c r="H730" s="11" t="s">
        <v>100</v>
      </c>
      <c r="I730" s="15" t="s">
        <v>4682</v>
      </c>
      <c r="J730" s="10" t="s">
        <v>4683</v>
      </c>
      <c r="K730" s="11"/>
      <c r="L730" s="9"/>
      <c r="M730" s="10"/>
      <c r="N730" s="22"/>
      <c r="O730" s="17"/>
      <c r="P730" s="17"/>
      <c r="Q730" s="18" t="s">
        <v>78</v>
      </c>
      <c r="R730" s="18" t="s">
        <v>79</v>
      </c>
      <c r="S730" s="18" t="s">
        <v>61</v>
      </c>
      <c r="T730" s="18" t="s">
        <v>62</v>
      </c>
      <c r="U730" s="19" t="s">
        <v>80</v>
      </c>
    </row>
    <row r="731" spans="1:21" ht="15.75" customHeight="1" x14ac:dyDescent="0.25">
      <c r="A731" s="27" t="s">
        <v>4684</v>
      </c>
      <c r="B731" s="28" t="s">
        <v>4685</v>
      </c>
      <c r="C731" s="29" t="s">
        <v>4686</v>
      </c>
      <c r="D731" s="37" t="s">
        <v>109</v>
      </c>
      <c r="E731" s="29" t="s">
        <v>47</v>
      </c>
      <c r="F731" s="31">
        <v>112</v>
      </c>
      <c r="G731" s="25" t="s">
        <v>110</v>
      </c>
      <c r="H731" s="29" t="s">
        <v>330</v>
      </c>
      <c r="I731" s="32" t="s">
        <v>4687</v>
      </c>
      <c r="J731" s="28" t="s">
        <v>4688</v>
      </c>
      <c r="K731" s="29" t="s">
        <v>4689</v>
      </c>
      <c r="L731" s="27" t="s">
        <v>90</v>
      </c>
      <c r="M731" s="28" t="s">
        <v>91</v>
      </c>
      <c r="N731" s="38"/>
      <c r="O731" s="34"/>
      <c r="P731" s="34"/>
      <c r="Q731" s="35" t="s">
        <v>78</v>
      </c>
      <c r="R731" s="35" t="s">
        <v>79</v>
      </c>
      <c r="S731" s="35" t="s">
        <v>61</v>
      </c>
      <c r="T731" s="35" t="s">
        <v>62</v>
      </c>
      <c r="U731" s="36" t="s">
        <v>80</v>
      </c>
    </row>
    <row r="732" spans="1:21" ht="15.75" customHeight="1" x14ac:dyDescent="0.25">
      <c r="A732" s="9" t="s">
        <v>4690</v>
      </c>
      <c r="B732" s="10" t="s">
        <v>4691</v>
      </c>
      <c r="C732" s="11" t="s">
        <v>4692</v>
      </c>
      <c r="D732" s="12" t="s">
        <v>4693</v>
      </c>
      <c r="E732" s="11" t="s">
        <v>98</v>
      </c>
      <c r="F732" s="11"/>
      <c r="G732" s="26" t="s">
        <v>119</v>
      </c>
      <c r="H732" s="11" t="s">
        <v>120</v>
      </c>
      <c r="I732" s="15" t="s">
        <v>4694</v>
      </c>
      <c r="J732" s="10" t="s">
        <v>4695</v>
      </c>
      <c r="K732" s="11"/>
      <c r="L732" s="9"/>
      <c r="M732" s="10"/>
      <c r="N732" s="23" t="s">
        <v>179</v>
      </c>
      <c r="O732" s="17" t="s">
        <v>934</v>
      </c>
      <c r="P732" s="17" t="s">
        <v>935</v>
      </c>
      <c r="Q732" s="18" t="s">
        <v>78</v>
      </c>
      <c r="R732" s="18" t="s">
        <v>79</v>
      </c>
      <c r="S732" s="18" t="s">
        <v>61</v>
      </c>
      <c r="T732" s="18" t="s">
        <v>62</v>
      </c>
      <c r="U732" s="19" t="s">
        <v>80</v>
      </c>
    </row>
    <row r="733" spans="1:21" ht="15.75" customHeight="1" x14ac:dyDescent="0.25">
      <c r="A733" s="27" t="s">
        <v>4696</v>
      </c>
      <c r="B733" s="28" t="s">
        <v>4697</v>
      </c>
      <c r="C733" s="29" t="s">
        <v>4698</v>
      </c>
      <c r="D733" s="37" t="s">
        <v>109</v>
      </c>
      <c r="E733" s="29" t="s">
        <v>98</v>
      </c>
      <c r="F733" s="29" t="s">
        <v>4699</v>
      </c>
      <c r="G733" s="24" t="s">
        <v>85</v>
      </c>
      <c r="H733" s="29" t="s">
        <v>100</v>
      </c>
      <c r="I733" s="32" t="s">
        <v>4700</v>
      </c>
      <c r="J733" s="28" t="s">
        <v>4701</v>
      </c>
      <c r="K733" s="29"/>
      <c r="L733" s="27"/>
      <c r="M733" s="28"/>
      <c r="N733" s="38"/>
      <c r="O733" s="34"/>
      <c r="P733" s="34"/>
      <c r="Q733" s="35" t="s">
        <v>78</v>
      </c>
      <c r="R733" s="35" t="s">
        <v>79</v>
      </c>
      <c r="S733" s="35" t="s">
        <v>61</v>
      </c>
      <c r="T733" s="35" t="s">
        <v>62</v>
      </c>
      <c r="U733" s="36" t="s">
        <v>80</v>
      </c>
    </row>
    <row r="734" spans="1:21" ht="15.75" customHeight="1" x14ac:dyDescent="0.25">
      <c r="A734" s="9" t="s">
        <v>4702</v>
      </c>
      <c r="B734" s="10" t="s">
        <v>4703</v>
      </c>
      <c r="C734" s="11" t="s">
        <v>4704</v>
      </c>
      <c r="D734" s="12" t="s">
        <v>2707</v>
      </c>
      <c r="E734" s="11" t="s">
        <v>98</v>
      </c>
      <c r="F734" s="13">
        <v>215</v>
      </c>
      <c r="G734" s="20" t="s">
        <v>119</v>
      </c>
      <c r="H734" s="11" t="s">
        <v>129</v>
      </c>
      <c r="I734" s="15" t="s">
        <v>4705</v>
      </c>
      <c r="J734" s="10" t="s">
        <v>4703</v>
      </c>
      <c r="K734" s="11" t="s">
        <v>1286</v>
      </c>
      <c r="L734" s="9" t="s">
        <v>90</v>
      </c>
      <c r="M734" s="10" t="s">
        <v>91</v>
      </c>
      <c r="N734" s="16" t="s">
        <v>75</v>
      </c>
      <c r="O734" s="17" t="s">
        <v>124</v>
      </c>
      <c r="P734" s="17" t="s">
        <v>125</v>
      </c>
      <c r="Q734" s="18" t="s">
        <v>78</v>
      </c>
      <c r="R734" s="18" t="s">
        <v>79</v>
      </c>
      <c r="S734" s="18" t="s">
        <v>61</v>
      </c>
      <c r="T734" s="18" t="s">
        <v>62</v>
      </c>
      <c r="U734" s="19" t="s">
        <v>80</v>
      </c>
    </row>
    <row r="735" spans="1:21" ht="15.75" customHeight="1" x14ac:dyDescent="0.25">
      <c r="A735" s="27" t="s">
        <v>4706</v>
      </c>
      <c r="B735" s="28" t="s">
        <v>4707</v>
      </c>
      <c r="C735" s="29" t="s">
        <v>4708</v>
      </c>
      <c r="D735" s="37" t="s">
        <v>109</v>
      </c>
      <c r="E735" s="29" t="s">
        <v>1264</v>
      </c>
      <c r="F735" s="29"/>
      <c r="G735" s="14" t="s">
        <v>119</v>
      </c>
      <c r="H735" s="29" t="s">
        <v>100</v>
      </c>
      <c r="I735" s="32" t="s">
        <v>4709</v>
      </c>
      <c r="J735" s="28" t="s">
        <v>4710</v>
      </c>
      <c r="K735" s="29" t="s">
        <v>1266</v>
      </c>
      <c r="L735" s="27" t="s">
        <v>1267</v>
      </c>
      <c r="M735" s="28" t="s">
        <v>1268</v>
      </c>
      <c r="N735" s="38"/>
      <c r="O735" s="34"/>
      <c r="P735" s="34"/>
      <c r="Q735" s="35" t="s">
        <v>78</v>
      </c>
      <c r="R735" s="35" t="s">
        <v>79</v>
      </c>
      <c r="S735" s="35" t="s">
        <v>61</v>
      </c>
      <c r="T735" s="35" t="s">
        <v>62</v>
      </c>
      <c r="U735" s="36" t="s">
        <v>80</v>
      </c>
    </row>
    <row r="736" spans="1:21" ht="15.75" customHeight="1" x14ac:dyDescent="0.25">
      <c r="A736" s="9" t="s">
        <v>4711</v>
      </c>
      <c r="B736" s="10" t="s">
        <v>4712</v>
      </c>
      <c r="C736" s="11" t="s">
        <v>4713</v>
      </c>
      <c r="D736" s="21" t="s">
        <v>109</v>
      </c>
      <c r="E736" s="11" t="s">
        <v>98</v>
      </c>
      <c r="F736" s="11"/>
      <c r="G736" s="25" t="s">
        <v>110</v>
      </c>
      <c r="H736" s="11" t="s">
        <v>120</v>
      </c>
      <c r="I736" s="15" t="s">
        <v>4714</v>
      </c>
      <c r="J736" s="10" t="s">
        <v>4715</v>
      </c>
      <c r="K736" s="11" t="s">
        <v>4123</v>
      </c>
      <c r="L736" s="9" t="s">
        <v>90</v>
      </c>
      <c r="M736" s="10" t="s">
        <v>91</v>
      </c>
      <c r="N736" s="22"/>
      <c r="O736" s="17"/>
      <c r="P736" s="17"/>
      <c r="Q736" s="18" t="s">
        <v>78</v>
      </c>
      <c r="R736" s="18" t="s">
        <v>79</v>
      </c>
      <c r="S736" s="18" t="s">
        <v>61</v>
      </c>
      <c r="T736" s="18" t="s">
        <v>62</v>
      </c>
      <c r="U736" s="19" t="s">
        <v>80</v>
      </c>
    </row>
    <row r="737" spans="1:21" ht="15.75" customHeight="1" x14ac:dyDescent="0.25">
      <c r="A737" s="27" t="s">
        <v>4716</v>
      </c>
      <c r="B737" s="28" t="s">
        <v>4717</v>
      </c>
      <c r="C737" s="29" t="s">
        <v>4718</v>
      </c>
      <c r="D737" s="30" t="s">
        <v>4719</v>
      </c>
      <c r="E737" s="29" t="s">
        <v>98</v>
      </c>
      <c r="F737" s="29"/>
      <c r="G737" s="26" t="s">
        <v>110</v>
      </c>
      <c r="H737" s="29" t="s">
        <v>100</v>
      </c>
      <c r="I737" s="32" t="s">
        <v>4720</v>
      </c>
      <c r="J737" s="28" t="s">
        <v>4721</v>
      </c>
      <c r="K737" s="29" t="s">
        <v>332</v>
      </c>
      <c r="L737" s="27" t="s">
        <v>197</v>
      </c>
      <c r="M737" s="28" t="s">
        <v>198</v>
      </c>
      <c r="N737" s="39" t="s">
        <v>179</v>
      </c>
      <c r="O737" s="34" t="s">
        <v>1448</v>
      </c>
      <c r="P737" s="34" t="s">
        <v>1449</v>
      </c>
      <c r="Q737" s="35" t="s">
        <v>78</v>
      </c>
      <c r="R737" s="35" t="s">
        <v>79</v>
      </c>
      <c r="S737" s="35" t="s">
        <v>61</v>
      </c>
      <c r="T737" s="35" t="s">
        <v>62</v>
      </c>
      <c r="U737" s="36" t="s">
        <v>80</v>
      </c>
    </row>
    <row r="738" spans="1:21" ht="15.75" customHeight="1" x14ac:dyDescent="0.25">
      <c r="A738" s="9" t="s">
        <v>4722</v>
      </c>
      <c r="B738" s="10" t="s">
        <v>4723</v>
      </c>
      <c r="C738" s="11" t="s">
        <v>4724</v>
      </c>
      <c r="D738" s="21" t="s">
        <v>109</v>
      </c>
      <c r="E738" s="11" t="s">
        <v>98</v>
      </c>
      <c r="F738" s="13">
        <v>129</v>
      </c>
      <c r="G738" s="24" t="s">
        <v>85</v>
      </c>
      <c r="H738" s="11" t="s">
        <v>330</v>
      </c>
      <c r="I738" s="15" t="s">
        <v>4725</v>
      </c>
      <c r="J738" s="10" t="s">
        <v>4726</v>
      </c>
      <c r="K738" s="11" t="s">
        <v>332</v>
      </c>
      <c r="L738" s="9" t="s">
        <v>197</v>
      </c>
      <c r="M738" s="10" t="s">
        <v>198</v>
      </c>
      <c r="N738" s="22"/>
      <c r="O738" s="17"/>
      <c r="P738" s="17"/>
      <c r="Q738" s="18" t="s">
        <v>78</v>
      </c>
      <c r="R738" s="18" t="s">
        <v>79</v>
      </c>
      <c r="S738" s="18" t="s">
        <v>61</v>
      </c>
      <c r="T738" s="18" t="s">
        <v>62</v>
      </c>
      <c r="U738" s="19" t="s">
        <v>80</v>
      </c>
    </row>
    <row r="739" spans="1:21" ht="15.75" customHeight="1" x14ac:dyDescent="0.25">
      <c r="A739" s="27" t="s">
        <v>4727</v>
      </c>
      <c r="B739" s="28" t="s">
        <v>4728</v>
      </c>
      <c r="C739" s="29" t="s">
        <v>4729</v>
      </c>
      <c r="D739" s="37" t="s">
        <v>109</v>
      </c>
      <c r="E739" s="29" t="s">
        <v>98</v>
      </c>
      <c r="F739" s="29"/>
      <c r="G739" s="25" t="s">
        <v>110</v>
      </c>
      <c r="H739" s="29" t="s">
        <v>100</v>
      </c>
      <c r="I739" s="32" t="s">
        <v>4730</v>
      </c>
      <c r="J739" s="28" t="s">
        <v>4731</v>
      </c>
      <c r="K739" s="29" t="s">
        <v>1286</v>
      </c>
      <c r="L739" s="27" t="s">
        <v>90</v>
      </c>
      <c r="M739" s="28" t="s">
        <v>91</v>
      </c>
      <c r="N739" s="38"/>
      <c r="O739" s="34"/>
      <c r="P739" s="34"/>
      <c r="Q739" s="35" t="s">
        <v>78</v>
      </c>
      <c r="R739" s="35" t="s">
        <v>79</v>
      </c>
      <c r="S739" s="35" t="s">
        <v>61</v>
      </c>
      <c r="T739" s="35" t="s">
        <v>62</v>
      </c>
      <c r="U739" s="36" t="s">
        <v>80</v>
      </c>
    </row>
    <row r="740" spans="1:21" ht="15.75" customHeight="1" x14ac:dyDescent="0.25">
      <c r="A740" s="9" t="s">
        <v>4732</v>
      </c>
      <c r="B740" s="10" t="s">
        <v>4733</v>
      </c>
      <c r="C740" s="11" t="s">
        <v>4734</v>
      </c>
      <c r="D740" s="12" t="s">
        <v>1357</v>
      </c>
      <c r="E740" s="11" t="s">
        <v>98</v>
      </c>
      <c r="F740" s="13">
        <v>302</v>
      </c>
      <c r="G740" s="20" t="s">
        <v>85</v>
      </c>
      <c r="H740" s="11" t="s">
        <v>129</v>
      </c>
      <c r="I740" s="15" t="s">
        <v>4735</v>
      </c>
      <c r="J740" s="10" t="s">
        <v>4736</v>
      </c>
      <c r="K740" s="11"/>
      <c r="L740" s="9"/>
      <c r="M740" s="10"/>
      <c r="N740" s="16" t="s">
        <v>75</v>
      </c>
      <c r="O740" s="17" t="s">
        <v>292</v>
      </c>
      <c r="P740" s="17" t="s">
        <v>293</v>
      </c>
      <c r="Q740" s="18" t="s">
        <v>78</v>
      </c>
      <c r="R740" s="18" t="s">
        <v>79</v>
      </c>
      <c r="S740" s="18" t="s">
        <v>61</v>
      </c>
      <c r="T740" s="18" t="s">
        <v>62</v>
      </c>
      <c r="U740" s="19" t="s">
        <v>80</v>
      </c>
    </row>
    <row r="741" spans="1:21" ht="15.75" customHeight="1" x14ac:dyDescent="0.25">
      <c r="A741" s="27" t="s">
        <v>4737</v>
      </c>
      <c r="B741" s="28" t="s">
        <v>4738</v>
      </c>
      <c r="C741" s="29" t="s">
        <v>4739</v>
      </c>
      <c r="D741" s="30" t="s">
        <v>4740</v>
      </c>
      <c r="E741" s="29" t="s">
        <v>47</v>
      </c>
      <c r="F741" s="31">
        <v>120</v>
      </c>
      <c r="G741" s="20" t="s">
        <v>119</v>
      </c>
      <c r="H741" s="29" t="s">
        <v>330</v>
      </c>
      <c r="I741" s="32" t="s">
        <v>4741</v>
      </c>
      <c r="J741" s="28" t="s">
        <v>4742</v>
      </c>
      <c r="K741" s="29" t="s">
        <v>4743</v>
      </c>
      <c r="L741" s="27" t="s">
        <v>90</v>
      </c>
      <c r="M741" s="28" t="s">
        <v>91</v>
      </c>
      <c r="N741" s="33" t="s">
        <v>75</v>
      </c>
      <c r="O741" s="34" t="s">
        <v>4744</v>
      </c>
      <c r="P741" s="34" t="s">
        <v>4745</v>
      </c>
      <c r="Q741" s="35" t="s">
        <v>78</v>
      </c>
      <c r="R741" s="35" t="s">
        <v>79</v>
      </c>
      <c r="S741" s="35" t="s">
        <v>61</v>
      </c>
      <c r="T741" s="35" t="s">
        <v>62</v>
      </c>
      <c r="U741" s="36" t="s">
        <v>80</v>
      </c>
    </row>
    <row r="742" spans="1:21" ht="15.75" customHeight="1" x14ac:dyDescent="0.25">
      <c r="A742" s="9" t="s">
        <v>4746</v>
      </c>
      <c r="B742" s="10" t="s">
        <v>4747</v>
      </c>
      <c r="C742" s="11" t="s">
        <v>4748</v>
      </c>
      <c r="D742" s="21" t="s">
        <v>109</v>
      </c>
      <c r="E742" s="11" t="s">
        <v>47</v>
      </c>
      <c r="F742" s="11" t="s">
        <v>4749</v>
      </c>
      <c r="G742" s="14" t="s">
        <v>119</v>
      </c>
      <c r="H742" s="11" t="s">
        <v>330</v>
      </c>
      <c r="I742" s="15" t="s">
        <v>4750</v>
      </c>
      <c r="J742" s="10" t="s">
        <v>4751</v>
      </c>
      <c r="K742" s="11" t="s">
        <v>4752</v>
      </c>
      <c r="L742" s="9" t="s">
        <v>1598</v>
      </c>
      <c r="M742" s="10" t="s">
        <v>1599</v>
      </c>
      <c r="N742" s="22"/>
      <c r="O742" s="17"/>
      <c r="P742" s="17"/>
      <c r="Q742" s="18" t="s">
        <v>78</v>
      </c>
      <c r="R742" s="18" t="s">
        <v>79</v>
      </c>
      <c r="S742" s="18" t="s">
        <v>61</v>
      </c>
      <c r="T742" s="18" t="s">
        <v>62</v>
      </c>
      <c r="U742" s="19" t="s">
        <v>80</v>
      </c>
    </row>
    <row r="743" spans="1:21" ht="15.75" customHeight="1" x14ac:dyDescent="0.25">
      <c r="A743" s="27" t="s">
        <v>4753</v>
      </c>
      <c r="B743" s="28" t="s">
        <v>4754</v>
      </c>
      <c r="C743" s="29" t="s">
        <v>4755</v>
      </c>
      <c r="D743" s="37" t="s">
        <v>109</v>
      </c>
      <c r="E743" s="29" t="s">
        <v>47</v>
      </c>
      <c r="F743" s="31">
        <v>81</v>
      </c>
      <c r="G743" s="14" t="s">
        <v>119</v>
      </c>
      <c r="H743" s="29" t="s">
        <v>48</v>
      </c>
      <c r="I743" s="32" t="s">
        <v>4756</v>
      </c>
      <c r="J743" s="28" t="s">
        <v>4757</v>
      </c>
      <c r="K743" s="29" t="s">
        <v>903</v>
      </c>
      <c r="L743" s="27" t="s">
        <v>158</v>
      </c>
      <c r="M743" s="28" t="s">
        <v>159</v>
      </c>
      <c r="N743" s="38"/>
      <c r="O743" s="34"/>
      <c r="P743" s="34"/>
      <c r="Q743" s="35" t="s">
        <v>78</v>
      </c>
      <c r="R743" s="35" t="s">
        <v>79</v>
      </c>
      <c r="S743" s="35" t="s">
        <v>61</v>
      </c>
      <c r="T743" s="35" t="s">
        <v>62</v>
      </c>
      <c r="U743" s="36" t="s">
        <v>80</v>
      </c>
    </row>
    <row r="744" spans="1:21" ht="15.75" customHeight="1" x14ac:dyDescent="0.25">
      <c r="A744" s="9" t="s">
        <v>4758</v>
      </c>
      <c r="B744" s="10" t="s">
        <v>4759</v>
      </c>
      <c r="C744" s="11" t="s">
        <v>4760</v>
      </c>
      <c r="D744" s="21" t="s">
        <v>109</v>
      </c>
      <c r="E744" s="11" t="s">
        <v>98</v>
      </c>
      <c r="F744" s="11"/>
      <c r="G744" s="24" t="s">
        <v>85</v>
      </c>
      <c r="H744" s="11" t="s">
        <v>100</v>
      </c>
      <c r="I744" s="15" t="s">
        <v>4761</v>
      </c>
      <c r="J744" s="10" t="s">
        <v>4762</v>
      </c>
      <c r="K744" s="11"/>
      <c r="L744" s="9"/>
      <c r="M744" s="10"/>
      <c r="N744" s="22"/>
      <c r="O744" s="17"/>
      <c r="P744" s="17"/>
      <c r="Q744" s="18" t="s">
        <v>78</v>
      </c>
      <c r="R744" s="18" t="s">
        <v>79</v>
      </c>
      <c r="S744" s="18" t="s">
        <v>61</v>
      </c>
      <c r="T744" s="18" t="s">
        <v>62</v>
      </c>
      <c r="U744" s="19" t="s">
        <v>80</v>
      </c>
    </row>
    <row r="745" spans="1:21" ht="15.75" customHeight="1" x14ac:dyDescent="0.25">
      <c r="A745" s="27" t="s">
        <v>4763</v>
      </c>
      <c r="B745" s="28" t="s">
        <v>4764</v>
      </c>
      <c r="C745" s="29" t="s">
        <v>4765</v>
      </c>
      <c r="D745" s="30" t="s">
        <v>1786</v>
      </c>
      <c r="E745" s="29" t="s">
        <v>98</v>
      </c>
      <c r="F745" s="31">
        <v>1412</v>
      </c>
      <c r="G745" s="24" t="s">
        <v>119</v>
      </c>
      <c r="H745" s="29" t="s">
        <v>129</v>
      </c>
      <c r="I745" s="32" t="s">
        <v>4766</v>
      </c>
      <c r="J745" s="28" t="s">
        <v>4767</v>
      </c>
      <c r="K745" s="29"/>
      <c r="L745" s="27"/>
      <c r="M745" s="28"/>
      <c r="N745" s="39" t="s">
        <v>179</v>
      </c>
      <c r="O745" s="34"/>
      <c r="P745" s="34"/>
      <c r="Q745" s="35" t="s">
        <v>78</v>
      </c>
      <c r="R745" s="35" t="s">
        <v>79</v>
      </c>
      <c r="S745" s="35" t="s">
        <v>61</v>
      </c>
      <c r="T745" s="35" t="s">
        <v>62</v>
      </c>
      <c r="U745" s="36" t="s">
        <v>80</v>
      </c>
    </row>
    <row r="746" spans="1:21" ht="15.75" customHeight="1" x14ac:dyDescent="0.25">
      <c r="A746" s="9" t="s">
        <v>4768</v>
      </c>
      <c r="B746" s="10" t="s">
        <v>4769</v>
      </c>
      <c r="C746" s="11" t="s">
        <v>4770</v>
      </c>
      <c r="D746" s="12" t="s">
        <v>2224</v>
      </c>
      <c r="E746" s="11" t="s">
        <v>98</v>
      </c>
      <c r="F746" s="13">
        <v>1455</v>
      </c>
      <c r="G746" s="20" t="s">
        <v>85</v>
      </c>
      <c r="H746" s="11" t="s">
        <v>129</v>
      </c>
      <c r="I746" s="15" t="s">
        <v>4771</v>
      </c>
      <c r="J746" s="10" t="s">
        <v>4772</v>
      </c>
      <c r="K746" s="11" t="s">
        <v>4773</v>
      </c>
      <c r="L746" s="9" t="s">
        <v>90</v>
      </c>
      <c r="M746" s="10" t="s">
        <v>91</v>
      </c>
      <c r="N746" s="16" t="s">
        <v>75</v>
      </c>
      <c r="O746" s="17" t="s">
        <v>92</v>
      </c>
      <c r="P746" s="17" t="s">
        <v>93</v>
      </c>
      <c r="Q746" s="18" t="s">
        <v>78</v>
      </c>
      <c r="R746" s="18" t="s">
        <v>79</v>
      </c>
      <c r="S746" s="18" t="s">
        <v>61</v>
      </c>
      <c r="T746" s="18" t="s">
        <v>62</v>
      </c>
      <c r="U746" s="19" t="s">
        <v>80</v>
      </c>
    </row>
    <row r="747" spans="1:21" ht="15.75" customHeight="1" x14ac:dyDescent="0.25">
      <c r="A747" s="27" t="s">
        <v>4774</v>
      </c>
      <c r="B747" s="28" t="s">
        <v>4775</v>
      </c>
      <c r="C747" s="29" t="s">
        <v>4776</v>
      </c>
      <c r="D747" s="37" t="s">
        <v>109</v>
      </c>
      <c r="E747" s="29" t="s">
        <v>98</v>
      </c>
      <c r="F747" s="29"/>
      <c r="G747" s="24" t="s">
        <v>85</v>
      </c>
      <c r="H747" s="29" t="s">
        <v>120</v>
      </c>
      <c r="I747" s="32" t="s">
        <v>4777</v>
      </c>
      <c r="J747" s="28" t="s">
        <v>4778</v>
      </c>
      <c r="K747" s="29"/>
      <c r="L747" s="27"/>
      <c r="M747" s="28"/>
      <c r="N747" s="38"/>
      <c r="O747" s="34"/>
      <c r="P747" s="34"/>
      <c r="Q747" s="35" t="s">
        <v>78</v>
      </c>
      <c r="R747" s="35" t="s">
        <v>79</v>
      </c>
      <c r="S747" s="35" t="s">
        <v>61</v>
      </c>
      <c r="T747" s="35" t="s">
        <v>62</v>
      </c>
      <c r="U747" s="36" t="s">
        <v>80</v>
      </c>
    </row>
    <row r="748" spans="1:21" ht="15.75" customHeight="1" x14ac:dyDescent="0.25">
      <c r="A748" s="9" t="s">
        <v>4779</v>
      </c>
      <c r="B748" s="10" t="s">
        <v>4780</v>
      </c>
      <c r="C748" s="11" t="s">
        <v>4781</v>
      </c>
      <c r="D748" s="12" t="s">
        <v>4782</v>
      </c>
      <c r="E748" s="11" t="s">
        <v>98</v>
      </c>
      <c r="F748" s="11"/>
      <c r="G748" s="20" t="s">
        <v>119</v>
      </c>
      <c r="H748" s="11" t="s">
        <v>100</v>
      </c>
      <c r="I748" s="15" t="s">
        <v>4783</v>
      </c>
      <c r="J748" s="10" t="s">
        <v>4784</v>
      </c>
      <c r="K748" s="11" t="s">
        <v>4785</v>
      </c>
      <c r="L748" s="9" t="s">
        <v>1698</v>
      </c>
      <c r="M748" s="10" t="s">
        <v>1699</v>
      </c>
      <c r="N748" s="16" t="s">
        <v>75</v>
      </c>
      <c r="O748" s="17" t="s">
        <v>508</v>
      </c>
      <c r="P748" s="17" t="s">
        <v>509</v>
      </c>
      <c r="Q748" s="18" t="s">
        <v>78</v>
      </c>
      <c r="R748" s="18" t="s">
        <v>79</v>
      </c>
      <c r="S748" s="18" t="s">
        <v>61</v>
      </c>
      <c r="T748" s="18" t="s">
        <v>62</v>
      </c>
      <c r="U748" s="19" t="s">
        <v>80</v>
      </c>
    </row>
    <row r="749" spans="1:21" ht="15.75" customHeight="1" x14ac:dyDescent="0.25">
      <c r="A749" s="27" t="s">
        <v>4786</v>
      </c>
      <c r="B749" s="28" t="s">
        <v>4787</v>
      </c>
      <c r="C749" s="29" t="s">
        <v>4788</v>
      </c>
      <c r="D749" s="30" t="s">
        <v>1531</v>
      </c>
      <c r="E749" s="29" t="s">
        <v>98</v>
      </c>
      <c r="F749" s="29" t="s">
        <v>99</v>
      </c>
      <c r="G749" s="14" t="s">
        <v>119</v>
      </c>
      <c r="H749" s="29" t="s">
        <v>120</v>
      </c>
      <c r="I749" s="32" t="s">
        <v>4789</v>
      </c>
      <c r="J749" s="28" t="s">
        <v>4790</v>
      </c>
      <c r="K749" s="29"/>
      <c r="L749" s="27"/>
      <c r="M749" s="28"/>
      <c r="N749" s="39" t="s">
        <v>179</v>
      </c>
      <c r="O749" s="34" t="s">
        <v>869</v>
      </c>
      <c r="P749" s="34" t="s">
        <v>870</v>
      </c>
      <c r="Q749" s="35" t="s">
        <v>78</v>
      </c>
      <c r="R749" s="35" t="s">
        <v>79</v>
      </c>
      <c r="S749" s="35" t="s">
        <v>61</v>
      </c>
      <c r="T749" s="35" t="s">
        <v>62</v>
      </c>
      <c r="U749" s="36" t="s">
        <v>80</v>
      </c>
    </row>
    <row r="750" spans="1:21" ht="15.75" customHeight="1" x14ac:dyDescent="0.25">
      <c r="A750" s="9" t="s">
        <v>4791</v>
      </c>
      <c r="B750" s="10" t="s">
        <v>4792</v>
      </c>
      <c r="C750" s="11" t="s">
        <v>4793</v>
      </c>
      <c r="D750" s="12" t="s">
        <v>4794</v>
      </c>
      <c r="E750" s="11" t="s">
        <v>98</v>
      </c>
      <c r="F750" s="11"/>
      <c r="G750" s="25" t="s">
        <v>68</v>
      </c>
      <c r="H750" s="11" t="s">
        <v>120</v>
      </c>
      <c r="I750" s="15" t="s">
        <v>4795</v>
      </c>
      <c r="J750" s="10" t="s">
        <v>4796</v>
      </c>
      <c r="K750" s="11" t="s">
        <v>4797</v>
      </c>
      <c r="L750" s="9" t="s">
        <v>481</v>
      </c>
      <c r="M750" s="10" t="s">
        <v>482</v>
      </c>
      <c r="N750" s="16" t="s">
        <v>75</v>
      </c>
      <c r="O750" s="17" t="s">
        <v>2258</v>
      </c>
      <c r="P750" s="17" t="s">
        <v>2258</v>
      </c>
      <c r="Q750" s="18" t="s">
        <v>78</v>
      </c>
      <c r="R750" s="18" t="s">
        <v>79</v>
      </c>
      <c r="S750" s="18" t="s">
        <v>61</v>
      </c>
      <c r="T750" s="18" t="s">
        <v>62</v>
      </c>
      <c r="U750" s="19" t="s">
        <v>80</v>
      </c>
    </row>
    <row r="751" spans="1:21" ht="15.75" customHeight="1" x14ac:dyDescent="0.25">
      <c r="A751" s="27" t="s">
        <v>4798</v>
      </c>
      <c r="B751" s="28" t="s">
        <v>4799</v>
      </c>
      <c r="C751" s="29" t="s">
        <v>4800</v>
      </c>
      <c r="D751" s="30" t="s">
        <v>4801</v>
      </c>
      <c r="E751" s="29" t="s">
        <v>98</v>
      </c>
      <c r="F751" s="31">
        <v>309</v>
      </c>
      <c r="G751" s="20" t="s">
        <v>85</v>
      </c>
      <c r="H751" s="29" t="s">
        <v>129</v>
      </c>
      <c r="I751" s="32" t="s">
        <v>4802</v>
      </c>
      <c r="J751" s="28" t="s">
        <v>4803</v>
      </c>
      <c r="K751" s="29"/>
      <c r="L751" s="27"/>
      <c r="M751" s="28"/>
      <c r="N751" s="39" t="s">
        <v>179</v>
      </c>
      <c r="O751" s="34" t="s">
        <v>292</v>
      </c>
      <c r="P751" s="34" t="s">
        <v>293</v>
      </c>
      <c r="Q751" s="35" t="s">
        <v>78</v>
      </c>
      <c r="R751" s="35" t="s">
        <v>79</v>
      </c>
      <c r="S751" s="35" t="s">
        <v>61</v>
      </c>
      <c r="T751" s="35" t="s">
        <v>62</v>
      </c>
      <c r="U751" s="36" t="s">
        <v>80</v>
      </c>
    </row>
    <row r="752" spans="1:21" ht="15.75" customHeight="1" x14ac:dyDescent="0.25">
      <c r="A752" s="9" t="s">
        <v>4804</v>
      </c>
      <c r="B752" s="10" t="s">
        <v>4805</v>
      </c>
      <c r="C752" s="11" t="s">
        <v>4806</v>
      </c>
      <c r="D752" s="12" t="s">
        <v>4807</v>
      </c>
      <c r="E752" s="11" t="s">
        <v>98</v>
      </c>
      <c r="F752" s="11"/>
      <c r="G752" s="14" t="s">
        <v>68</v>
      </c>
      <c r="H752" s="11" t="s">
        <v>120</v>
      </c>
      <c r="I752" s="15" t="s">
        <v>4808</v>
      </c>
      <c r="J752" s="10" t="s">
        <v>4809</v>
      </c>
      <c r="K752" s="11" t="s">
        <v>4810</v>
      </c>
      <c r="L752" s="9" t="s">
        <v>1267</v>
      </c>
      <c r="M752" s="10" t="s">
        <v>1268</v>
      </c>
      <c r="N752" s="16" t="s">
        <v>75</v>
      </c>
      <c r="O752" s="17" t="s">
        <v>4505</v>
      </c>
      <c r="P752" s="17" t="s">
        <v>4506</v>
      </c>
      <c r="Q752" s="18" t="s">
        <v>78</v>
      </c>
      <c r="R752" s="18" t="s">
        <v>79</v>
      </c>
      <c r="S752" s="18" t="s">
        <v>61</v>
      </c>
      <c r="T752" s="18" t="s">
        <v>62</v>
      </c>
      <c r="U752" s="19" t="s">
        <v>80</v>
      </c>
    </row>
    <row r="753" spans="1:21" ht="15.75" customHeight="1" x14ac:dyDescent="0.25">
      <c r="A753" s="27" t="s">
        <v>4811</v>
      </c>
      <c r="B753" s="28" t="s">
        <v>4812</v>
      </c>
      <c r="C753" s="29" t="s">
        <v>4813</v>
      </c>
      <c r="D753" s="30" t="s">
        <v>4814</v>
      </c>
      <c r="E753" s="29" t="s">
        <v>98</v>
      </c>
      <c r="F753" s="29"/>
      <c r="G753" s="25" t="s">
        <v>708</v>
      </c>
      <c r="H753" s="29" t="s">
        <v>100</v>
      </c>
      <c r="I753" s="32" t="s">
        <v>4815</v>
      </c>
      <c r="J753" s="28" t="s">
        <v>4816</v>
      </c>
      <c r="K753" s="29"/>
      <c r="L753" s="27"/>
      <c r="M753" s="28"/>
      <c r="N753" s="33" t="s">
        <v>75</v>
      </c>
      <c r="O753" s="34" t="s">
        <v>1127</v>
      </c>
      <c r="P753" s="34" t="s">
        <v>1128</v>
      </c>
      <c r="Q753" s="35" t="s">
        <v>78</v>
      </c>
      <c r="R753" s="35" t="s">
        <v>79</v>
      </c>
      <c r="S753" s="35" t="s">
        <v>61</v>
      </c>
      <c r="T753" s="35" t="s">
        <v>62</v>
      </c>
      <c r="U753" s="36" t="s">
        <v>80</v>
      </c>
    </row>
    <row r="754" spans="1:21" ht="15.75" customHeight="1" x14ac:dyDescent="0.25">
      <c r="A754" s="9" t="s">
        <v>4817</v>
      </c>
      <c r="B754" s="10" t="s">
        <v>4818</v>
      </c>
      <c r="C754" s="11" t="s">
        <v>4819</v>
      </c>
      <c r="D754" s="12" t="s">
        <v>4820</v>
      </c>
      <c r="E754" s="11" t="s">
        <v>47</v>
      </c>
      <c r="F754" s="11" t="s">
        <v>4821</v>
      </c>
      <c r="G754" s="25" t="s">
        <v>119</v>
      </c>
      <c r="H754" s="11" t="s">
        <v>120</v>
      </c>
      <c r="I754" s="15" t="s">
        <v>4822</v>
      </c>
      <c r="J754" s="10" t="s">
        <v>4823</v>
      </c>
      <c r="K754" s="11" t="s">
        <v>4824</v>
      </c>
      <c r="L754" s="9" t="s">
        <v>481</v>
      </c>
      <c r="M754" s="10" t="s">
        <v>482</v>
      </c>
      <c r="N754" s="16" t="s">
        <v>75</v>
      </c>
      <c r="O754" s="17" t="s">
        <v>2594</v>
      </c>
      <c r="P754" s="17" t="s">
        <v>2595</v>
      </c>
      <c r="Q754" s="18" t="s">
        <v>78</v>
      </c>
      <c r="R754" s="18" t="s">
        <v>79</v>
      </c>
      <c r="S754" s="18" t="s">
        <v>61</v>
      </c>
      <c r="T754" s="18" t="s">
        <v>62</v>
      </c>
      <c r="U754" s="19" t="s">
        <v>80</v>
      </c>
    </row>
    <row r="755" spans="1:21" ht="15.75" customHeight="1" x14ac:dyDescent="0.25">
      <c r="A755" s="27" t="s">
        <v>4825</v>
      </c>
      <c r="B755" s="28" t="s">
        <v>4826</v>
      </c>
      <c r="C755" s="29" t="s">
        <v>4827</v>
      </c>
      <c r="D755" s="37" t="s">
        <v>109</v>
      </c>
      <c r="E755" s="29" t="s">
        <v>98</v>
      </c>
      <c r="F755" s="31">
        <v>145</v>
      </c>
      <c r="G755" s="25" t="s">
        <v>110</v>
      </c>
      <c r="H755" s="29" t="s">
        <v>330</v>
      </c>
      <c r="I755" s="32" t="s">
        <v>4828</v>
      </c>
      <c r="J755" s="28" t="s">
        <v>4829</v>
      </c>
      <c r="K755" s="29" t="s">
        <v>337</v>
      </c>
      <c r="L755" s="27" t="s">
        <v>90</v>
      </c>
      <c r="M755" s="28" t="s">
        <v>91</v>
      </c>
      <c r="N755" s="38"/>
      <c r="O755" s="34"/>
      <c r="P755" s="34"/>
      <c r="Q755" s="35" t="s">
        <v>78</v>
      </c>
      <c r="R755" s="35" t="s">
        <v>79</v>
      </c>
      <c r="S755" s="35" t="s">
        <v>61</v>
      </c>
      <c r="T755" s="35" t="s">
        <v>62</v>
      </c>
      <c r="U755" s="36" t="s">
        <v>80</v>
      </c>
    </row>
    <row r="756" spans="1:21" ht="15.75" customHeight="1" x14ac:dyDescent="0.25">
      <c r="A756" s="9" t="s">
        <v>4830</v>
      </c>
      <c r="B756" s="10" t="s">
        <v>4831</v>
      </c>
      <c r="C756" s="11" t="s">
        <v>4832</v>
      </c>
      <c r="D756" s="21" t="s">
        <v>109</v>
      </c>
      <c r="E756" s="11" t="s">
        <v>98</v>
      </c>
      <c r="F756" s="13">
        <v>1635</v>
      </c>
      <c r="G756" s="25" t="s">
        <v>110</v>
      </c>
      <c r="H756" s="11" t="s">
        <v>129</v>
      </c>
      <c r="I756" s="15" t="s">
        <v>4833</v>
      </c>
      <c r="J756" s="10" t="s">
        <v>4834</v>
      </c>
      <c r="K756" s="11" t="s">
        <v>4835</v>
      </c>
      <c r="L756" s="9" t="s">
        <v>90</v>
      </c>
      <c r="M756" s="10" t="s">
        <v>91</v>
      </c>
      <c r="N756" s="22"/>
      <c r="O756" s="17"/>
      <c r="P756" s="17"/>
      <c r="Q756" s="18" t="s">
        <v>78</v>
      </c>
      <c r="R756" s="18" t="s">
        <v>79</v>
      </c>
      <c r="S756" s="18" t="s">
        <v>61</v>
      </c>
      <c r="T756" s="18" t="s">
        <v>62</v>
      </c>
      <c r="U756" s="19" t="s">
        <v>80</v>
      </c>
    </row>
    <row r="757" spans="1:21" ht="15.75" customHeight="1" x14ac:dyDescent="0.25">
      <c r="A757" s="27" t="s">
        <v>4836</v>
      </c>
      <c r="B757" s="28" t="s">
        <v>4837</v>
      </c>
      <c r="C757" s="29" t="s">
        <v>4838</v>
      </c>
      <c r="D757" s="30" t="s">
        <v>4839</v>
      </c>
      <c r="E757" s="29" t="s">
        <v>67</v>
      </c>
      <c r="F757" s="31">
        <v>-18</v>
      </c>
      <c r="G757" s="20" t="s">
        <v>119</v>
      </c>
      <c r="H757" s="29" t="s">
        <v>69</v>
      </c>
      <c r="I757" s="32" t="s">
        <v>4840</v>
      </c>
      <c r="J757" s="28" t="s">
        <v>4841</v>
      </c>
      <c r="K757" s="29" t="s">
        <v>4842</v>
      </c>
      <c r="L757" s="27" t="s">
        <v>140</v>
      </c>
      <c r="M757" s="28" t="s">
        <v>141</v>
      </c>
      <c r="N757" s="33" t="s">
        <v>75</v>
      </c>
      <c r="O757" s="34" t="s">
        <v>492</v>
      </c>
      <c r="P757" s="34" t="s">
        <v>493</v>
      </c>
      <c r="Q757" s="35" t="s">
        <v>78</v>
      </c>
      <c r="R757" s="35" t="s">
        <v>79</v>
      </c>
      <c r="S757" s="35" t="s">
        <v>61</v>
      </c>
      <c r="T757" s="35" t="s">
        <v>62</v>
      </c>
      <c r="U757" s="36" t="s">
        <v>80</v>
      </c>
    </row>
    <row r="758" spans="1:21" ht="15.75" customHeight="1" x14ac:dyDescent="0.25">
      <c r="A758" s="9" t="s">
        <v>4843</v>
      </c>
      <c r="B758" s="10" t="s">
        <v>4844</v>
      </c>
      <c r="C758" s="11" t="s">
        <v>4845</v>
      </c>
      <c r="D758" s="21" t="s">
        <v>109</v>
      </c>
      <c r="E758" s="11" t="s">
        <v>98</v>
      </c>
      <c r="F758" s="11"/>
      <c r="G758" s="25" t="s">
        <v>110</v>
      </c>
      <c r="H758" s="11" t="s">
        <v>100</v>
      </c>
      <c r="I758" s="15" t="s">
        <v>4846</v>
      </c>
      <c r="J758" s="10" t="s">
        <v>4847</v>
      </c>
      <c r="K758" s="11" t="s">
        <v>3931</v>
      </c>
      <c r="L758" s="9" t="s">
        <v>90</v>
      </c>
      <c r="M758" s="10" t="s">
        <v>91</v>
      </c>
      <c r="N758" s="22"/>
      <c r="O758" s="17"/>
      <c r="P758" s="17"/>
      <c r="Q758" s="18" t="s">
        <v>78</v>
      </c>
      <c r="R758" s="18" t="s">
        <v>79</v>
      </c>
      <c r="S758" s="18" t="s">
        <v>61</v>
      </c>
      <c r="T758" s="18" t="s">
        <v>62</v>
      </c>
      <c r="U758" s="19" t="s">
        <v>80</v>
      </c>
    </row>
    <row r="759" spans="1:21" ht="15.75" customHeight="1" x14ac:dyDescent="0.25">
      <c r="A759" s="27" t="s">
        <v>4848</v>
      </c>
      <c r="B759" s="28" t="s">
        <v>4849</v>
      </c>
      <c r="C759" s="29" t="s">
        <v>4850</v>
      </c>
      <c r="D759" s="37" t="s">
        <v>109</v>
      </c>
      <c r="E759" s="29" t="s">
        <v>98</v>
      </c>
      <c r="F759" s="29" t="s">
        <v>4851</v>
      </c>
      <c r="G759" s="25" t="s">
        <v>110</v>
      </c>
      <c r="H759" s="29" t="s">
        <v>100</v>
      </c>
      <c r="I759" s="32" t="s">
        <v>4852</v>
      </c>
      <c r="J759" s="28" t="s">
        <v>4853</v>
      </c>
      <c r="K759" s="29" t="s">
        <v>4854</v>
      </c>
      <c r="L759" s="27" t="s">
        <v>90</v>
      </c>
      <c r="M759" s="28" t="s">
        <v>91</v>
      </c>
      <c r="N759" s="38"/>
      <c r="O759" s="34"/>
      <c r="P759" s="34"/>
      <c r="Q759" s="35" t="s">
        <v>78</v>
      </c>
      <c r="R759" s="35" t="s">
        <v>79</v>
      </c>
      <c r="S759" s="35" t="s">
        <v>61</v>
      </c>
      <c r="T759" s="35" t="s">
        <v>62</v>
      </c>
      <c r="U759" s="36" t="s">
        <v>80</v>
      </c>
    </row>
    <row r="760" spans="1:21" ht="15.75" customHeight="1" x14ac:dyDescent="0.25">
      <c r="A760" s="9" t="s">
        <v>4855</v>
      </c>
      <c r="B760" s="10" t="s">
        <v>4856</v>
      </c>
      <c r="C760" s="11" t="s">
        <v>4857</v>
      </c>
      <c r="D760" s="21" t="s">
        <v>109</v>
      </c>
      <c r="E760" s="11" t="s">
        <v>98</v>
      </c>
      <c r="F760" s="11" t="s">
        <v>4858</v>
      </c>
      <c r="G760" s="25" t="s">
        <v>110</v>
      </c>
      <c r="H760" s="11" t="s">
        <v>100</v>
      </c>
      <c r="I760" s="15" t="s">
        <v>4859</v>
      </c>
      <c r="J760" s="10" t="s">
        <v>4860</v>
      </c>
      <c r="K760" s="11" t="s">
        <v>4861</v>
      </c>
      <c r="L760" s="9" t="s">
        <v>90</v>
      </c>
      <c r="M760" s="10" t="s">
        <v>91</v>
      </c>
      <c r="N760" s="22"/>
      <c r="O760" s="17"/>
      <c r="P760" s="17"/>
      <c r="Q760" s="18" t="s">
        <v>78</v>
      </c>
      <c r="R760" s="18" t="s">
        <v>79</v>
      </c>
      <c r="S760" s="18" t="s">
        <v>61</v>
      </c>
      <c r="T760" s="18" t="s">
        <v>62</v>
      </c>
      <c r="U760" s="19" t="s">
        <v>80</v>
      </c>
    </row>
    <row r="761" spans="1:21" ht="15.75" customHeight="1" x14ac:dyDescent="0.25">
      <c r="A761" s="27" t="s">
        <v>4862</v>
      </c>
      <c r="B761" s="28" t="s">
        <v>4863</v>
      </c>
      <c r="C761" s="29" t="s">
        <v>4864</v>
      </c>
      <c r="D761" s="37" t="s">
        <v>109</v>
      </c>
      <c r="E761" s="29" t="s">
        <v>98</v>
      </c>
      <c r="F761" s="29" t="s">
        <v>3307</v>
      </c>
      <c r="G761" s="24" t="s">
        <v>85</v>
      </c>
      <c r="H761" s="29" t="s">
        <v>100</v>
      </c>
      <c r="I761" s="32" t="s">
        <v>4865</v>
      </c>
      <c r="J761" s="28" t="s">
        <v>4866</v>
      </c>
      <c r="K761" s="29"/>
      <c r="L761" s="27"/>
      <c r="M761" s="28"/>
      <c r="N761" s="38"/>
      <c r="O761" s="34"/>
      <c r="P761" s="34"/>
      <c r="Q761" s="35" t="s">
        <v>78</v>
      </c>
      <c r="R761" s="35" t="s">
        <v>79</v>
      </c>
      <c r="S761" s="35" t="s">
        <v>61</v>
      </c>
      <c r="T761" s="35" t="s">
        <v>62</v>
      </c>
      <c r="U761" s="36" t="s">
        <v>80</v>
      </c>
    </row>
    <row r="762" spans="1:21" ht="15.75" customHeight="1" x14ac:dyDescent="0.25">
      <c r="A762" s="9" t="s">
        <v>4867</v>
      </c>
      <c r="B762" s="10" t="s">
        <v>4868</v>
      </c>
      <c r="C762" s="11" t="s">
        <v>4869</v>
      </c>
      <c r="D762" s="21" t="s">
        <v>109</v>
      </c>
      <c r="E762" s="11" t="s">
        <v>98</v>
      </c>
      <c r="F762" s="11"/>
      <c r="G762" s="24" t="s">
        <v>85</v>
      </c>
      <c r="H762" s="11" t="s">
        <v>120</v>
      </c>
      <c r="I762" s="15" t="s">
        <v>4870</v>
      </c>
      <c r="J762" s="10" t="s">
        <v>4871</v>
      </c>
      <c r="K762" s="11"/>
      <c r="L762" s="9"/>
      <c r="M762" s="10"/>
      <c r="N762" s="22"/>
      <c r="O762" s="17"/>
      <c r="P762" s="17"/>
      <c r="Q762" s="18" t="s">
        <v>78</v>
      </c>
      <c r="R762" s="18" t="s">
        <v>79</v>
      </c>
      <c r="S762" s="18" t="s">
        <v>61</v>
      </c>
      <c r="T762" s="18" t="s">
        <v>62</v>
      </c>
      <c r="U762" s="19" t="s">
        <v>80</v>
      </c>
    </row>
    <row r="763" spans="1:21" ht="15.75" customHeight="1" x14ac:dyDescent="0.25">
      <c r="A763" s="27" t="s">
        <v>4872</v>
      </c>
      <c r="B763" s="28" t="s">
        <v>4873</v>
      </c>
      <c r="C763" s="29" t="s">
        <v>4874</v>
      </c>
      <c r="D763" s="37" t="s">
        <v>109</v>
      </c>
      <c r="E763" s="29" t="s">
        <v>98</v>
      </c>
      <c r="F763" s="31">
        <v>2870</v>
      </c>
      <c r="G763" s="24" t="s">
        <v>85</v>
      </c>
      <c r="H763" s="29" t="s">
        <v>129</v>
      </c>
      <c r="I763" s="32" t="s">
        <v>4875</v>
      </c>
      <c r="J763" s="28" t="s">
        <v>4876</v>
      </c>
      <c r="K763" s="29"/>
      <c r="L763" s="27"/>
      <c r="M763" s="28"/>
      <c r="N763" s="38"/>
      <c r="O763" s="34"/>
      <c r="P763" s="34"/>
      <c r="Q763" s="35" t="s">
        <v>78</v>
      </c>
      <c r="R763" s="35" t="s">
        <v>79</v>
      </c>
      <c r="S763" s="35" t="s">
        <v>61</v>
      </c>
      <c r="T763" s="35" t="s">
        <v>62</v>
      </c>
      <c r="U763" s="36" t="s">
        <v>80</v>
      </c>
    </row>
    <row r="764" spans="1:21" ht="15.75" customHeight="1" x14ac:dyDescent="0.25">
      <c r="A764" s="9" t="s">
        <v>4877</v>
      </c>
      <c r="B764" s="10" t="s">
        <v>4878</v>
      </c>
      <c r="C764" s="11" t="s">
        <v>4879</v>
      </c>
      <c r="D764" s="12" t="s">
        <v>4880</v>
      </c>
      <c r="E764" s="11" t="s">
        <v>98</v>
      </c>
      <c r="F764" s="13">
        <v>1049</v>
      </c>
      <c r="G764" s="20" t="s">
        <v>85</v>
      </c>
      <c r="H764" s="11" t="s">
        <v>129</v>
      </c>
      <c r="I764" s="15" t="s">
        <v>4881</v>
      </c>
      <c r="J764" s="10" t="s">
        <v>4882</v>
      </c>
      <c r="K764" s="11"/>
      <c r="L764" s="9"/>
      <c r="M764" s="10"/>
      <c r="N764" s="16" t="s">
        <v>75</v>
      </c>
      <c r="O764" s="17" t="s">
        <v>355</v>
      </c>
      <c r="P764" s="17" t="s">
        <v>356</v>
      </c>
      <c r="Q764" s="18" t="s">
        <v>78</v>
      </c>
      <c r="R764" s="18" t="s">
        <v>79</v>
      </c>
      <c r="S764" s="18" t="s">
        <v>61</v>
      </c>
      <c r="T764" s="18" t="s">
        <v>62</v>
      </c>
      <c r="U764" s="19" t="s">
        <v>80</v>
      </c>
    </row>
    <row r="765" spans="1:21" ht="15.75" customHeight="1" x14ac:dyDescent="0.25">
      <c r="A765" s="27" t="s">
        <v>4883</v>
      </c>
      <c r="B765" s="28" t="s">
        <v>4884</v>
      </c>
      <c r="C765" s="29" t="s">
        <v>4885</v>
      </c>
      <c r="D765" s="37" t="s">
        <v>109</v>
      </c>
      <c r="E765" s="29" t="s">
        <v>98</v>
      </c>
      <c r="F765" s="29"/>
      <c r="G765" s="24" t="s">
        <v>85</v>
      </c>
      <c r="H765" s="29" t="s">
        <v>120</v>
      </c>
      <c r="I765" s="32" t="s">
        <v>4886</v>
      </c>
      <c r="J765" s="28" t="s">
        <v>4887</v>
      </c>
      <c r="K765" s="29"/>
      <c r="L765" s="27"/>
      <c r="M765" s="28"/>
      <c r="N765" s="38"/>
      <c r="O765" s="34"/>
      <c r="P765" s="34"/>
      <c r="Q765" s="35" t="s">
        <v>78</v>
      </c>
      <c r="R765" s="35" t="s">
        <v>79</v>
      </c>
      <c r="S765" s="35" t="s">
        <v>61</v>
      </c>
      <c r="T765" s="35" t="s">
        <v>62</v>
      </c>
      <c r="U765" s="36" t="s">
        <v>80</v>
      </c>
    </row>
    <row r="766" spans="1:21" ht="15.75" customHeight="1" x14ac:dyDescent="0.25">
      <c r="A766" s="9" t="s">
        <v>4888</v>
      </c>
      <c r="B766" s="10" t="s">
        <v>4889</v>
      </c>
      <c r="C766" s="11" t="s">
        <v>4890</v>
      </c>
      <c r="D766" s="21" t="s">
        <v>109</v>
      </c>
      <c r="E766" s="11" t="s">
        <v>98</v>
      </c>
      <c r="F766" s="11"/>
      <c r="G766" s="24" t="s">
        <v>85</v>
      </c>
      <c r="H766" s="11" t="s">
        <v>120</v>
      </c>
      <c r="I766" s="15" t="s">
        <v>4891</v>
      </c>
      <c r="J766" s="10" t="s">
        <v>4892</v>
      </c>
      <c r="K766" s="11"/>
      <c r="L766" s="9"/>
      <c r="M766" s="10"/>
      <c r="N766" s="22"/>
      <c r="O766" s="17"/>
      <c r="P766" s="17"/>
      <c r="Q766" s="18" t="s">
        <v>78</v>
      </c>
      <c r="R766" s="18" t="s">
        <v>79</v>
      </c>
      <c r="S766" s="18" t="s">
        <v>61</v>
      </c>
      <c r="T766" s="18" t="s">
        <v>62</v>
      </c>
      <c r="U766" s="19" t="s">
        <v>80</v>
      </c>
    </row>
    <row r="767" spans="1:21" ht="15.75" customHeight="1" x14ac:dyDescent="0.25">
      <c r="A767" s="27" t="s">
        <v>4893</v>
      </c>
      <c r="B767" s="28" t="s">
        <v>4894</v>
      </c>
      <c r="C767" s="29" t="s">
        <v>4895</v>
      </c>
      <c r="D767" s="37" t="s">
        <v>109</v>
      </c>
      <c r="E767" s="29" t="s">
        <v>98</v>
      </c>
      <c r="F767" s="29"/>
      <c r="G767" s="25" t="s">
        <v>110</v>
      </c>
      <c r="H767" s="29" t="s">
        <v>100</v>
      </c>
      <c r="I767" s="32" t="s">
        <v>4896</v>
      </c>
      <c r="J767" s="28" t="s">
        <v>4894</v>
      </c>
      <c r="K767" s="29" t="s">
        <v>933</v>
      </c>
      <c r="L767" s="27" t="s">
        <v>90</v>
      </c>
      <c r="M767" s="28" t="s">
        <v>91</v>
      </c>
      <c r="N767" s="38"/>
      <c r="O767" s="34"/>
      <c r="P767" s="34"/>
      <c r="Q767" s="35" t="s">
        <v>78</v>
      </c>
      <c r="R767" s="35" t="s">
        <v>79</v>
      </c>
      <c r="S767" s="35" t="s">
        <v>61</v>
      </c>
      <c r="T767" s="35" t="s">
        <v>62</v>
      </c>
      <c r="U767" s="36" t="s">
        <v>80</v>
      </c>
    </row>
    <row r="768" spans="1:21" ht="15.75" customHeight="1" x14ac:dyDescent="0.25">
      <c r="A768" s="9" t="s">
        <v>4897</v>
      </c>
      <c r="B768" s="10" t="s">
        <v>4898</v>
      </c>
      <c r="C768" s="11" t="s">
        <v>4899</v>
      </c>
      <c r="D768" s="21" t="s">
        <v>109</v>
      </c>
      <c r="E768" s="11" t="s">
        <v>98</v>
      </c>
      <c r="F768" s="11" t="s">
        <v>118</v>
      </c>
      <c r="G768" s="25" t="s">
        <v>110</v>
      </c>
      <c r="H768" s="11" t="s">
        <v>100</v>
      </c>
      <c r="I768" s="15" t="s">
        <v>4900</v>
      </c>
      <c r="J768" s="10" t="s">
        <v>4901</v>
      </c>
      <c r="K768" s="11" t="s">
        <v>337</v>
      </c>
      <c r="L768" s="9" t="s">
        <v>90</v>
      </c>
      <c r="M768" s="10" t="s">
        <v>91</v>
      </c>
      <c r="N768" s="22"/>
      <c r="O768" s="17"/>
      <c r="P768" s="17"/>
      <c r="Q768" s="18" t="s">
        <v>78</v>
      </c>
      <c r="R768" s="18" t="s">
        <v>79</v>
      </c>
      <c r="S768" s="18" t="s">
        <v>61</v>
      </c>
      <c r="T768" s="18" t="s">
        <v>62</v>
      </c>
      <c r="U768" s="19" t="s">
        <v>80</v>
      </c>
    </row>
    <row r="769" spans="1:21" ht="15.75" customHeight="1" x14ac:dyDescent="0.25">
      <c r="A769" s="27" t="s">
        <v>4902</v>
      </c>
      <c r="B769" s="28" t="s">
        <v>4903</v>
      </c>
      <c r="C769" s="29" t="s">
        <v>4904</v>
      </c>
      <c r="D769" s="37" t="s">
        <v>109</v>
      </c>
      <c r="E769" s="29" t="s">
        <v>47</v>
      </c>
      <c r="F769" s="31">
        <v>230</v>
      </c>
      <c r="G769" s="24" t="s">
        <v>85</v>
      </c>
      <c r="H769" s="29" t="s">
        <v>129</v>
      </c>
      <c r="I769" s="32" t="s">
        <v>4905</v>
      </c>
      <c r="J769" s="28" t="s">
        <v>4906</v>
      </c>
      <c r="K769" s="29"/>
      <c r="L769" s="27"/>
      <c r="M769" s="28"/>
      <c r="N769" s="38"/>
      <c r="O769" s="34"/>
      <c r="P769" s="34"/>
      <c r="Q769" s="35" t="s">
        <v>78</v>
      </c>
      <c r="R769" s="35" t="s">
        <v>79</v>
      </c>
      <c r="S769" s="35" t="s">
        <v>61</v>
      </c>
      <c r="T769" s="35" t="s">
        <v>62</v>
      </c>
      <c r="U769" s="36" t="s">
        <v>80</v>
      </c>
    </row>
    <row r="770" spans="1:21" ht="15.75" customHeight="1" x14ac:dyDescent="0.25">
      <c r="A770" s="9" t="s">
        <v>4907</v>
      </c>
      <c r="B770" s="10" t="s">
        <v>4908</v>
      </c>
      <c r="C770" s="11" t="s">
        <v>4909</v>
      </c>
      <c r="D770" s="21" t="s">
        <v>109</v>
      </c>
      <c r="E770" s="11" t="s">
        <v>47</v>
      </c>
      <c r="F770" s="13">
        <v>245</v>
      </c>
      <c r="G770" s="24" t="s">
        <v>85</v>
      </c>
      <c r="H770" s="11" t="s">
        <v>129</v>
      </c>
      <c r="I770" s="15" t="s">
        <v>4910</v>
      </c>
      <c r="J770" s="10" t="s">
        <v>4911</v>
      </c>
      <c r="K770" s="11"/>
      <c r="L770" s="9"/>
      <c r="M770" s="10"/>
      <c r="N770" s="22"/>
      <c r="O770" s="17"/>
      <c r="P770" s="17"/>
      <c r="Q770" s="18" t="s">
        <v>78</v>
      </c>
      <c r="R770" s="18" t="s">
        <v>79</v>
      </c>
      <c r="S770" s="18" t="s">
        <v>61</v>
      </c>
      <c r="T770" s="18" t="s">
        <v>62</v>
      </c>
      <c r="U770" s="19" t="s">
        <v>80</v>
      </c>
    </row>
    <row r="771" spans="1:21" ht="15.75" customHeight="1" x14ac:dyDescent="0.25">
      <c r="A771" s="27" t="s">
        <v>4912</v>
      </c>
      <c r="B771" s="28" t="s">
        <v>4913</v>
      </c>
      <c r="C771" s="29" t="s">
        <v>4914</v>
      </c>
      <c r="D771" s="37" t="s">
        <v>109</v>
      </c>
      <c r="E771" s="29" t="s">
        <v>47</v>
      </c>
      <c r="F771" s="31">
        <v>188</v>
      </c>
      <c r="G771" s="24" t="s">
        <v>85</v>
      </c>
      <c r="H771" s="29" t="s">
        <v>86</v>
      </c>
      <c r="I771" s="32" t="s">
        <v>4915</v>
      </c>
      <c r="J771" s="28" t="s">
        <v>4916</v>
      </c>
      <c r="K771" s="29"/>
      <c r="L771" s="27"/>
      <c r="M771" s="28"/>
      <c r="N771" s="38"/>
      <c r="O771" s="34"/>
      <c r="P771" s="34"/>
      <c r="Q771" s="35" t="s">
        <v>78</v>
      </c>
      <c r="R771" s="35" t="s">
        <v>79</v>
      </c>
      <c r="S771" s="35" t="s">
        <v>61</v>
      </c>
      <c r="T771" s="35" t="s">
        <v>62</v>
      </c>
      <c r="U771" s="36" t="s">
        <v>80</v>
      </c>
    </row>
    <row r="772" spans="1:21" ht="15.75" customHeight="1" x14ac:dyDescent="0.25">
      <c r="A772" s="9" t="s">
        <v>4917</v>
      </c>
      <c r="B772" s="10" t="s">
        <v>4918</v>
      </c>
      <c r="C772" s="11" t="s">
        <v>4919</v>
      </c>
      <c r="D772" s="12" t="s">
        <v>4920</v>
      </c>
      <c r="E772" s="11" t="s">
        <v>47</v>
      </c>
      <c r="F772" s="13">
        <v>257</v>
      </c>
      <c r="G772" s="26" t="s">
        <v>119</v>
      </c>
      <c r="H772" s="11" t="s">
        <v>129</v>
      </c>
      <c r="I772" s="15" t="s">
        <v>4921</v>
      </c>
      <c r="J772" s="10" t="s">
        <v>4922</v>
      </c>
      <c r="K772" s="11" t="s">
        <v>332</v>
      </c>
      <c r="L772" s="9" t="s">
        <v>197</v>
      </c>
      <c r="M772" s="10" t="s">
        <v>198</v>
      </c>
      <c r="N772" s="23" t="s">
        <v>179</v>
      </c>
      <c r="O772" s="17" t="s">
        <v>1448</v>
      </c>
      <c r="P772" s="17" t="s">
        <v>1449</v>
      </c>
      <c r="Q772" s="18" t="s">
        <v>78</v>
      </c>
      <c r="R772" s="18" t="s">
        <v>79</v>
      </c>
      <c r="S772" s="18" t="s">
        <v>61</v>
      </c>
      <c r="T772" s="18" t="s">
        <v>62</v>
      </c>
      <c r="U772" s="19" t="s">
        <v>80</v>
      </c>
    </row>
    <row r="773" spans="1:21" ht="15.75" customHeight="1" x14ac:dyDescent="0.25">
      <c r="A773" s="27" t="s">
        <v>4923</v>
      </c>
      <c r="B773" s="28" t="s">
        <v>4924</v>
      </c>
      <c r="C773" s="29" t="s">
        <v>4925</v>
      </c>
      <c r="D773" s="37" t="s">
        <v>109</v>
      </c>
      <c r="E773" s="29" t="s">
        <v>98</v>
      </c>
      <c r="F773" s="29" t="s">
        <v>118</v>
      </c>
      <c r="G773" s="25" t="s">
        <v>110</v>
      </c>
      <c r="H773" s="29" t="s">
        <v>100</v>
      </c>
      <c r="I773" s="32" t="s">
        <v>4926</v>
      </c>
      <c r="J773" s="28" t="s">
        <v>4924</v>
      </c>
      <c r="K773" s="29" t="s">
        <v>2361</v>
      </c>
      <c r="L773" s="27" t="s">
        <v>90</v>
      </c>
      <c r="M773" s="28" t="s">
        <v>91</v>
      </c>
      <c r="N773" s="38"/>
      <c r="O773" s="34"/>
      <c r="P773" s="34"/>
      <c r="Q773" s="35" t="s">
        <v>78</v>
      </c>
      <c r="R773" s="35" t="s">
        <v>79</v>
      </c>
      <c r="S773" s="35" t="s">
        <v>61</v>
      </c>
      <c r="T773" s="35" t="s">
        <v>62</v>
      </c>
      <c r="U773" s="36" t="s">
        <v>80</v>
      </c>
    </row>
    <row r="774" spans="1:21" ht="15.75" customHeight="1" x14ac:dyDescent="0.25">
      <c r="A774" s="9" t="s">
        <v>4927</v>
      </c>
      <c r="B774" s="10" t="s">
        <v>4928</v>
      </c>
      <c r="C774" s="11" t="s">
        <v>4929</v>
      </c>
      <c r="D774" s="21" t="s">
        <v>109</v>
      </c>
      <c r="E774" s="11" t="s">
        <v>98</v>
      </c>
      <c r="F774" s="11"/>
      <c r="G774" s="24" t="s">
        <v>85</v>
      </c>
      <c r="H774" s="11" t="s">
        <v>100</v>
      </c>
      <c r="I774" s="15" t="s">
        <v>4930</v>
      </c>
      <c r="J774" s="10" t="s">
        <v>4931</v>
      </c>
      <c r="K774" s="11"/>
      <c r="L774" s="9"/>
      <c r="M774" s="10"/>
      <c r="N774" s="22"/>
      <c r="O774" s="17"/>
      <c r="P774" s="17"/>
      <c r="Q774" s="18" t="s">
        <v>78</v>
      </c>
      <c r="R774" s="18" t="s">
        <v>79</v>
      </c>
      <c r="S774" s="18" t="s">
        <v>61</v>
      </c>
      <c r="T774" s="18" t="s">
        <v>62</v>
      </c>
      <c r="U774" s="19" t="s">
        <v>80</v>
      </c>
    </row>
    <row r="775" spans="1:21" ht="15.75" customHeight="1" x14ac:dyDescent="0.25">
      <c r="A775" s="27" t="s">
        <v>4932</v>
      </c>
      <c r="B775" s="28" t="s">
        <v>4933</v>
      </c>
      <c r="C775" s="29" t="s">
        <v>4934</v>
      </c>
      <c r="D775" s="30" t="s">
        <v>4935</v>
      </c>
      <c r="E775" s="29" t="s">
        <v>47</v>
      </c>
      <c r="F775" s="31">
        <v>170</v>
      </c>
      <c r="G775" s="20" t="s">
        <v>85</v>
      </c>
      <c r="H775" s="29" t="s">
        <v>86</v>
      </c>
      <c r="I775" s="32" t="s">
        <v>4936</v>
      </c>
      <c r="J775" s="28" t="s">
        <v>4937</v>
      </c>
      <c r="K775" s="29" t="s">
        <v>4938</v>
      </c>
      <c r="L775" s="27" t="s">
        <v>90</v>
      </c>
      <c r="M775" s="28" t="s">
        <v>91</v>
      </c>
      <c r="N775" s="33" t="s">
        <v>75</v>
      </c>
      <c r="O775" s="34" t="s">
        <v>92</v>
      </c>
      <c r="P775" s="34" t="s">
        <v>93</v>
      </c>
      <c r="Q775" s="35" t="s">
        <v>78</v>
      </c>
      <c r="R775" s="35" t="s">
        <v>79</v>
      </c>
      <c r="S775" s="35" t="s">
        <v>61</v>
      </c>
      <c r="T775" s="35" t="s">
        <v>62</v>
      </c>
      <c r="U775" s="36" t="s">
        <v>80</v>
      </c>
    </row>
    <row r="776" spans="1:21" ht="15.75" customHeight="1" x14ac:dyDescent="0.25">
      <c r="A776" s="9" t="s">
        <v>4939</v>
      </c>
      <c r="B776" s="10" t="s">
        <v>4940</v>
      </c>
      <c r="C776" s="11" t="s">
        <v>4941</v>
      </c>
      <c r="D776" s="12" t="s">
        <v>3213</v>
      </c>
      <c r="E776" s="11" t="s">
        <v>98</v>
      </c>
      <c r="F776" s="13">
        <v>288</v>
      </c>
      <c r="G776" s="20" t="s">
        <v>85</v>
      </c>
      <c r="H776" s="11" t="s">
        <v>129</v>
      </c>
      <c r="I776" s="15" t="s">
        <v>4942</v>
      </c>
      <c r="J776" s="10" t="s">
        <v>4943</v>
      </c>
      <c r="K776" s="11" t="s">
        <v>337</v>
      </c>
      <c r="L776" s="9" t="s">
        <v>90</v>
      </c>
      <c r="M776" s="10" t="s">
        <v>91</v>
      </c>
      <c r="N776" s="16" t="s">
        <v>75</v>
      </c>
      <c r="O776" s="17" t="s">
        <v>124</v>
      </c>
      <c r="P776" s="17" t="s">
        <v>125</v>
      </c>
      <c r="Q776" s="18" t="s">
        <v>78</v>
      </c>
      <c r="R776" s="18" t="s">
        <v>79</v>
      </c>
      <c r="S776" s="18" t="s">
        <v>61</v>
      </c>
      <c r="T776" s="18" t="s">
        <v>62</v>
      </c>
      <c r="U776" s="19" t="s">
        <v>80</v>
      </c>
    </row>
    <row r="777" spans="1:21" ht="15.75" customHeight="1" x14ac:dyDescent="0.25">
      <c r="A777" s="27" t="s">
        <v>4944</v>
      </c>
      <c r="B777" s="28" t="s">
        <v>4945</v>
      </c>
      <c r="C777" s="29" t="s">
        <v>4946</v>
      </c>
      <c r="D777" s="30" t="s">
        <v>3213</v>
      </c>
      <c r="E777" s="29" t="s">
        <v>98</v>
      </c>
      <c r="F777" s="31">
        <v>60</v>
      </c>
      <c r="G777" s="20" t="s">
        <v>85</v>
      </c>
      <c r="H777" s="29" t="s">
        <v>48</v>
      </c>
      <c r="I777" s="32" t="s">
        <v>4947</v>
      </c>
      <c r="J777" s="28" t="s">
        <v>4948</v>
      </c>
      <c r="K777" s="29" t="s">
        <v>337</v>
      </c>
      <c r="L777" s="27" t="s">
        <v>90</v>
      </c>
      <c r="M777" s="28" t="s">
        <v>91</v>
      </c>
      <c r="N777" s="33" t="s">
        <v>75</v>
      </c>
      <c r="O777" s="34" t="s">
        <v>124</v>
      </c>
      <c r="P777" s="34" t="s">
        <v>125</v>
      </c>
      <c r="Q777" s="35" t="s">
        <v>78</v>
      </c>
      <c r="R777" s="35" t="s">
        <v>79</v>
      </c>
      <c r="S777" s="35" t="s">
        <v>61</v>
      </c>
      <c r="T777" s="35" t="s">
        <v>62</v>
      </c>
      <c r="U777" s="36" t="s">
        <v>80</v>
      </c>
    </row>
    <row r="778" spans="1:21" ht="15.75" customHeight="1" x14ac:dyDescent="0.25">
      <c r="A778" s="9" t="s">
        <v>4949</v>
      </c>
      <c r="B778" s="10" t="s">
        <v>4950</v>
      </c>
      <c r="C778" s="11" t="s">
        <v>4951</v>
      </c>
      <c r="D778" s="12" t="s">
        <v>4952</v>
      </c>
      <c r="E778" s="11" t="s">
        <v>98</v>
      </c>
      <c r="F778" s="11"/>
      <c r="G778" s="20" t="s">
        <v>119</v>
      </c>
      <c r="H778" s="11" t="s">
        <v>100</v>
      </c>
      <c r="I778" s="15" t="s">
        <v>4953</v>
      </c>
      <c r="J778" s="10" t="s">
        <v>4954</v>
      </c>
      <c r="K778" s="11" t="s">
        <v>1286</v>
      </c>
      <c r="L778" s="9" t="s">
        <v>90</v>
      </c>
      <c r="M778" s="10" t="s">
        <v>91</v>
      </c>
      <c r="N778" s="16" t="s">
        <v>75</v>
      </c>
      <c r="O778" s="17" t="s">
        <v>1020</v>
      </c>
      <c r="P778" s="17" t="s">
        <v>1021</v>
      </c>
      <c r="Q778" s="18" t="s">
        <v>78</v>
      </c>
      <c r="R778" s="18" t="s">
        <v>79</v>
      </c>
      <c r="S778" s="18" t="s">
        <v>61</v>
      </c>
      <c r="T778" s="18" t="s">
        <v>62</v>
      </c>
      <c r="U778" s="19" t="s">
        <v>80</v>
      </c>
    </row>
    <row r="779" spans="1:21" ht="15.75" customHeight="1" x14ac:dyDescent="0.25">
      <c r="A779" s="27" t="s">
        <v>4955</v>
      </c>
      <c r="B779" s="28" t="s">
        <v>4956</v>
      </c>
      <c r="C779" s="29" t="s">
        <v>4957</v>
      </c>
      <c r="D779" s="30" t="s">
        <v>883</v>
      </c>
      <c r="E779" s="29" t="s">
        <v>47</v>
      </c>
      <c r="F779" s="31">
        <v>132</v>
      </c>
      <c r="G779" s="20" t="s">
        <v>119</v>
      </c>
      <c r="H779" s="29" t="s">
        <v>330</v>
      </c>
      <c r="I779" s="32" t="s">
        <v>4958</v>
      </c>
      <c r="J779" s="28" t="s">
        <v>4959</v>
      </c>
      <c r="K779" s="29" t="s">
        <v>3326</v>
      </c>
      <c r="L779" s="27" t="s">
        <v>158</v>
      </c>
      <c r="M779" s="28" t="s">
        <v>159</v>
      </c>
      <c r="N779" s="39" t="s">
        <v>179</v>
      </c>
      <c r="O779" s="34" t="s">
        <v>382</v>
      </c>
      <c r="P779" s="34" t="s">
        <v>383</v>
      </c>
      <c r="Q779" s="35" t="s">
        <v>78</v>
      </c>
      <c r="R779" s="35" t="s">
        <v>79</v>
      </c>
      <c r="S779" s="35" t="s">
        <v>61</v>
      </c>
      <c r="T779" s="35" t="s">
        <v>62</v>
      </c>
      <c r="U779" s="36" t="s">
        <v>80</v>
      </c>
    </row>
    <row r="780" spans="1:21" ht="15.75" customHeight="1" x14ac:dyDescent="0.25">
      <c r="A780" s="9" t="s">
        <v>4960</v>
      </c>
      <c r="B780" s="10" t="s">
        <v>4961</v>
      </c>
      <c r="C780" s="11" t="s">
        <v>4962</v>
      </c>
      <c r="D780" s="12" t="s">
        <v>4963</v>
      </c>
      <c r="E780" s="11" t="s">
        <v>98</v>
      </c>
      <c r="F780" s="13">
        <v>202</v>
      </c>
      <c r="G780" s="20" t="s">
        <v>119</v>
      </c>
      <c r="H780" s="11" t="s">
        <v>129</v>
      </c>
      <c r="I780" s="15" t="s">
        <v>4964</v>
      </c>
      <c r="J780" s="10" t="s">
        <v>4965</v>
      </c>
      <c r="K780" s="11" t="s">
        <v>4966</v>
      </c>
      <c r="L780" s="9" t="s">
        <v>481</v>
      </c>
      <c r="M780" s="10" t="s">
        <v>482</v>
      </c>
      <c r="N780" s="16" t="s">
        <v>75</v>
      </c>
      <c r="O780" s="17" t="s">
        <v>2156</v>
      </c>
      <c r="P780" s="17" t="s">
        <v>2157</v>
      </c>
      <c r="Q780" s="18" t="s">
        <v>78</v>
      </c>
      <c r="R780" s="18" t="s">
        <v>79</v>
      </c>
      <c r="S780" s="18" t="s">
        <v>61</v>
      </c>
      <c r="T780" s="18" t="s">
        <v>62</v>
      </c>
      <c r="U780" s="19" t="s">
        <v>80</v>
      </c>
    </row>
    <row r="781" spans="1:21" ht="15.75" customHeight="1" x14ac:dyDescent="0.25">
      <c r="A781" s="27" t="s">
        <v>4967</v>
      </c>
      <c r="B781" s="28" t="s">
        <v>4968</v>
      </c>
      <c r="C781" s="29" t="s">
        <v>4969</v>
      </c>
      <c r="D781" s="37" t="s">
        <v>109</v>
      </c>
      <c r="E781" s="29" t="s">
        <v>47</v>
      </c>
      <c r="F781" s="31">
        <v>146</v>
      </c>
      <c r="G781" s="14" t="s">
        <v>119</v>
      </c>
      <c r="H781" s="29" t="s">
        <v>330</v>
      </c>
      <c r="I781" s="32" t="s">
        <v>4970</v>
      </c>
      <c r="J781" s="28" t="s">
        <v>4971</v>
      </c>
      <c r="K781" s="29" t="s">
        <v>903</v>
      </c>
      <c r="L781" s="27" t="s">
        <v>158</v>
      </c>
      <c r="M781" s="28" t="s">
        <v>159</v>
      </c>
      <c r="N781" s="38"/>
      <c r="O781" s="34"/>
      <c r="P781" s="34"/>
      <c r="Q781" s="35" t="s">
        <v>78</v>
      </c>
      <c r="R781" s="35" t="s">
        <v>79</v>
      </c>
      <c r="S781" s="35" t="s">
        <v>61</v>
      </c>
      <c r="T781" s="35" t="s">
        <v>62</v>
      </c>
      <c r="U781" s="36" t="s">
        <v>80</v>
      </c>
    </row>
    <row r="782" spans="1:21" ht="15.75" customHeight="1" x14ac:dyDescent="0.25">
      <c r="A782" s="9" t="s">
        <v>4972</v>
      </c>
      <c r="B782" s="10" t="s">
        <v>4973</v>
      </c>
      <c r="C782" s="11" t="s">
        <v>4974</v>
      </c>
      <c r="D782" s="21" t="s">
        <v>109</v>
      </c>
      <c r="E782" s="11" t="s">
        <v>47</v>
      </c>
      <c r="F782" s="13">
        <v>128</v>
      </c>
      <c r="G782" s="14" t="s">
        <v>119</v>
      </c>
      <c r="H782" s="11" t="s">
        <v>330</v>
      </c>
      <c r="I782" s="15" t="s">
        <v>4975</v>
      </c>
      <c r="J782" s="10" t="s">
        <v>4976</v>
      </c>
      <c r="K782" s="11" t="s">
        <v>4977</v>
      </c>
      <c r="L782" s="9" t="s">
        <v>158</v>
      </c>
      <c r="M782" s="10" t="s">
        <v>159</v>
      </c>
      <c r="N782" s="22"/>
      <c r="O782" s="17"/>
      <c r="P782" s="17"/>
      <c r="Q782" s="18" t="s">
        <v>78</v>
      </c>
      <c r="R782" s="18" t="s">
        <v>79</v>
      </c>
      <c r="S782" s="18" t="s">
        <v>61</v>
      </c>
      <c r="T782" s="18" t="s">
        <v>62</v>
      </c>
      <c r="U782" s="19" t="s">
        <v>80</v>
      </c>
    </row>
    <row r="783" spans="1:21" ht="15.75" customHeight="1" x14ac:dyDescent="0.25">
      <c r="A783" s="27" t="s">
        <v>4978</v>
      </c>
      <c r="B783" s="28" t="s">
        <v>4979</v>
      </c>
      <c r="C783" s="29" t="s">
        <v>4980</v>
      </c>
      <c r="D783" s="37" t="s">
        <v>109</v>
      </c>
      <c r="E783" s="29" t="s">
        <v>47</v>
      </c>
      <c r="F783" s="31">
        <v>143</v>
      </c>
      <c r="G783" s="14" t="s">
        <v>119</v>
      </c>
      <c r="H783" s="29" t="s">
        <v>330</v>
      </c>
      <c r="I783" s="32" t="s">
        <v>4981</v>
      </c>
      <c r="J783" s="28" t="s">
        <v>4982</v>
      </c>
      <c r="K783" s="29" t="s">
        <v>4977</v>
      </c>
      <c r="L783" s="27" t="s">
        <v>158</v>
      </c>
      <c r="M783" s="28" t="s">
        <v>159</v>
      </c>
      <c r="N783" s="38"/>
      <c r="O783" s="34"/>
      <c r="P783" s="34"/>
      <c r="Q783" s="35" t="s">
        <v>78</v>
      </c>
      <c r="R783" s="35" t="s">
        <v>79</v>
      </c>
      <c r="S783" s="35" t="s">
        <v>61</v>
      </c>
      <c r="T783" s="35" t="s">
        <v>62</v>
      </c>
      <c r="U783" s="36" t="s">
        <v>80</v>
      </c>
    </row>
    <row r="784" spans="1:21" ht="15.75" customHeight="1" x14ac:dyDescent="0.25">
      <c r="A784" s="9" t="s">
        <v>4983</v>
      </c>
      <c r="B784" s="10" t="s">
        <v>4984</v>
      </c>
      <c r="C784" s="11" t="s">
        <v>4985</v>
      </c>
      <c r="D784" s="21" t="s">
        <v>109</v>
      </c>
      <c r="E784" s="11" t="s">
        <v>47</v>
      </c>
      <c r="F784" s="13">
        <v>144</v>
      </c>
      <c r="G784" s="14" t="s">
        <v>119</v>
      </c>
      <c r="H784" s="11" t="s">
        <v>330</v>
      </c>
      <c r="I784" s="15" t="s">
        <v>4986</v>
      </c>
      <c r="J784" s="10" t="s">
        <v>4987</v>
      </c>
      <c r="K784" s="11" t="s">
        <v>4977</v>
      </c>
      <c r="L784" s="9" t="s">
        <v>158</v>
      </c>
      <c r="M784" s="10" t="s">
        <v>159</v>
      </c>
      <c r="N784" s="22"/>
      <c r="O784" s="17"/>
      <c r="P784" s="17"/>
      <c r="Q784" s="18" t="s">
        <v>78</v>
      </c>
      <c r="R784" s="18" t="s">
        <v>79</v>
      </c>
      <c r="S784" s="18" t="s">
        <v>61</v>
      </c>
      <c r="T784" s="18" t="s">
        <v>62</v>
      </c>
      <c r="U784" s="19" t="s">
        <v>80</v>
      </c>
    </row>
    <row r="785" spans="1:21" ht="15.75" customHeight="1" x14ac:dyDescent="0.25">
      <c r="A785" s="27" t="s">
        <v>4988</v>
      </c>
      <c r="B785" s="28" t="s">
        <v>4989</v>
      </c>
      <c r="C785" s="29" t="s">
        <v>4990</v>
      </c>
      <c r="D785" s="37" t="s">
        <v>109</v>
      </c>
      <c r="E785" s="29" t="s">
        <v>98</v>
      </c>
      <c r="F785" s="31">
        <v>343</v>
      </c>
      <c r="G785" s="14" t="s">
        <v>119</v>
      </c>
      <c r="H785" s="29" t="s">
        <v>129</v>
      </c>
      <c r="I785" s="32" t="s">
        <v>4991</v>
      </c>
      <c r="J785" s="28" t="s">
        <v>4992</v>
      </c>
      <c r="K785" s="29" t="s">
        <v>4993</v>
      </c>
      <c r="L785" s="27" t="s">
        <v>1698</v>
      </c>
      <c r="M785" s="28" t="s">
        <v>1699</v>
      </c>
      <c r="N785" s="38"/>
      <c r="O785" s="34"/>
      <c r="P785" s="34"/>
      <c r="Q785" s="35" t="s">
        <v>78</v>
      </c>
      <c r="R785" s="35" t="s">
        <v>79</v>
      </c>
      <c r="S785" s="35" t="s">
        <v>61</v>
      </c>
      <c r="T785" s="35" t="s">
        <v>62</v>
      </c>
      <c r="U785" s="36" t="s">
        <v>80</v>
      </c>
    </row>
    <row r="786" spans="1:21" ht="15.75" customHeight="1" x14ac:dyDescent="0.25">
      <c r="A786" s="9" t="s">
        <v>4994</v>
      </c>
      <c r="B786" s="10" t="s">
        <v>4995</v>
      </c>
      <c r="C786" s="11" t="s">
        <v>4996</v>
      </c>
      <c r="D786" s="21" t="s">
        <v>109</v>
      </c>
      <c r="E786" s="11" t="s">
        <v>98</v>
      </c>
      <c r="F786" s="13">
        <v>267</v>
      </c>
      <c r="G786" s="25" t="s">
        <v>110</v>
      </c>
      <c r="H786" s="11" t="s">
        <v>129</v>
      </c>
      <c r="I786" s="15" t="s">
        <v>4997</v>
      </c>
      <c r="J786" s="10" t="s">
        <v>4998</v>
      </c>
      <c r="K786" s="11" t="s">
        <v>2587</v>
      </c>
      <c r="L786" s="9" t="s">
        <v>90</v>
      </c>
      <c r="M786" s="10" t="s">
        <v>91</v>
      </c>
      <c r="N786" s="22"/>
      <c r="O786" s="17"/>
      <c r="P786" s="17"/>
      <c r="Q786" s="18" t="s">
        <v>78</v>
      </c>
      <c r="R786" s="18" t="s">
        <v>79</v>
      </c>
      <c r="S786" s="18" t="s">
        <v>61</v>
      </c>
      <c r="T786" s="18" t="s">
        <v>62</v>
      </c>
      <c r="U786" s="19" t="s">
        <v>80</v>
      </c>
    </row>
    <row r="787" spans="1:21" ht="15.75" customHeight="1" x14ac:dyDescent="0.25">
      <c r="A787" s="27" t="s">
        <v>4999</v>
      </c>
      <c r="B787" s="28" t="s">
        <v>5000</v>
      </c>
      <c r="C787" s="29" t="s">
        <v>5001</v>
      </c>
      <c r="D787" s="30" t="s">
        <v>5002</v>
      </c>
      <c r="E787" s="29" t="s">
        <v>47</v>
      </c>
      <c r="F787" s="31">
        <v>141</v>
      </c>
      <c r="G787" s="14" t="s">
        <v>708</v>
      </c>
      <c r="H787" s="29" t="s">
        <v>330</v>
      </c>
      <c r="I787" s="32" t="s">
        <v>5003</v>
      </c>
      <c r="J787" s="28" t="s">
        <v>5004</v>
      </c>
      <c r="K787" s="29" t="s">
        <v>5005</v>
      </c>
      <c r="L787" s="27" t="s">
        <v>481</v>
      </c>
      <c r="M787" s="28" t="s">
        <v>482</v>
      </c>
      <c r="N787" s="33" t="s">
        <v>75</v>
      </c>
      <c r="O787" s="34" t="s">
        <v>2702</v>
      </c>
      <c r="P787" s="34" t="s">
        <v>2703</v>
      </c>
      <c r="Q787" s="35" t="s">
        <v>78</v>
      </c>
      <c r="R787" s="35" t="s">
        <v>79</v>
      </c>
      <c r="S787" s="35" t="s">
        <v>61</v>
      </c>
      <c r="T787" s="35" t="s">
        <v>62</v>
      </c>
      <c r="U787" s="36" t="s">
        <v>80</v>
      </c>
    </row>
    <row r="788" spans="1:21" ht="15.75" customHeight="1" x14ac:dyDescent="0.25">
      <c r="A788" s="9" t="s">
        <v>5006</v>
      </c>
      <c r="B788" s="10" t="s">
        <v>5007</v>
      </c>
      <c r="C788" s="11" t="s">
        <v>5008</v>
      </c>
      <c r="D788" s="12" t="s">
        <v>1810</v>
      </c>
      <c r="E788" s="11" t="s">
        <v>98</v>
      </c>
      <c r="F788" s="13">
        <v>2230</v>
      </c>
      <c r="G788" s="20" t="s">
        <v>119</v>
      </c>
      <c r="H788" s="11" t="s">
        <v>129</v>
      </c>
      <c r="I788" s="15" t="s">
        <v>5009</v>
      </c>
      <c r="J788" s="10" t="s">
        <v>5010</v>
      </c>
      <c r="K788" s="11"/>
      <c r="L788" s="9"/>
      <c r="M788" s="10"/>
      <c r="N788" s="16" t="s">
        <v>75</v>
      </c>
      <c r="O788" s="17" t="s">
        <v>180</v>
      </c>
      <c r="P788" s="17" t="s">
        <v>181</v>
      </c>
      <c r="Q788" s="18" t="s">
        <v>78</v>
      </c>
      <c r="R788" s="18" t="s">
        <v>79</v>
      </c>
      <c r="S788" s="18" t="s">
        <v>61</v>
      </c>
      <c r="T788" s="18" t="s">
        <v>62</v>
      </c>
      <c r="U788" s="19" t="s">
        <v>80</v>
      </c>
    </row>
    <row r="789" spans="1:21" ht="15.75" customHeight="1" x14ac:dyDescent="0.25">
      <c r="A789" s="27" t="s">
        <v>5011</v>
      </c>
      <c r="B789" s="28" t="s">
        <v>5012</v>
      </c>
      <c r="C789" s="29" t="s">
        <v>5013</v>
      </c>
      <c r="D789" s="30" t="s">
        <v>193</v>
      </c>
      <c r="E789" s="29" t="s">
        <v>98</v>
      </c>
      <c r="F789" s="31">
        <v>2230</v>
      </c>
      <c r="G789" s="20" t="s">
        <v>85</v>
      </c>
      <c r="H789" s="29" t="s">
        <v>129</v>
      </c>
      <c r="I789" s="32" t="s">
        <v>5014</v>
      </c>
      <c r="J789" s="28" t="s">
        <v>5015</v>
      </c>
      <c r="K789" s="29"/>
      <c r="L789" s="27"/>
      <c r="M789" s="28"/>
      <c r="N789" s="33" t="s">
        <v>75</v>
      </c>
      <c r="O789" s="34" t="s">
        <v>180</v>
      </c>
      <c r="P789" s="34" t="s">
        <v>181</v>
      </c>
      <c r="Q789" s="35" t="s">
        <v>78</v>
      </c>
      <c r="R789" s="35" t="s">
        <v>79</v>
      </c>
      <c r="S789" s="35" t="s">
        <v>61</v>
      </c>
      <c r="T789" s="35" t="s">
        <v>62</v>
      </c>
      <c r="U789" s="36" t="s">
        <v>80</v>
      </c>
    </row>
    <row r="790" spans="1:21" ht="15.75" customHeight="1" x14ac:dyDescent="0.25">
      <c r="A790" s="9" t="s">
        <v>5016</v>
      </c>
      <c r="B790" s="10" t="s">
        <v>5017</v>
      </c>
      <c r="C790" s="11" t="s">
        <v>5018</v>
      </c>
      <c r="D790" s="12" t="s">
        <v>193</v>
      </c>
      <c r="E790" s="11" t="s">
        <v>98</v>
      </c>
      <c r="F790" s="13">
        <v>2230</v>
      </c>
      <c r="G790" s="20" t="s">
        <v>85</v>
      </c>
      <c r="H790" s="11" t="s">
        <v>129</v>
      </c>
      <c r="I790" s="15" t="s">
        <v>5019</v>
      </c>
      <c r="J790" s="10" t="s">
        <v>5020</v>
      </c>
      <c r="K790" s="11"/>
      <c r="L790" s="9"/>
      <c r="M790" s="10"/>
      <c r="N790" s="16" t="s">
        <v>75</v>
      </c>
      <c r="O790" s="17" t="s">
        <v>180</v>
      </c>
      <c r="P790" s="17" t="s">
        <v>181</v>
      </c>
      <c r="Q790" s="18" t="s">
        <v>78</v>
      </c>
      <c r="R790" s="18" t="s">
        <v>79</v>
      </c>
      <c r="S790" s="18" t="s">
        <v>61</v>
      </c>
      <c r="T790" s="18" t="s">
        <v>62</v>
      </c>
      <c r="U790" s="19" t="s">
        <v>80</v>
      </c>
    </row>
    <row r="791" spans="1:21" ht="15.75" customHeight="1" x14ac:dyDescent="0.25">
      <c r="A791" s="27" t="s">
        <v>5021</v>
      </c>
      <c r="B791" s="28" t="s">
        <v>5022</v>
      </c>
      <c r="C791" s="29" t="s">
        <v>5023</v>
      </c>
      <c r="D791" s="30" t="s">
        <v>1476</v>
      </c>
      <c r="E791" s="29" t="s">
        <v>98</v>
      </c>
      <c r="F791" s="31">
        <v>2212</v>
      </c>
      <c r="G791" s="26" t="s">
        <v>68</v>
      </c>
      <c r="H791" s="29" t="s">
        <v>129</v>
      </c>
      <c r="I791" s="32" t="s">
        <v>5024</v>
      </c>
      <c r="J791" s="28" t="s">
        <v>5025</v>
      </c>
      <c r="K791" s="29" t="s">
        <v>332</v>
      </c>
      <c r="L791" s="27" t="s">
        <v>197</v>
      </c>
      <c r="M791" s="28" t="s">
        <v>198</v>
      </c>
      <c r="N791" s="39" t="s">
        <v>179</v>
      </c>
      <c r="O791" s="34" t="s">
        <v>1448</v>
      </c>
      <c r="P791" s="34" t="s">
        <v>1449</v>
      </c>
      <c r="Q791" s="35" t="s">
        <v>78</v>
      </c>
      <c r="R791" s="35" t="s">
        <v>79</v>
      </c>
      <c r="S791" s="35" t="s">
        <v>61</v>
      </c>
      <c r="T791" s="35" t="s">
        <v>62</v>
      </c>
      <c r="U791" s="36" t="s">
        <v>80</v>
      </c>
    </row>
    <row r="792" spans="1:21" ht="15.75" customHeight="1" x14ac:dyDescent="0.25">
      <c r="A792" s="9" t="s">
        <v>5026</v>
      </c>
      <c r="B792" s="10" t="s">
        <v>5027</v>
      </c>
      <c r="C792" s="11" t="s">
        <v>5028</v>
      </c>
      <c r="D792" s="12" t="s">
        <v>5029</v>
      </c>
      <c r="E792" s="11" t="s">
        <v>98</v>
      </c>
      <c r="F792" s="11"/>
      <c r="G792" s="20" t="s">
        <v>85</v>
      </c>
      <c r="H792" s="11" t="s">
        <v>100</v>
      </c>
      <c r="I792" s="15" t="s">
        <v>5030</v>
      </c>
      <c r="J792" s="10" t="s">
        <v>5031</v>
      </c>
      <c r="K792" s="11" t="s">
        <v>1997</v>
      </c>
      <c r="L792" s="9" t="s">
        <v>90</v>
      </c>
      <c r="M792" s="10" t="s">
        <v>91</v>
      </c>
      <c r="N792" s="16" t="s">
        <v>75</v>
      </c>
      <c r="O792" s="17" t="s">
        <v>355</v>
      </c>
      <c r="P792" s="17" t="s">
        <v>356</v>
      </c>
      <c r="Q792" s="18" t="s">
        <v>78</v>
      </c>
      <c r="R792" s="18" t="s">
        <v>79</v>
      </c>
      <c r="S792" s="18" t="s">
        <v>61</v>
      </c>
      <c r="T792" s="18" t="s">
        <v>62</v>
      </c>
      <c r="U792" s="19" t="s">
        <v>80</v>
      </c>
    </row>
    <row r="793" spans="1:21" ht="15.75" customHeight="1" x14ac:dyDescent="0.25">
      <c r="A793" s="27" t="s">
        <v>5032</v>
      </c>
      <c r="B793" s="28" t="s">
        <v>5033</v>
      </c>
      <c r="C793" s="29" t="s">
        <v>5034</v>
      </c>
      <c r="D793" s="37" t="s">
        <v>109</v>
      </c>
      <c r="E793" s="29" t="s">
        <v>67</v>
      </c>
      <c r="F793" s="31">
        <v>-56</v>
      </c>
      <c r="G793" s="24" t="s">
        <v>85</v>
      </c>
      <c r="H793" s="29" t="s">
        <v>421</v>
      </c>
      <c r="I793" s="32" t="s">
        <v>5035</v>
      </c>
      <c r="J793" s="28" t="s">
        <v>5036</v>
      </c>
      <c r="K793" s="29"/>
      <c r="L793" s="27"/>
      <c r="M793" s="28"/>
      <c r="N793" s="38"/>
      <c r="O793" s="34"/>
      <c r="P793" s="34"/>
      <c r="Q793" s="35" t="s">
        <v>78</v>
      </c>
      <c r="R793" s="35" t="s">
        <v>79</v>
      </c>
      <c r="S793" s="35" t="s">
        <v>61</v>
      </c>
      <c r="T793" s="35" t="s">
        <v>62</v>
      </c>
      <c r="U793" s="36" t="s">
        <v>80</v>
      </c>
    </row>
    <row r="794" spans="1:21" ht="15.75" customHeight="1" x14ac:dyDescent="0.25">
      <c r="A794" s="9" t="s">
        <v>5037</v>
      </c>
      <c r="B794" s="10" t="s">
        <v>5038</v>
      </c>
      <c r="C794" s="11" t="s">
        <v>5039</v>
      </c>
      <c r="D794" s="12" t="s">
        <v>5040</v>
      </c>
      <c r="E794" s="11" t="s">
        <v>98</v>
      </c>
      <c r="F794" s="11" t="s">
        <v>118</v>
      </c>
      <c r="G794" s="20" t="s">
        <v>119</v>
      </c>
      <c r="H794" s="11" t="s">
        <v>120</v>
      </c>
      <c r="I794" s="15" t="s">
        <v>5041</v>
      </c>
      <c r="J794" s="10" t="s">
        <v>5042</v>
      </c>
      <c r="K794" s="11" t="s">
        <v>5043</v>
      </c>
      <c r="L794" s="9" t="s">
        <v>2005</v>
      </c>
      <c r="M794" s="10" t="s">
        <v>2006</v>
      </c>
      <c r="N794" s="16" t="s">
        <v>75</v>
      </c>
      <c r="O794" s="17" t="s">
        <v>4744</v>
      </c>
      <c r="P794" s="17" t="s">
        <v>4745</v>
      </c>
      <c r="Q794" s="18" t="s">
        <v>78</v>
      </c>
      <c r="R794" s="18" t="s">
        <v>79</v>
      </c>
      <c r="S794" s="18" t="s">
        <v>61</v>
      </c>
      <c r="T794" s="18" t="s">
        <v>62</v>
      </c>
      <c r="U794" s="19" t="s">
        <v>80</v>
      </c>
    </row>
    <row r="795" spans="1:21" ht="15.75" customHeight="1" x14ac:dyDescent="0.25">
      <c r="A795" s="27" t="s">
        <v>5044</v>
      </c>
      <c r="B795" s="28" t="s">
        <v>5045</v>
      </c>
      <c r="C795" s="29" t="s">
        <v>5046</v>
      </c>
      <c r="D795" s="30" t="s">
        <v>5047</v>
      </c>
      <c r="E795" s="29" t="s">
        <v>47</v>
      </c>
      <c r="F795" s="31">
        <v>130</v>
      </c>
      <c r="G795" s="20" t="s">
        <v>119</v>
      </c>
      <c r="H795" s="29" t="s">
        <v>330</v>
      </c>
      <c r="I795" s="32" t="s">
        <v>5048</v>
      </c>
      <c r="J795" s="28" t="s">
        <v>5049</v>
      </c>
      <c r="K795" s="29" t="s">
        <v>5050</v>
      </c>
      <c r="L795" s="27" t="s">
        <v>158</v>
      </c>
      <c r="M795" s="28" t="s">
        <v>159</v>
      </c>
      <c r="N795" s="33" t="s">
        <v>75</v>
      </c>
      <c r="O795" s="34" t="s">
        <v>492</v>
      </c>
      <c r="P795" s="34" t="s">
        <v>493</v>
      </c>
      <c r="Q795" s="35" t="s">
        <v>78</v>
      </c>
      <c r="R795" s="35" t="s">
        <v>79</v>
      </c>
      <c r="S795" s="35" t="s">
        <v>61</v>
      </c>
      <c r="T795" s="35" t="s">
        <v>62</v>
      </c>
      <c r="U795" s="36" t="s">
        <v>80</v>
      </c>
    </row>
    <row r="796" spans="1:21" ht="15.75" customHeight="1" x14ac:dyDescent="0.25">
      <c r="A796" s="9" t="s">
        <v>5051</v>
      </c>
      <c r="B796" s="10" t="s">
        <v>5052</v>
      </c>
      <c r="C796" s="11" t="s">
        <v>5053</v>
      </c>
      <c r="D796" s="21" t="s">
        <v>109</v>
      </c>
      <c r="E796" s="11" t="s">
        <v>47</v>
      </c>
      <c r="F796" s="13">
        <v>144</v>
      </c>
      <c r="G796" s="14" t="s">
        <v>119</v>
      </c>
      <c r="H796" s="11" t="s">
        <v>330</v>
      </c>
      <c r="I796" s="15" t="s">
        <v>5054</v>
      </c>
      <c r="J796" s="10" t="s">
        <v>5055</v>
      </c>
      <c r="K796" s="11" t="s">
        <v>5056</v>
      </c>
      <c r="L796" s="9" t="s">
        <v>158</v>
      </c>
      <c r="M796" s="10" t="s">
        <v>159</v>
      </c>
      <c r="N796" s="22"/>
      <c r="O796" s="17"/>
      <c r="P796" s="17"/>
      <c r="Q796" s="18" t="s">
        <v>78</v>
      </c>
      <c r="R796" s="18" t="s">
        <v>79</v>
      </c>
      <c r="S796" s="18" t="s">
        <v>61</v>
      </c>
      <c r="T796" s="18" t="s">
        <v>62</v>
      </c>
      <c r="U796" s="19" t="s">
        <v>80</v>
      </c>
    </row>
    <row r="797" spans="1:21" ht="15.75" customHeight="1" x14ac:dyDescent="0.25">
      <c r="A797" s="27" t="s">
        <v>5057</v>
      </c>
      <c r="B797" s="28" t="s">
        <v>5058</v>
      </c>
      <c r="C797" s="29" t="s">
        <v>5059</v>
      </c>
      <c r="D797" s="37" t="s">
        <v>109</v>
      </c>
      <c r="E797" s="29" t="s">
        <v>47</v>
      </c>
      <c r="F797" s="31">
        <v>102</v>
      </c>
      <c r="G797" s="14" t="s">
        <v>119</v>
      </c>
      <c r="H797" s="29" t="s">
        <v>330</v>
      </c>
      <c r="I797" s="32" t="s">
        <v>5060</v>
      </c>
      <c r="J797" s="28" t="s">
        <v>5061</v>
      </c>
      <c r="K797" s="29" t="s">
        <v>5062</v>
      </c>
      <c r="L797" s="27" t="s">
        <v>158</v>
      </c>
      <c r="M797" s="28" t="s">
        <v>159</v>
      </c>
      <c r="N797" s="38"/>
      <c r="O797" s="34"/>
      <c r="P797" s="34"/>
      <c r="Q797" s="35" t="s">
        <v>78</v>
      </c>
      <c r="R797" s="35" t="s">
        <v>79</v>
      </c>
      <c r="S797" s="35" t="s">
        <v>61</v>
      </c>
      <c r="T797" s="35" t="s">
        <v>62</v>
      </c>
      <c r="U797" s="36" t="s">
        <v>80</v>
      </c>
    </row>
    <row r="798" spans="1:21" ht="15.75" customHeight="1" x14ac:dyDescent="0.25">
      <c r="A798" s="9" t="s">
        <v>5063</v>
      </c>
      <c r="B798" s="10" t="s">
        <v>5064</v>
      </c>
      <c r="C798" s="11" t="s">
        <v>5065</v>
      </c>
      <c r="D798" s="12" t="s">
        <v>2085</v>
      </c>
      <c r="E798" s="11" t="s">
        <v>47</v>
      </c>
      <c r="F798" s="13">
        <v>114</v>
      </c>
      <c r="G798" s="14" t="s">
        <v>119</v>
      </c>
      <c r="H798" s="11" t="s">
        <v>330</v>
      </c>
      <c r="I798" s="15" t="s">
        <v>5066</v>
      </c>
      <c r="J798" s="10" t="s">
        <v>5067</v>
      </c>
      <c r="K798" s="11" t="s">
        <v>5068</v>
      </c>
      <c r="L798" s="9" t="s">
        <v>158</v>
      </c>
      <c r="M798" s="10" t="s">
        <v>159</v>
      </c>
      <c r="N798" s="23" t="s">
        <v>179</v>
      </c>
      <c r="O798" s="17" t="s">
        <v>712</v>
      </c>
      <c r="P798" s="17" t="s">
        <v>713</v>
      </c>
      <c r="Q798" s="18" t="s">
        <v>78</v>
      </c>
      <c r="R798" s="18" t="s">
        <v>79</v>
      </c>
      <c r="S798" s="18" t="s">
        <v>61</v>
      </c>
      <c r="T798" s="18" t="s">
        <v>62</v>
      </c>
      <c r="U798" s="19" t="s">
        <v>80</v>
      </c>
    </row>
    <row r="799" spans="1:21" ht="15.75" customHeight="1" x14ac:dyDescent="0.25">
      <c r="A799" s="27" t="s">
        <v>5069</v>
      </c>
      <c r="B799" s="28" t="s">
        <v>5070</v>
      </c>
      <c r="C799" s="29" t="s">
        <v>5071</v>
      </c>
      <c r="D799" s="30" t="s">
        <v>5072</v>
      </c>
      <c r="E799" s="29" t="s">
        <v>67</v>
      </c>
      <c r="F799" s="31">
        <v>-145</v>
      </c>
      <c r="G799" s="20" t="s">
        <v>119</v>
      </c>
      <c r="H799" s="29" t="s">
        <v>69</v>
      </c>
      <c r="I799" s="32" t="s">
        <v>5073</v>
      </c>
      <c r="J799" s="28" t="s">
        <v>5074</v>
      </c>
      <c r="K799" s="29" t="s">
        <v>5075</v>
      </c>
      <c r="L799" s="27" t="s">
        <v>140</v>
      </c>
      <c r="M799" s="28" t="s">
        <v>141</v>
      </c>
      <c r="N799" s="33" t="s">
        <v>75</v>
      </c>
      <c r="O799" s="34" t="s">
        <v>5076</v>
      </c>
      <c r="P799" s="34" t="s">
        <v>5077</v>
      </c>
      <c r="Q799" s="35" t="s">
        <v>78</v>
      </c>
      <c r="R799" s="35" t="s">
        <v>79</v>
      </c>
      <c r="S799" s="35" t="s">
        <v>61</v>
      </c>
      <c r="T799" s="35" t="s">
        <v>62</v>
      </c>
      <c r="U799" s="36" t="s">
        <v>80</v>
      </c>
    </row>
    <row r="800" spans="1:21" ht="15.75" customHeight="1" x14ac:dyDescent="0.25">
      <c r="A800" s="9" t="s">
        <v>5078</v>
      </c>
      <c r="B800" s="10" t="s">
        <v>5079</v>
      </c>
      <c r="C800" s="11" t="s">
        <v>5080</v>
      </c>
      <c r="D800" s="12" t="s">
        <v>5081</v>
      </c>
      <c r="E800" s="11" t="s">
        <v>47</v>
      </c>
      <c r="F800" s="13">
        <v>60</v>
      </c>
      <c r="G800" s="20" t="s">
        <v>119</v>
      </c>
      <c r="H800" s="11" t="s">
        <v>48</v>
      </c>
      <c r="I800" s="15" t="s">
        <v>5082</v>
      </c>
      <c r="J800" s="10" t="s">
        <v>5083</v>
      </c>
      <c r="K800" s="11" t="s">
        <v>5084</v>
      </c>
      <c r="L800" s="9" t="s">
        <v>1267</v>
      </c>
      <c r="M800" s="10" t="s">
        <v>1268</v>
      </c>
      <c r="N800" s="16" t="s">
        <v>75</v>
      </c>
      <c r="O800" s="17" t="s">
        <v>492</v>
      </c>
      <c r="P800" s="17" t="s">
        <v>493</v>
      </c>
      <c r="Q800" s="18" t="s">
        <v>78</v>
      </c>
      <c r="R800" s="18" t="s">
        <v>79</v>
      </c>
      <c r="S800" s="18" t="s">
        <v>61</v>
      </c>
      <c r="T800" s="18" t="s">
        <v>62</v>
      </c>
      <c r="U800" s="19" t="s">
        <v>80</v>
      </c>
    </row>
    <row r="801" spans="1:21" ht="15.75" customHeight="1" x14ac:dyDescent="0.25">
      <c r="A801" s="27" t="s">
        <v>5085</v>
      </c>
      <c r="B801" s="28" t="s">
        <v>5086</v>
      </c>
      <c r="C801" s="29" t="s">
        <v>5087</v>
      </c>
      <c r="D801" s="37" t="s">
        <v>109</v>
      </c>
      <c r="E801" s="29" t="s">
        <v>47</v>
      </c>
      <c r="F801" s="31">
        <v>227</v>
      </c>
      <c r="G801" s="25" t="s">
        <v>110</v>
      </c>
      <c r="H801" s="29" t="s">
        <v>129</v>
      </c>
      <c r="I801" s="32" t="s">
        <v>5088</v>
      </c>
      <c r="J801" s="28" t="s">
        <v>5089</v>
      </c>
      <c r="K801" s="29" t="s">
        <v>507</v>
      </c>
      <c r="L801" s="27" t="s">
        <v>90</v>
      </c>
      <c r="M801" s="28" t="s">
        <v>91</v>
      </c>
      <c r="N801" s="38"/>
      <c r="O801" s="34"/>
      <c r="P801" s="34"/>
      <c r="Q801" s="35" t="s">
        <v>78</v>
      </c>
      <c r="R801" s="35" t="s">
        <v>79</v>
      </c>
      <c r="S801" s="35" t="s">
        <v>61</v>
      </c>
      <c r="T801" s="35" t="s">
        <v>62</v>
      </c>
      <c r="U801" s="36" t="s">
        <v>80</v>
      </c>
    </row>
    <row r="802" spans="1:21" ht="15.75" customHeight="1" x14ac:dyDescent="0.25">
      <c r="A802" s="9" t="s">
        <v>5090</v>
      </c>
      <c r="B802" s="10" t="s">
        <v>5091</v>
      </c>
      <c r="C802" s="11" t="s">
        <v>5092</v>
      </c>
      <c r="D802" s="12" t="s">
        <v>5093</v>
      </c>
      <c r="E802" s="11" t="s">
        <v>1264</v>
      </c>
      <c r="F802" s="11" t="s">
        <v>118</v>
      </c>
      <c r="G802" s="20" t="s">
        <v>85</v>
      </c>
      <c r="H802" s="11" t="s">
        <v>100</v>
      </c>
      <c r="I802" s="15" t="s">
        <v>5094</v>
      </c>
      <c r="J802" s="10" t="s">
        <v>5095</v>
      </c>
      <c r="K802" s="11" t="s">
        <v>2809</v>
      </c>
      <c r="L802" s="9" t="s">
        <v>90</v>
      </c>
      <c r="M802" s="10" t="s">
        <v>91</v>
      </c>
      <c r="N802" s="16" t="s">
        <v>75</v>
      </c>
      <c r="O802" s="17" t="s">
        <v>92</v>
      </c>
      <c r="P802" s="17" t="s">
        <v>93</v>
      </c>
      <c r="Q802" s="18" t="s">
        <v>78</v>
      </c>
      <c r="R802" s="18" t="s">
        <v>79</v>
      </c>
      <c r="S802" s="18" t="s">
        <v>61</v>
      </c>
      <c r="T802" s="18" t="s">
        <v>62</v>
      </c>
      <c r="U802" s="19" t="s">
        <v>80</v>
      </c>
    </row>
    <row r="803" spans="1:21" ht="15.75" customHeight="1" x14ac:dyDescent="0.25">
      <c r="A803" s="27" t="s">
        <v>5096</v>
      </c>
      <c r="B803" s="28" t="s">
        <v>5097</v>
      </c>
      <c r="C803" s="29" t="s">
        <v>5098</v>
      </c>
      <c r="D803" s="37" t="s">
        <v>109</v>
      </c>
      <c r="E803" s="29" t="s">
        <v>98</v>
      </c>
      <c r="F803" s="29" t="s">
        <v>5099</v>
      </c>
      <c r="G803" s="24" t="s">
        <v>85</v>
      </c>
      <c r="H803" s="29" t="s">
        <v>100</v>
      </c>
      <c r="I803" s="32" t="s">
        <v>5100</v>
      </c>
      <c r="J803" s="28" t="s">
        <v>5101</v>
      </c>
      <c r="K803" s="29"/>
      <c r="L803" s="27"/>
      <c r="M803" s="28"/>
      <c r="N803" s="38"/>
      <c r="O803" s="34"/>
      <c r="P803" s="34"/>
      <c r="Q803" s="35" t="s">
        <v>78</v>
      </c>
      <c r="R803" s="35" t="s">
        <v>79</v>
      </c>
      <c r="S803" s="35" t="s">
        <v>61</v>
      </c>
      <c r="T803" s="35" t="s">
        <v>62</v>
      </c>
      <c r="U803" s="36" t="s">
        <v>80</v>
      </c>
    </row>
    <row r="804" spans="1:21" ht="15.75" customHeight="1" x14ac:dyDescent="0.25">
      <c r="A804" s="9" t="s">
        <v>5102</v>
      </c>
      <c r="B804" s="10" t="s">
        <v>5103</v>
      </c>
      <c r="C804" s="11" t="s">
        <v>5104</v>
      </c>
      <c r="D804" s="12" t="s">
        <v>5105</v>
      </c>
      <c r="E804" s="11" t="s">
        <v>47</v>
      </c>
      <c r="F804" s="13">
        <v>52</v>
      </c>
      <c r="G804" s="20" t="s">
        <v>119</v>
      </c>
      <c r="H804" s="11" t="s">
        <v>48</v>
      </c>
      <c r="I804" s="15" t="s">
        <v>5106</v>
      </c>
      <c r="J804" s="10" t="s">
        <v>5107</v>
      </c>
      <c r="K804" s="11" t="s">
        <v>5108</v>
      </c>
      <c r="L804" s="9" t="s">
        <v>90</v>
      </c>
      <c r="M804" s="10" t="s">
        <v>91</v>
      </c>
      <c r="N804" s="16" t="s">
        <v>75</v>
      </c>
      <c r="O804" s="17" t="s">
        <v>779</v>
      </c>
      <c r="P804" s="17" t="s">
        <v>780</v>
      </c>
      <c r="Q804" s="18" t="s">
        <v>78</v>
      </c>
      <c r="R804" s="18" t="s">
        <v>79</v>
      </c>
      <c r="S804" s="18" t="s">
        <v>61</v>
      </c>
      <c r="T804" s="18" t="s">
        <v>62</v>
      </c>
      <c r="U804" s="19" t="s">
        <v>80</v>
      </c>
    </row>
    <row r="805" spans="1:21" ht="15.75" customHeight="1" x14ac:dyDescent="0.25">
      <c r="A805" s="27" t="s">
        <v>5109</v>
      </c>
      <c r="B805" s="28" t="s">
        <v>5110</v>
      </c>
      <c r="C805" s="29" t="s">
        <v>5111</v>
      </c>
      <c r="D805" s="37" t="s">
        <v>109</v>
      </c>
      <c r="E805" s="29" t="s">
        <v>98</v>
      </c>
      <c r="F805" s="29" t="s">
        <v>5112</v>
      </c>
      <c r="G805" s="25" t="s">
        <v>110</v>
      </c>
      <c r="H805" s="29" t="s">
        <v>100</v>
      </c>
      <c r="I805" s="32" t="s">
        <v>5113</v>
      </c>
      <c r="J805" s="28" t="s">
        <v>5114</v>
      </c>
      <c r="K805" s="29" t="s">
        <v>5115</v>
      </c>
      <c r="L805" s="27" t="s">
        <v>90</v>
      </c>
      <c r="M805" s="28" t="s">
        <v>91</v>
      </c>
      <c r="N805" s="38"/>
      <c r="O805" s="34"/>
      <c r="P805" s="34"/>
      <c r="Q805" s="35" t="s">
        <v>78</v>
      </c>
      <c r="R805" s="35" t="s">
        <v>79</v>
      </c>
      <c r="S805" s="35" t="s">
        <v>61</v>
      </c>
      <c r="T805" s="35" t="s">
        <v>62</v>
      </c>
      <c r="U805" s="36" t="s">
        <v>80</v>
      </c>
    </row>
    <row r="806" spans="1:21" ht="15.75" customHeight="1" x14ac:dyDescent="0.25">
      <c r="A806" s="9" t="s">
        <v>5116</v>
      </c>
      <c r="B806" s="10" t="s">
        <v>5117</v>
      </c>
      <c r="C806" s="11" t="s">
        <v>5118</v>
      </c>
      <c r="D806" s="21" t="s">
        <v>109</v>
      </c>
      <c r="E806" s="11" t="s">
        <v>98</v>
      </c>
      <c r="F806" s="13">
        <v>342</v>
      </c>
      <c r="G806" s="24" t="s">
        <v>85</v>
      </c>
      <c r="H806" s="11" t="s">
        <v>129</v>
      </c>
      <c r="I806" s="15" t="s">
        <v>5119</v>
      </c>
      <c r="J806" s="10" t="s">
        <v>5120</v>
      </c>
      <c r="K806" s="11"/>
      <c r="L806" s="9"/>
      <c r="M806" s="10"/>
      <c r="N806" s="22"/>
      <c r="O806" s="17"/>
      <c r="P806" s="17"/>
      <c r="Q806" s="18" t="s">
        <v>78</v>
      </c>
      <c r="R806" s="18" t="s">
        <v>79</v>
      </c>
      <c r="S806" s="18" t="s">
        <v>61</v>
      </c>
      <c r="T806" s="18" t="s">
        <v>62</v>
      </c>
      <c r="U806" s="19" t="s">
        <v>80</v>
      </c>
    </row>
    <row r="807" spans="1:21" ht="15.75" customHeight="1" x14ac:dyDescent="0.25">
      <c r="A807" s="27" t="s">
        <v>5121</v>
      </c>
      <c r="B807" s="28" t="s">
        <v>5122</v>
      </c>
      <c r="C807" s="29" t="s">
        <v>5123</v>
      </c>
      <c r="D807" s="30" t="s">
        <v>5124</v>
      </c>
      <c r="E807" s="29" t="s">
        <v>98</v>
      </c>
      <c r="F807" s="29" t="s">
        <v>99</v>
      </c>
      <c r="G807" s="20" t="s">
        <v>119</v>
      </c>
      <c r="H807" s="29" t="s">
        <v>100</v>
      </c>
      <c r="I807" s="32" t="s">
        <v>5125</v>
      </c>
      <c r="J807" s="28" t="s">
        <v>5126</v>
      </c>
      <c r="K807" s="29" t="s">
        <v>1286</v>
      </c>
      <c r="L807" s="27" t="s">
        <v>90</v>
      </c>
      <c r="M807" s="28" t="s">
        <v>91</v>
      </c>
      <c r="N807" s="33" t="s">
        <v>75</v>
      </c>
      <c r="O807" s="34" t="s">
        <v>124</v>
      </c>
      <c r="P807" s="34" t="s">
        <v>125</v>
      </c>
      <c r="Q807" s="35" t="s">
        <v>78</v>
      </c>
      <c r="R807" s="35" t="s">
        <v>79</v>
      </c>
      <c r="S807" s="35" t="s">
        <v>61</v>
      </c>
      <c r="T807" s="35" t="s">
        <v>62</v>
      </c>
      <c r="U807" s="36" t="s">
        <v>80</v>
      </c>
    </row>
    <row r="808" spans="1:21" ht="15.75" customHeight="1" x14ac:dyDescent="0.25">
      <c r="A808" s="9" t="s">
        <v>5127</v>
      </c>
      <c r="B808" s="10" t="s">
        <v>5128</v>
      </c>
      <c r="C808" s="11" t="s">
        <v>5129</v>
      </c>
      <c r="D808" s="21" t="s">
        <v>109</v>
      </c>
      <c r="E808" s="11" t="s">
        <v>98</v>
      </c>
      <c r="F808" s="11" t="s">
        <v>5130</v>
      </c>
      <c r="G808" s="24" t="s">
        <v>85</v>
      </c>
      <c r="H808" s="11" t="s">
        <v>120</v>
      </c>
      <c r="I808" s="15" t="s">
        <v>5131</v>
      </c>
      <c r="J808" s="10" t="s">
        <v>5132</v>
      </c>
      <c r="K808" s="11"/>
      <c r="L808" s="9"/>
      <c r="M808" s="10"/>
      <c r="N808" s="22"/>
      <c r="O808" s="17"/>
      <c r="P808" s="17"/>
      <c r="Q808" s="18" t="s">
        <v>78</v>
      </c>
      <c r="R808" s="18" t="s">
        <v>79</v>
      </c>
      <c r="S808" s="18" t="s">
        <v>61</v>
      </c>
      <c r="T808" s="18" t="s">
        <v>62</v>
      </c>
      <c r="U808" s="19" t="s">
        <v>80</v>
      </c>
    </row>
    <row r="809" spans="1:21" ht="15.75" customHeight="1" x14ac:dyDescent="0.25">
      <c r="A809" s="27" t="s">
        <v>5133</v>
      </c>
      <c r="B809" s="28" t="s">
        <v>5134</v>
      </c>
      <c r="C809" s="29" t="s">
        <v>5135</v>
      </c>
      <c r="D809" s="37" t="s">
        <v>109</v>
      </c>
      <c r="E809" s="29" t="s">
        <v>98</v>
      </c>
      <c r="F809" s="29"/>
      <c r="G809" s="24" t="s">
        <v>85</v>
      </c>
      <c r="H809" s="29" t="s">
        <v>100</v>
      </c>
      <c r="I809" s="32" t="s">
        <v>5136</v>
      </c>
      <c r="J809" s="28" t="s">
        <v>5137</v>
      </c>
      <c r="K809" s="29"/>
      <c r="L809" s="27"/>
      <c r="M809" s="28"/>
      <c r="N809" s="38"/>
      <c r="O809" s="34"/>
      <c r="P809" s="34"/>
      <c r="Q809" s="35" t="s">
        <v>78</v>
      </c>
      <c r="R809" s="35" t="s">
        <v>79</v>
      </c>
      <c r="S809" s="35" t="s">
        <v>61</v>
      </c>
      <c r="T809" s="35" t="s">
        <v>62</v>
      </c>
      <c r="U809" s="36" t="s">
        <v>80</v>
      </c>
    </row>
    <row r="810" spans="1:21" ht="15.75" customHeight="1" x14ac:dyDescent="0.25">
      <c r="A810" s="9" t="s">
        <v>5138</v>
      </c>
      <c r="B810" s="10" t="s">
        <v>5139</v>
      </c>
      <c r="C810" s="11" t="s">
        <v>5140</v>
      </c>
      <c r="D810" s="12" t="s">
        <v>5141</v>
      </c>
      <c r="E810" s="11" t="s">
        <v>47</v>
      </c>
      <c r="F810" s="13">
        <v>320</v>
      </c>
      <c r="G810" s="20" t="s">
        <v>85</v>
      </c>
      <c r="H810" s="11" t="s">
        <v>129</v>
      </c>
      <c r="I810" s="15" t="s">
        <v>5142</v>
      </c>
      <c r="J810" s="10" t="s">
        <v>5143</v>
      </c>
      <c r="K810" s="11"/>
      <c r="L810" s="9"/>
      <c r="M810" s="10"/>
      <c r="N810" s="16" t="s">
        <v>75</v>
      </c>
      <c r="O810" s="17" t="s">
        <v>180</v>
      </c>
      <c r="P810" s="17" t="s">
        <v>181</v>
      </c>
      <c r="Q810" s="18" t="s">
        <v>78</v>
      </c>
      <c r="R810" s="18" t="s">
        <v>79</v>
      </c>
      <c r="S810" s="18" t="s">
        <v>61</v>
      </c>
      <c r="T810" s="18" t="s">
        <v>62</v>
      </c>
      <c r="U810" s="19" t="s">
        <v>80</v>
      </c>
    </row>
    <row r="811" spans="1:21" ht="15.75" customHeight="1" x14ac:dyDescent="0.25">
      <c r="A811" s="27" t="s">
        <v>5144</v>
      </c>
      <c r="B811" s="28" t="s">
        <v>5145</v>
      </c>
      <c r="C811" s="29" t="s">
        <v>5146</v>
      </c>
      <c r="D811" s="37" t="s">
        <v>109</v>
      </c>
      <c r="E811" s="29" t="s">
        <v>47</v>
      </c>
      <c r="F811" s="31">
        <v>244</v>
      </c>
      <c r="G811" s="24" t="s">
        <v>85</v>
      </c>
      <c r="H811" s="29" t="s">
        <v>129</v>
      </c>
      <c r="I811" s="32" t="s">
        <v>5147</v>
      </c>
      <c r="J811" s="28" t="s">
        <v>5148</v>
      </c>
      <c r="K811" s="29"/>
      <c r="L811" s="27"/>
      <c r="M811" s="28"/>
      <c r="N811" s="38"/>
      <c r="O811" s="34"/>
      <c r="P811" s="34"/>
      <c r="Q811" s="35" t="s">
        <v>78</v>
      </c>
      <c r="R811" s="35" t="s">
        <v>79</v>
      </c>
      <c r="S811" s="35" t="s">
        <v>61</v>
      </c>
      <c r="T811" s="35" t="s">
        <v>62</v>
      </c>
      <c r="U811" s="36" t="s">
        <v>80</v>
      </c>
    </row>
    <row r="812" spans="1:21" ht="15.75" customHeight="1" x14ac:dyDescent="0.25">
      <c r="A812" s="9" t="s">
        <v>5149</v>
      </c>
      <c r="B812" s="10" t="s">
        <v>5150</v>
      </c>
      <c r="C812" s="11" t="s">
        <v>5151</v>
      </c>
      <c r="D812" s="21" t="s">
        <v>109</v>
      </c>
      <c r="E812" s="11" t="s">
        <v>47</v>
      </c>
      <c r="F812" s="13">
        <v>360</v>
      </c>
      <c r="G812" s="24" t="s">
        <v>85</v>
      </c>
      <c r="H812" s="11" t="s">
        <v>129</v>
      </c>
      <c r="I812" s="15" t="s">
        <v>5152</v>
      </c>
      <c r="J812" s="10" t="s">
        <v>5153</v>
      </c>
      <c r="K812" s="11"/>
      <c r="L812" s="9"/>
      <c r="M812" s="10"/>
      <c r="N812" s="22"/>
      <c r="O812" s="17"/>
      <c r="P812" s="17"/>
      <c r="Q812" s="18" t="s">
        <v>78</v>
      </c>
      <c r="R812" s="18" t="s">
        <v>79</v>
      </c>
      <c r="S812" s="18" t="s">
        <v>61</v>
      </c>
      <c r="T812" s="18" t="s">
        <v>62</v>
      </c>
      <c r="U812" s="19" t="s">
        <v>80</v>
      </c>
    </row>
    <row r="813" spans="1:21" ht="15.75" customHeight="1" x14ac:dyDescent="0.25">
      <c r="A813" s="27" t="s">
        <v>5154</v>
      </c>
      <c r="B813" s="28" t="s">
        <v>5155</v>
      </c>
      <c r="C813" s="29" t="s">
        <v>5156</v>
      </c>
      <c r="D813" s="37" t="s">
        <v>109</v>
      </c>
      <c r="E813" s="29" t="s">
        <v>47</v>
      </c>
      <c r="F813" s="31">
        <v>205</v>
      </c>
      <c r="G813" s="24" t="s">
        <v>85</v>
      </c>
      <c r="H813" s="29" t="s">
        <v>129</v>
      </c>
      <c r="I813" s="32" t="s">
        <v>5157</v>
      </c>
      <c r="J813" s="28" t="s">
        <v>5158</v>
      </c>
      <c r="K813" s="29"/>
      <c r="L813" s="27"/>
      <c r="M813" s="28"/>
      <c r="N813" s="38"/>
      <c r="O813" s="34"/>
      <c r="P813" s="34"/>
      <c r="Q813" s="35" t="s">
        <v>78</v>
      </c>
      <c r="R813" s="35" t="s">
        <v>79</v>
      </c>
      <c r="S813" s="35" t="s">
        <v>61</v>
      </c>
      <c r="T813" s="35" t="s">
        <v>62</v>
      </c>
      <c r="U813" s="36" t="s">
        <v>80</v>
      </c>
    </row>
    <row r="814" spans="1:21" ht="15.75" customHeight="1" x14ac:dyDescent="0.25">
      <c r="A814" s="9" t="s">
        <v>5159</v>
      </c>
      <c r="B814" s="10" t="s">
        <v>5160</v>
      </c>
      <c r="C814" s="11" t="s">
        <v>5161</v>
      </c>
      <c r="D814" s="21" t="s">
        <v>109</v>
      </c>
      <c r="E814" s="11" t="s">
        <v>47</v>
      </c>
      <c r="F814" s="13">
        <v>370</v>
      </c>
      <c r="G814" s="24" t="s">
        <v>85</v>
      </c>
      <c r="H814" s="11" t="s">
        <v>129</v>
      </c>
      <c r="I814" s="15" t="s">
        <v>5162</v>
      </c>
      <c r="J814" s="10" t="s">
        <v>5163</v>
      </c>
      <c r="K814" s="11" t="s">
        <v>348</v>
      </c>
      <c r="L814" s="9" t="s">
        <v>197</v>
      </c>
      <c r="M814" s="10" t="s">
        <v>198</v>
      </c>
      <c r="N814" s="22"/>
      <c r="O814" s="17"/>
      <c r="P814" s="17"/>
      <c r="Q814" s="18" t="s">
        <v>78</v>
      </c>
      <c r="R814" s="18" t="s">
        <v>79</v>
      </c>
      <c r="S814" s="18" t="s">
        <v>61</v>
      </c>
      <c r="T814" s="18" t="s">
        <v>62</v>
      </c>
      <c r="U814" s="19" t="s">
        <v>80</v>
      </c>
    </row>
    <row r="815" spans="1:21" ht="15.75" customHeight="1" x14ac:dyDescent="0.25">
      <c r="A815" s="27" t="s">
        <v>5164</v>
      </c>
      <c r="B815" s="28" t="s">
        <v>5165</v>
      </c>
      <c r="C815" s="29" t="s">
        <v>5166</v>
      </c>
      <c r="D815" s="37" t="s">
        <v>109</v>
      </c>
      <c r="E815" s="29" t="s">
        <v>98</v>
      </c>
      <c r="F815" s="29"/>
      <c r="G815" s="25" t="s">
        <v>110</v>
      </c>
      <c r="H815" s="29" t="s">
        <v>100</v>
      </c>
      <c r="I815" s="32" t="s">
        <v>5167</v>
      </c>
      <c r="J815" s="28" t="s">
        <v>5168</v>
      </c>
      <c r="K815" s="29" t="s">
        <v>1108</v>
      </c>
      <c r="L815" s="27" t="s">
        <v>90</v>
      </c>
      <c r="M815" s="28" t="s">
        <v>91</v>
      </c>
      <c r="N815" s="38"/>
      <c r="O815" s="34"/>
      <c r="P815" s="34"/>
      <c r="Q815" s="35" t="s">
        <v>78</v>
      </c>
      <c r="R815" s="35" t="s">
        <v>79</v>
      </c>
      <c r="S815" s="35" t="s">
        <v>61</v>
      </c>
      <c r="T815" s="35" t="s">
        <v>62</v>
      </c>
      <c r="U815" s="36" t="s">
        <v>80</v>
      </c>
    </row>
    <row r="816" spans="1:21" ht="15.75" customHeight="1" x14ac:dyDescent="0.25">
      <c r="A816" s="9" t="s">
        <v>5169</v>
      </c>
      <c r="B816" s="10" t="s">
        <v>5170</v>
      </c>
      <c r="C816" s="11" t="s">
        <v>5171</v>
      </c>
      <c r="D816" s="12" t="s">
        <v>5172</v>
      </c>
      <c r="E816" s="11" t="s">
        <v>98</v>
      </c>
      <c r="F816" s="11" t="s">
        <v>5173</v>
      </c>
      <c r="G816" s="20" t="s">
        <v>85</v>
      </c>
      <c r="H816" s="11" t="s">
        <v>120</v>
      </c>
      <c r="I816" s="15" t="s">
        <v>5174</v>
      </c>
      <c r="J816" s="10" t="s">
        <v>5175</v>
      </c>
      <c r="K816" s="11"/>
      <c r="L816" s="9"/>
      <c r="M816" s="10"/>
      <c r="N816" s="16" t="s">
        <v>75</v>
      </c>
      <c r="O816" s="17" t="s">
        <v>292</v>
      </c>
      <c r="P816" s="17" t="s">
        <v>293</v>
      </c>
      <c r="Q816" s="18" t="s">
        <v>78</v>
      </c>
      <c r="R816" s="18" t="s">
        <v>79</v>
      </c>
      <c r="S816" s="18" t="s">
        <v>61</v>
      </c>
      <c r="T816" s="18" t="s">
        <v>62</v>
      </c>
      <c r="U816" s="19" t="s">
        <v>80</v>
      </c>
    </row>
    <row r="817" spans="1:21" ht="15.75" customHeight="1" x14ac:dyDescent="0.25">
      <c r="A817" s="27" t="s">
        <v>5176</v>
      </c>
      <c r="B817" s="28" t="s">
        <v>5177</v>
      </c>
      <c r="C817" s="29" t="s">
        <v>5178</v>
      </c>
      <c r="D817" s="37" t="s">
        <v>109</v>
      </c>
      <c r="E817" s="29" t="s">
        <v>67</v>
      </c>
      <c r="F817" s="31">
        <v>-58</v>
      </c>
      <c r="G817" s="24" t="s">
        <v>85</v>
      </c>
      <c r="H817" s="29" t="s">
        <v>69</v>
      </c>
      <c r="I817" s="32" t="s">
        <v>5179</v>
      </c>
      <c r="J817" s="28" t="s">
        <v>5180</v>
      </c>
      <c r="K817" s="29" t="s">
        <v>5181</v>
      </c>
      <c r="L817" s="27" t="s">
        <v>248</v>
      </c>
      <c r="M817" s="28" t="s">
        <v>249</v>
      </c>
      <c r="N817" s="38"/>
      <c r="O817" s="34"/>
      <c r="P817" s="34"/>
      <c r="Q817" s="35" t="s">
        <v>78</v>
      </c>
      <c r="R817" s="35" t="s">
        <v>79</v>
      </c>
      <c r="S817" s="35" t="s">
        <v>61</v>
      </c>
      <c r="T817" s="35" t="s">
        <v>62</v>
      </c>
      <c r="U817" s="36" t="s">
        <v>80</v>
      </c>
    </row>
    <row r="818" spans="1:21" ht="15.75" customHeight="1" x14ac:dyDescent="0.25">
      <c r="A818" s="9" t="s">
        <v>5182</v>
      </c>
      <c r="B818" s="10" t="s">
        <v>5183</v>
      </c>
      <c r="C818" s="11" t="s">
        <v>5184</v>
      </c>
      <c r="D818" s="21" t="s">
        <v>109</v>
      </c>
      <c r="E818" s="11" t="s">
        <v>47</v>
      </c>
      <c r="F818" s="13">
        <v>192</v>
      </c>
      <c r="G818" s="24" t="s">
        <v>85</v>
      </c>
      <c r="H818" s="11" t="s">
        <v>86</v>
      </c>
      <c r="I818" s="15" t="s">
        <v>5185</v>
      </c>
      <c r="J818" s="10" t="s">
        <v>5186</v>
      </c>
      <c r="K818" s="11"/>
      <c r="L818" s="9"/>
      <c r="M818" s="10"/>
      <c r="N818" s="22"/>
      <c r="O818" s="17"/>
      <c r="P818" s="17"/>
      <c r="Q818" s="18" t="s">
        <v>78</v>
      </c>
      <c r="R818" s="18" t="s">
        <v>79</v>
      </c>
      <c r="S818" s="18" t="s">
        <v>61</v>
      </c>
      <c r="T818" s="18" t="s">
        <v>62</v>
      </c>
      <c r="U818" s="19" t="s">
        <v>80</v>
      </c>
    </row>
    <row r="819" spans="1:21" ht="15.75" customHeight="1" x14ac:dyDescent="0.25">
      <c r="A819" s="27" t="s">
        <v>5187</v>
      </c>
      <c r="B819" s="28" t="s">
        <v>5188</v>
      </c>
      <c r="C819" s="29" t="s">
        <v>5189</v>
      </c>
      <c r="D819" s="37" t="s">
        <v>109</v>
      </c>
      <c r="E819" s="29" t="s">
        <v>47</v>
      </c>
      <c r="F819" s="31">
        <v>112</v>
      </c>
      <c r="G819" s="14" t="s">
        <v>119</v>
      </c>
      <c r="H819" s="29" t="s">
        <v>330</v>
      </c>
      <c r="I819" s="32" t="s">
        <v>5190</v>
      </c>
      <c r="J819" s="28" t="s">
        <v>5191</v>
      </c>
      <c r="K819" s="29" t="s">
        <v>2657</v>
      </c>
      <c r="L819" s="27" t="s">
        <v>158</v>
      </c>
      <c r="M819" s="28" t="s">
        <v>159</v>
      </c>
      <c r="N819" s="38"/>
      <c r="O819" s="34"/>
      <c r="P819" s="34"/>
      <c r="Q819" s="35" t="s">
        <v>78</v>
      </c>
      <c r="R819" s="35" t="s">
        <v>79</v>
      </c>
      <c r="S819" s="35" t="s">
        <v>61</v>
      </c>
      <c r="T819" s="35" t="s">
        <v>62</v>
      </c>
      <c r="U819" s="36" t="s">
        <v>80</v>
      </c>
    </row>
    <row r="820" spans="1:21" ht="15.75" customHeight="1" x14ac:dyDescent="0.25">
      <c r="A820" s="9" t="s">
        <v>5192</v>
      </c>
      <c r="B820" s="10" t="s">
        <v>5193</v>
      </c>
      <c r="C820" s="11" t="s">
        <v>5194</v>
      </c>
      <c r="D820" s="21" t="s">
        <v>109</v>
      </c>
      <c r="E820" s="11" t="s">
        <v>98</v>
      </c>
      <c r="F820" s="13">
        <v>265</v>
      </c>
      <c r="G820" s="24" t="s">
        <v>85</v>
      </c>
      <c r="H820" s="11" t="s">
        <v>129</v>
      </c>
      <c r="I820" s="15" t="s">
        <v>5195</v>
      </c>
      <c r="J820" s="10" t="s">
        <v>5196</v>
      </c>
      <c r="K820" s="11"/>
      <c r="L820" s="9"/>
      <c r="M820" s="10"/>
      <c r="N820" s="22"/>
      <c r="O820" s="17"/>
      <c r="P820" s="17"/>
      <c r="Q820" s="18" t="s">
        <v>78</v>
      </c>
      <c r="R820" s="18" t="s">
        <v>79</v>
      </c>
      <c r="S820" s="18" t="s">
        <v>61</v>
      </c>
      <c r="T820" s="18" t="s">
        <v>62</v>
      </c>
      <c r="U820" s="19" t="s">
        <v>80</v>
      </c>
    </row>
    <row r="821" spans="1:21" ht="15.75" customHeight="1" x14ac:dyDescent="0.25">
      <c r="A821" s="27" t="s">
        <v>5197</v>
      </c>
      <c r="B821" s="28" t="s">
        <v>5198</v>
      </c>
      <c r="C821" s="29" t="s">
        <v>5199</v>
      </c>
      <c r="D821" s="37" t="s">
        <v>109</v>
      </c>
      <c r="E821" s="29" t="s">
        <v>47</v>
      </c>
      <c r="F821" s="29" t="s">
        <v>5200</v>
      </c>
      <c r="G821" s="14" t="s">
        <v>119</v>
      </c>
      <c r="H821" s="29" t="s">
        <v>330</v>
      </c>
      <c r="I821" s="32" t="s">
        <v>5201</v>
      </c>
      <c r="J821" s="28" t="s">
        <v>5202</v>
      </c>
      <c r="K821" s="29" t="s">
        <v>5203</v>
      </c>
      <c r="L821" s="27" t="s">
        <v>1598</v>
      </c>
      <c r="M821" s="28" t="s">
        <v>1599</v>
      </c>
      <c r="N821" s="38"/>
      <c r="O821" s="34"/>
      <c r="P821" s="34"/>
      <c r="Q821" s="35" t="s">
        <v>78</v>
      </c>
      <c r="R821" s="35" t="s">
        <v>79</v>
      </c>
      <c r="S821" s="35" t="s">
        <v>61</v>
      </c>
      <c r="T821" s="35" t="s">
        <v>62</v>
      </c>
      <c r="U821" s="36" t="s">
        <v>80</v>
      </c>
    </row>
    <row r="822" spans="1:21" ht="15.75" customHeight="1" x14ac:dyDescent="0.25">
      <c r="A822" s="9" t="s">
        <v>5204</v>
      </c>
      <c r="B822" s="10" t="s">
        <v>5205</v>
      </c>
      <c r="C822" s="11" t="s">
        <v>5206</v>
      </c>
      <c r="D822" s="21" t="s">
        <v>109</v>
      </c>
      <c r="E822" s="11" t="s">
        <v>98</v>
      </c>
      <c r="F822" s="11" t="s">
        <v>99</v>
      </c>
      <c r="G822" s="25" t="s">
        <v>110</v>
      </c>
      <c r="H822" s="11" t="s">
        <v>120</v>
      </c>
      <c r="I822" s="15" t="s">
        <v>5207</v>
      </c>
      <c r="J822" s="10" t="s">
        <v>5208</v>
      </c>
      <c r="K822" s="11" t="s">
        <v>337</v>
      </c>
      <c r="L822" s="9" t="s">
        <v>90</v>
      </c>
      <c r="M822" s="10" t="s">
        <v>91</v>
      </c>
      <c r="N822" s="22"/>
      <c r="O822" s="17"/>
      <c r="P822" s="17"/>
      <c r="Q822" s="18" t="s">
        <v>78</v>
      </c>
      <c r="R822" s="18" t="s">
        <v>79</v>
      </c>
      <c r="S822" s="18" t="s">
        <v>61</v>
      </c>
      <c r="T822" s="18" t="s">
        <v>62</v>
      </c>
      <c r="U822" s="19" t="s">
        <v>80</v>
      </c>
    </row>
    <row r="823" spans="1:21" ht="15.75" customHeight="1" x14ac:dyDescent="0.25">
      <c r="A823" s="27" t="s">
        <v>5209</v>
      </c>
      <c r="B823" s="28" t="s">
        <v>5210</v>
      </c>
      <c r="C823" s="29" t="s">
        <v>5211</v>
      </c>
      <c r="D823" s="37" t="s">
        <v>109</v>
      </c>
      <c r="E823" s="29" t="s">
        <v>47</v>
      </c>
      <c r="F823" s="31">
        <v>126</v>
      </c>
      <c r="G823" s="25" t="s">
        <v>110</v>
      </c>
      <c r="H823" s="29" t="s">
        <v>330</v>
      </c>
      <c r="I823" s="32" t="s">
        <v>5212</v>
      </c>
      <c r="J823" s="28" t="s">
        <v>5213</v>
      </c>
      <c r="K823" s="29" t="s">
        <v>5214</v>
      </c>
      <c r="L823" s="27" t="s">
        <v>90</v>
      </c>
      <c r="M823" s="28" t="s">
        <v>91</v>
      </c>
      <c r="N823" s="38"/>
      <c r="O823" s="34"/>
      <c r="P823" s="34"/>
      <c r="Q823" s="35" t="s">
        <v>78</v>
      </c>
      <c r="R823" s="35" t="s">
        <v>79</v>
      </c>
      <c r="S823" s="35" t="s">
        <v>61</v>
      </c>
      <c r="T823" s="35" t="s">
        <v>62</v>
      </c>
      <c r="U823" s="36" t="s">
        <v>80</v>
      </c>
    </row>
    <row r="824" spans="1:21" ht="15.75" customHeight="1" x14ac:dyDescent="0.25">
      <c r="A824" s="9" t="s">
        <v>5215</v>
      </c>
      <c r="B824" s="10" t="s">
        <v>5216</v>
      </c>
      <c r="C824" s="11" t="s">
        <v>5217</v>
      </c>
      <c r="D824" s="21" t="s">
        <v>109</v>
      </c>
      <c r="E824" s="11" t="s">
        <v>47</v>
      </c>
      <c r="F824" s="13">
        <v>106</v>
      </c>
      <c r="G824" s="25" t="s">
        <v>110</v>
      </c>
      <c r="H824" s="11" t="s">
        <v>330</v>
      </c>
      <c r="I824" s="15" t="s">
        <v>5218</v>
      </c>
      <c r="J824" s="10" t="s">
        <v>5219</v>
      </c>
      <c r="K824" s="11" t="s">
        <v>5220</v>
      </c>
      <c r="L824" s="9" t="s">
        <v>90</v>
      </c>
      <c r="M824" s="10" t="s">
        <v>91</v>
      </c>
      <c r="N824" s="22"/>
      <c r="O824" s="17"/>
      <c r="P824" s="17"/>
      <c r="Q824" s="18" t="s">
        <v>78</v>
      </c>
      <c r="R824" s="18" t="s">
        <v>79</v>
      </c>
      <c r="S824" s="18" t="s">
        <v>61</v>
      </c>
      <c r="T824" s="18" t="s">
        <v>62</v>
      </c>
      <c r="U824" s="19" t="s">
        <v>80</v>
      </c>
    </row>
    <row r="825" spans="1:21" ht="15.75" customHeight="1" x14ac:dyDescent="0.25">
      <c r="A825" s="27" t="s">
        <v>5221</v>
      </c>
      <c r="B825" s="28" t="s">
        <v>5222</v>
      </c>
      <c r="C825" s="29" t="s">
        <v>5223</v>
      </c>
      <c r="D825" s="30" t="s">
        <v>5224</v>
      </c>
      <c r="E825" s="29" t="s">
        <v>98</v>
      </c>
      <c r="F825" s="31">
        <v>242</v>
      </c>
      <c r="G825" s="20" t="s">
        <v>85</v>
      </c>
      <c r="H825" s="29" t="s">
        <v>129</v>
      </c>
      <c r="I825" s="32" t="s">
        <v>5225</v>
      </c>
      <c r="J825" s="28" t="s">
        <v>5226</v>
      </c>
      <c r="K825" s="29" t="s">
        <v>300</v>
      </c>
      <c r="L825" s="27" t="s">
        <v>90</v>
      </c>
      <c r="M825" s="28" t="s">
        <v>91</v>
      </c>
      <c r="N825" s="33" t="s">
        <v>75</v>
      </c>
      <c r="O825" s="34" t="s">
        <v>92</v>
      </c>
      <c r="P825" s="34" t="s">
        <v>93</v>
      </c>
      <c r="Q825" s="35" t="s">
        <v>78</v>
      </c>
      <c r="R825" s="35" t="s">
        <v>79</v>
      </c>
      <c r="S825" s="35" t="s">
        <v>61</v>
      </c>
      <c r="T825" s="35" t="s">
        <v>62</v>
      </c>
      <c r="U825" s="36" t="s">
        <v>80</v>
      </c>
    </row>
    <row r="826" spans="1:21" ht="15.75" customHeight="1" x14ac:dyDescent="0.25">
      <c r="A826" s="9" t="s">
        <v>5227</v>
      </c>
      <c r="B826" s="10" t="s">
        <v>5228</v>
      </c>
      <c r="C826" s="11" t="s">
        <v>5229</v>
      </c>
      <c r="D826" s="21" t="s">
        <v>109</v>
      </c>
      <c r="E826" s="11" t="s">
        <v>98</v>
      </c>
      <c r="F826" s="13">
        <v>4602</v>
      </c>
      <c r="G826" s="14" t="s">
        <v>119</v>
      </c>
      <c r="H826" s="11" t="s">
        <v>129</v>
      </c>
      <c r="I826" s="15" t="s">
        <v>5230</v>
      </c>
      <c r="J826" s="10" t="s">
        <v>5231</v>
      </c>
      <c r="K826" s="11" t="s">
        <v>5232</v>
      </c>
      <c r="L826" s="9" t="s">
        <v>1267</v>
      </c>
      <c r="M826" s="10" t="s">
        <v>1268</v>
      </c>
      <c r="N826" s="16" t="s">
        <v>75</v>
      </c>
      <c r="O826" s="17" t="s">
        <v>2007</v>
      </c>
      <c r="P826" s="17" t="s">
        <v>2008</v>
      </c>
      <c r="Q826" s="18" t="s">
        <v>78</v>
      </c>
      <c r="R826" s="18" t="s">
        <v>79</v>
      </c>
      <c r="S826" s="18" t="s">
        <v>61</v>
      </c>
      <c r="T826" s="18" t="s">
        <v>62</v>
      </c>
      <c r="U826" s="19" t="s">
        <v>80</v>
      </c>
    </row>
    <row r="827" spans="1:21" ht="15.75" customHeight="1" x14ac:dyDescent="0.25">
      <c r="A827" s="27" t="s">
        <v>5233</v>
      </c>
      <c r="B827" s="28" t="s">
        <v>5234</v>
      </c>
      <c r="C827" s="29" t="s">
        <v>5235</v>
      </c>
      <c r="D827" s="37" t="s">
        <v>109</v>
      </c>
      <c r="E827" s="29" t="s">
        <v>67</v>
      </c>
      <c r="F827" s="31">
        <v>-39</v>
      </c>
      <c r="G827" s="24" t="s">
        <v>85</v>
      </c>
      <c r="H827" s="29" t="s">
        <v>69</v>
      </c>
      <c r="I827" s="32" t="s">
        <v>5236</v>
      </c>
      <c r="J827" s="28" t="s">
        <v>5237</v>
      </c>
      <c r="K827" s="29" t="s">
        <v>5238</v>
      </c>
      <c r="L827" s="27" t="s">
        <v>248</v>
      </c>
      <c r="M827" s="28" t="s">
        <v>249</v>
      </c>
      <c r="N827" s="38"/>
      <c r="O827" s="34"/>
      <c r="P827" s="34"/>
      <c r="Q827" s="35" t="s">
        <v>78</v>
      </c>
      <c r="R827" s="35" t="s">
        <v>79</v>
      </c>
      <c r="S827" s="35" t="s">
        <v>61</v>
      </c>
      <c r="T827" s="35" t="s">
        <v>62</v>
      </c>
      <c r="U827" s="36" t="s">
        <v>80</v>
      </c>
    </row>
    <row r="828" spans="1:21" ht="15.75" customHeight="1" x14ac:dyDescent="0.25">
      <c r="A828" s="9" t="s">
        <v>5239</v>
      </c>
      <c r="B828" s="10" t="s">
        <v>5240</v>
      </c>
      <c r="C828" s="11" t="s">
        <v>5241</v>
      </c>
      <c r="D828" s="21" t="s">
        <v>109</v>
      </c>
      <c r="E828" s="11" t="s">
        <v>47</v>
      </c>
      <c r="F828" s="13">
        <v>175</v>
      </c>
      <c r="G828" s="25" t="s">
        <v>110</v>
      </c>
      <c r="H828" s="11" t="s">
        <v>86</v>
      </c>
      <c r="I828" s="15" t="s">
        <v>5242</v>
      </c>
      <c r="J828" s="10" t="s">
        <v>5243</v>
      </c>
      <c r="K828" s="11" t="s">
        <v>5244</v>
      </c>
      <c r="L828" s="9" t="s">
        <v>90</v>
      </c>
      <c r="M828" s="10" t="s">
        <v>91</v>
      </c>
      <c r="N828" s="22"/>
      <c r="O828" s="17"/>
      <c r="P828" s="17"/>
      <c r="Q828" s="18" t="s">
        <v>78</v>
      </c>
      <c r="R828" s="18" t="s">
        <v>79</v>
      </c>
      <c r="S828" s="18" t="s">
        <v>61</v>
      </c>
      <c r="T828" s="18" t="s">
        <v>62</v>
      </c>
      <c r="U828" s="19" t="s">
        <v>80</v>
      </c>
    </row>
    <row r="829" spans="1:21" ht="15.75" customHeight="1" x14ac:dyDescent="0.25">
      <c r="A829" s="27" t="s">
        <v>5245</v>
      </c>
      <c r="B829" s="28" t="s">
        <v>5246</v>
      </c>
      <c r="C829" s="29" t="s">
        <v>5247</v>
      </c>
      <c r="D829" s="37" t="s">
        <v>109</v>
      </c>
      <c r="E829" s="29" t="s">
        <v>98</v>
      </c>
      <c r="F829" s="31">
        <v>220</v>
      </c>
      <c r="G829" s="25" t="s">
        <v>110</v>
      </c>
      <c r="H829" s="29" t="s">
        <v>129</v>
      </c>
      <c r="I829" s="32" t="s">
        <v>5248</v>
      </c>
      <c r="J829" s="28" t="s">
        <v>5249</v>
      </c>
      <c r="K829" s="29" t="s">
        <v>1114</v>
      </c>
      <c r="L829" s="27" t="s">
        <v>90</v>
      </c>
      <c r="M829" s="28" t="s">
        <v>91</v>
      </c>
      <c r="N829" s="38"/>
      <c r="O829" s="34"/>
      <c r="P829" s="34"/>
      <c r="Q829" s="35" t="s">
        <v>78</v>
      </c>
      <c r="R829" s="35" t="s">
        <v>79</v>
      </c>
      <c r="S829" s="35" t="s">
        <v>61</v>
      </c>
      <c r="T829" s="35" t="s">
        <v>62</v>
      </c>
      <c r="U829" s="36" t="s">
        <v>80</v>
      </c>
    </row>
    <row r="830" spans="1:21" ht="15.75" customHeight="1" x14ac:dyDescent="0.25">
      <c r="A830" s="9" t="s">
        <v>5250</v>
      </c>
      <c r="B830" s="10" t="s">
        <v>5251</v>
      </c>
      <c r="C830" s="11" t="s">
        <v>5252</v>
      </c>
      <c r="D830" s="12" t="s">
        <v>5253</v>
      </c>
      <c r="E830" s="11" t="s">
        <v>98</v>
      </c>
      <c r="F830" s="13">
        <v>41</v>
      </c>
      <c r="G830" s="20" t="s">
        <v>119</v>
      </c>
      <c r="H830" s="11" t="s">
        <v>69</v>
      </c>
      <c r="I830" s="15" t="s">
        <v>5254</v>
      </c>
      <c r="J830" s="10" t="s">
        <v>5255</v>
      </c>
      <c r="K830" s="11" t="s">
        <v>1286</v>
      </c>
      <c r="L830" s="9" t="s">
        <v>90</v>
      </c>
      <c r="M830" s="10" t="s">
        <v>91</v>
      </c>
      <c r="N830" s="16" t="s">
        <v>75</v>
      </c>
      <c r="O830" s="17" t="s">
        <v>124</v>
      </c>
      <c r="P830" s="17" t="s">
        <v>125</v>
      </c>
      <c r="Q830" s="18" t="s">
        <v>78</v>
      </c>
      <c r="R830" s="18" t="s">
        <v>79</v>
      </c>
      <c r="S830" s="18" t="s">
        <v>61</v>
      </c>
      <c r="T830" s="18" t="s">
        <v>62</v>
      </c>
      <c r="U830" s="19" t="s">
        <v>80</v>
      </c>
    </row>
    <row r="831" spans="1:21" ht="15.75" customHeight="1" x14ac:dyDescent="0.25">
      <c r="A831" s="27" t="s">
        <v>5256</v>
      </c>
      <c r="B831" s="28" t="s">
        <v>5257</v>
      </c>
      <c r="C831" s="29" t="s">
        <v>5258</v>
      </c>
      <c r="D831" s="37" t="s">
        <v>109</v>
      </c>
      <c r="E831" s="29" t="s">
        <v>98</v>
      </c>
      <c r="F831" s="29"/>
      <c r="G831" s="24" t="s">
        <v>85</v>
      </c>
      <c r="H831" s="29" t="s">
        <v>100</v>
      </c>
      <c r="I831" s="32" t="s">
        <v>5259</v>
      </c>
      <c r="J831" s="28" t="s">
        <v>5260</v>
      </c>
      <c r="K831" s="29"/>
      <c r="L831" s="27"/>
      <c r="M831" s="28"/>
      <c r="N831" s="38"/>
      <c r="O831" s="34"/>
      <c r="P831" s="34"/>
      <c r="Q831" s="35" t="s">
        <v>78</v>
      </c>
      <c r="R831" s="35" t="s">
        <v>79</v>
      </c>
      <c r="S831" s="35" t="s">
        <v>61</v>
      </c>
      <c r="T831" s="35" t="s">
        <v>62</v>
      </c>
      <c r="U831" s="36" t="s">
        <v>80</v>
      </c>
    </row>
    <row r="832" spans="1:21" ht="15.75" customHeight="1" x14ac:dyDescent="0.25">
      <c r="A832" s="9" t="s">
        <v>5261</v>
      </c>
      <c r="B832" s="10" t="s">
        <v>5262</v>
      </c>
      <c r="C832" s="11" t="s">
        <v>5263</v>
      </c>
      <c r="D832" s="21" t="s">
        <v>109</v>
      </c>
      <c r="E832" s="11" t="s">
        <v>98</v>
      </c>
      <c r="F832" s="11"/>
      <c r="G832" s="24" t="s">
        <v>85</v>
      </c>
      <c r="H832" s="11" t="s">
        <v>120</v>
      </c>
      <c r="I832" s="15" t="s">
        <v>5264</v>
      </c>
      <c r="J832" s="10" t="s">
        <v>5265</v>
      </c>
      <c r="K832" s="11"/>
      <c r="L832" s="9"/>
      <c r="M832" s="10"/>
      <c r="N832" s="22"/>
      <c r="O832" s="17"/>
      <c r="P832" s="17"/>
      <c r="Q832" s="18" t="s">
        <v>78</v>
      </c>
      <c r="R832" s="18" t="s">
        <v>79</v>
      </c>
      <c r="S832" s="18" t="s">
        <v>61</v>
      </c>
      <c r="T832" s="18" t="s">
        <v>62</v>
      </c>
      <c r="U832" s="19" t="s">
        <v>80</v>
      </c>
    </row>
    <row r="833" spans="1:21" ht="15.75" customHeight="1" x14ac:dyDescent="0.25">
      <c r="A833" s="27" t="s">
        <v>5266</v>
      </c>
      <c r="B833" s="28" t="s">
        <v>5267</v>
      </c>
      <c r="C833" s="29" t="s">
        <v>5268</v>
      </c>
      <c r="D833" s="37" t="s">
        <v>109</v>
      </c>
      <c r="E833" s="29" t="s">
        <v>47</v>
      </c>
      <c r="F833" s="31">
        <v>117</v>
      </c>
      <c r="G833" s="25" t="s">
        <v>110</v>
      </c>
      <c r="H833" s="29" t="s">
        <v>330</v>
      </c>
      <c r="I833" s="32" t="s">
        <v>5269</v>
      </c>
      <c r="J833" s="28" t="s">
        <v>5270</v>
      </c>
      <c r="K833" s="29" t="s">
        <v>5271</v>
      </c>
      <c r="L833" s="27" t="s">
        <v>481</v>
      </c>
      <c r="M833" s="28" t="s">
        <v>482</v>
      </c>
      <c r="N833" s="38"/>
      <c r="O833" s="34"/>
      <c r="P833" s="34"/>
      <c r="Q833" s="35" t="s">
        <v>78</v>
      </c>
      <c r="R833" s="35" t="s">
        <v>79</v>
      </c>
      <c r="S833" s="35" t="s">
        <v>61</v>
      </c>
      <c r="T833" s="35" t="s">
        <v>62</v>
      </c>
      <c r="U833" s="36" t="s">
        <v>80</v>
      </c>
    </row>
    <row r="834" spans="1:21" ht="15.75" customHeight="1" x14ac:dyDescent="0.25">
      <c r="A834" s="9" t="s">
        <v>5272</v>
      </c>
      <c r="B834" s="10" t="s">
        <v>5273</v>
      </c>
      <c r="C834" s="11" t="s">
        <v>5274</v>
      </c>
      <c r="D834" s="21" t="s">
        <v>109</v>
      </c>
      <c r="E834" s="11" t="s">
        <v>98</v>
      </c>
      <c r="F834" s="11" t="s">
        <v>99</v>
      </c>
      <c r="G834" s="24" t="s">
        <v>85</v>
      </c>
      <c r="H834" s="11" t="s">
        <v>100</v>
      </c>
      <c r="I834" s="15" t="s">
        <v>5275</v>
      </c>
      <c r="J834" s="10" t="s">
        <v>5276</v>
      </c>
      <c r="K834" s="11"/>
      <c r="L834" s="9"/>
      <c r="M834" s="10"/>
      <c r="N834" s="22"/>
      <c r="O834" s="17"/>
      <c r="P834" s="17"/>
      <c r="Q834" s="18" t="s">
        <v>78</v>
      </c>
      <c r="R834" s="18" t="s">
        <v>79</v>
      </c>
      <c r="S834" s="18" t="s">
        <v>61</v>
      </c>
      <c r="T834" s="18" t="s">
        <v>62</v>
      </c>
      <c r="U834" s="19" t="s">
        <v>80</v>
      </c>
    </row>
    <row r="835" spans="1:21" ht="15.75" customHeight="1" x14ac:dyDescent="0.25">
      <c r="A835" s="27" t="s">
        <v>5277</v>
      </c>
      <c r="B835" s="28" t="s">
        <v>5278</v>
      </c>
      <c r="C835" s="29" t="s">
        <v>5279</v>
      </c>
      <c r="D835" s="37" t="s">
        <v>109</v>
      </c>
      <c r="E835" s="29" t="s">
        <v>47</v>
      </c>
      <c r="F835" s="31">
        <v>168</v>
      </c>
      <c r="G835" s="25" t="s">
        <v>110</v>
      </c>
      <c r="H835" s="29" t="s">
        <v>86</v>
      </c>
      <c r="I835" s="32" t="s">
        <v>5280</v>
      </c>
      <c r="J835" s="28" t="s">
        <v>5281</v>
      </c>
      <c r="K835" s="29" t="s">
        <v>5282</v>
      </c>
      <c r="L835" s="27" t="s">
        <v>90</v>
      </c>
      <c r="M835" s="28" t="s">
        <v>91</v>
      </c>
      <c r="N835" s="38"/>
      <c r="O835" s="34"/>
      <c r="P835" s="34"/>
      <c r="Q835" s="35" t="s">
        <v>78</v>
      </c>
      <c r="R835" s="35" t="s">
        <v>79</v>
      </c>
      <c r="S835" s="35" t="s">
        <v>61</v>
      </c>
      <c r="T835" s="35" t="s">
        <v>62</v>
      </c>
      <c r="U835" s="36" t="s">
        <v>80</v>
      </c>
    </row>
    <row r="836" spans="1:21" ht="15.75" customHeight="1" x14ac:dyDescent="0.25">
      <c r="A836" s="9" t="s">
        <v>5283</v>
      </c>
      <c r="B836" s="10" t="s">
        <v>5284</v>
      </c>
      <c r="C836" s="11" t="s">
        <v>5285</v>
      </c>
      <c r="D836" s="12" t="s">
        <v>5286</v>
      </c>
      <c r="E836" s="11" t="s">
        <v>47</v>
      </c>
      <c r="F836" s="13">
        <v>41.5</v>
      </c>
      <c r="G836" s="20" t="s">
        <v>119</v>
      </c>
      <c r="H836" s="11" t="s">
        <v>69</v>
      </c>
      <c r="I836" s="15" t="s">
        <v>5287</v>
      </c>
      <c r="J836" s="10" t="s">
        <v>5288</v>
      </c>
      <c r="K836" s="11" t="s">
        <v>903</v>
      </c>
      <c r="L836" s="9" t="s">
        <v>158</v>
      </c>
      <c r="M836" s="10" t="s">
        <v>159</v>
      </c>
      <c r="N836" s="16" t="s">
        <v>75</v>
      </c>
      <c r="O836" s="17" t="s">
        <v>508</v>
      </c>
      <c r="P836" s="17" t="s">
        <v>509</v>
      </c>
      <c r="Q836" s="18" t="s">
        <v>78</v>
      </c>
      <c r="R836" s="18" t="s">
        <v>79</v>
      </c>
      <c r="S836" s="18" t="s">
        <v>61</v>
      </c>
      <c r="T836" s="18" t="s">
        <v>62</v>
      </c>
      <c r="U836" s="19" t="s">
        <v>80</v>
      </c>
    </row>
    <row r="837" spans="1:21" ht="15.75" customHeight="1" x14ac:dyDescent="0.25">
      <c r="A837" s="27" t="s">
        <v>5289</v>
      </c>
      <c r="B837" s="28" t="s">
        <v>5290</v>
      </c>
      <c r="C837" s="29" t="s">
        <v>5291</v>
      </c>
      <c r="D837" s="37" t="s">
        <v>109</v>
      </c>
      <c r="E837" s="29" t="s">
        <v>47</v>
      </c>
      <c r="F837" s="29" t="s">
        <v>5292</v>
      </c>
      <c r="G837" s="25" t="s">
        <v>110</v>
      </c>
      <c r="H837" s="29" t="s">
        <v>120</v>
      </c>
      <c r="I837" s="32" t="s">
        <v>5293</v>
      </c>
      <c r="J837" s="28" t="s">
        <v>5294</v>
      </c>
      <c r="K837" s="29" t="s">
        <v>5295</v>
      </c>
      <c r="L837" s="27" t="s">
        <v>90</v>
      </c>
      <c r="M837" s="28" t="s">
        <v>91</v>
      </c>
      <c r="N837" s="38"/>
      <c r="O837" s="34"/>
      <c r="P837" s="34"/>
      <c r="Q837" s="35" t="s">
        <v>78</v>
      </c>
      <c r="R837" s="35" t="s">
        <v>79</v>
      </c>
      <c r="S837" s="35" t="s">
        <v>61</v>
      </c>
      <c r="T837" s="35" t="s">
        <v>62</v>
      </c>
      <c r="U837" s="36" t="s">
        <v>80</v>
      </c>
    </row>
    <row r="838" spans="1:21" ht="15.75" customHeight="1" x14ac:dyDescent="0.25">
      <c r="A838" s="9" t="s">
        <v>5296</v>
      </c>
      <c r="B838" s="10" t="s">
        <v>5297</v>
      </c>
      <c r="C838" s="11" t="s">
        <v>5298</v>
      </c>
      <c r="D838" s="21" t="s">
        <v>109</v>
      </c>
      <c r="E838" s="11" t="s">
        <v>98</v>
      </c>
      <c r="F838" s="11"/>
      <c r="G838" s="25" t="s">
        <v>110</v>
      </c>
      <c r="H838" s="11" t="s">
        <v>120</v>
      </c>
      <c r="I838" s="15" t="s">
        <v>5299</v>
      </c>
      <c r="J838" s="10" t="s">
        <v>5300</v>
      </c>
      <c r="K838" s="11" t="s">
        <v>933</v>
      </c>
      <c r="L838" s="9" t="s">
        <v>90</v>
      </c>
      <c r="M838" s="10" t="s">
        <v>91</v>
      </c>
      <c r="N838" s="22"/>
      <c r="O838" s="17"/>
      <c r="P838" s="17"/>
      <c r="Q838" s="18" t="s">
        <v>78</v>
      </c>
      <c r="R838" s="18" t="s">
        <v>79</v>
      </c>
      <c r="S838" s="18" t="s">
        <v>61</v>
      </c>
      <c r="T838" s="18" t="s">
        <v>62</v>
      </c>
      <c r="U838" s="19" t="s">
        <v>80</v>
      </c>
    </row>
    <row r="839" spans="1:21" ht="15.75" customHeight="1" x14ac:dyDescent="0.25">
      <c r="A839" s="27" t="s">
        <v>5301</v>
      </c>
      <c r="B839" s="28" t="s">
        <v>5302</v>
      </c>
      <c r="C839" s="29" t="s">
        <v>5303</v>
      </c>
      <c r="D839" s="37" t="s">
        <v>109</v>
      </c>
      <c r="E839" s="29" t="s">
        <v>98</v>
      </c>
      <c r="F839" s="31">
        <v>850</v>
      </c>
      <c r="G839" s="25" t="s">
        <v>110</v>
      </c>
      <c r="H839" s="29" t="s">
        <v>129</v>
      </c>
      <c r="I839" s="32" t="s">
        <v>5304</v>
      </c>
      <c r="J839" s="28" t="s">
        <v>5305</v>
      </c>
      <c r="K839" s="29" t="s">
        <v>1997</v>
      </c>
      <c r="L839" s="27" t="s">
        <v>90</v>
      </c>
      <c r="M839" s="28" t="s">
        <v>91</v>
      </c>
      <c r="N839" s="38"/>
      <c r="O839" s="34"/>
      <c r="P839" s="34"/>
      <c r="Q839" s="35" t="s">
        <v>78</v>
      </c>
      <c r="R839" s="35" t="s">
        <v>79</v>
      </c>
      <c r="S839" s="35" t="s">
        <v>61</v>
      </c>
      <c r="T839" s="35" t="s">
        <v>62</v>
      </c>
      <c r="U839" s="36" t="s">
        <v>80</v>
      </c>
    </row>
    <row r="840" spans="1:21" ht="15.75" customHeight="1" x14ac:dyDescent="0.25">
      <c r="A840" s="9" t="s">
        <v>5306</v>
      </c>
      <c r="B840" s="10" t="s">
        <v>5307</v>
      </c>
      <c r="C840" s="11" t="s">
        <v>5308</v>
      </c>
      <c r="D840" s="21" t="s">
        <v>109</v>
      </c>
      <c r="E840" s="11" t="s">
        <v>47</v>
      </c>
      <c r="F840" s="13">
        <v>134</v>
      </c>
      <c r="G840" s="25" t="s">
        <v>110</v>
      </c>
      <c r="H840" s="11" t="s">
        <v>330</v>
      </c>
      <c r="I840" s="15" t="s">
        <v>5309</v>
      </c>
      <c r="J840" s="10" t="s">
        <v>5310</v>
      </c>
      <c r="K840" s="11" t="s">
        <v>132</v>
      </c>
      <c r="L840" s="9" t="s">
        <v>90</v>
      </c>
      <c r="M840" s="10" t="s">
        <v>91</v>
      </c>
      <c r="N840" s="22"/>
      <c r="O840" s="17"/>
      <c r="P840" s="17"/>
      <c r="Q840" s="18" t="s">
        <v>78</v>
      </c>
      <c r="R840" s="18" t="s">
        <v>79</v>
      </c>
      <c r="S840" s="18" t="s">
        <v>61</v>
      </c>
      <c r="T840" s="18" t="s">
        <v>62</v>
      </c>
      <c r="U840" s="19" t="s">
        <v>80</v>
      </c>
    </row>
    <row r="841" spans="1:21" ht="15.75" customHeight="1" x14ac:dyDescent="0.25">
      <c r="A841" s="27" t="s">
        <v>5311</v>
      </c>
      <c r="B841" s="28" t="s">
        <v>5312</v>
      </c>
      <c r="C841" s="29" t="s">
        <v>5313</v>
      </c>
      <c r="D841" s="37" t="s">
        <v>109</v>
      </c>
      <c r="E841" s="29" t="s">
        <v>47</v>
      </c>
      <c r="F841" s="29" t="s">
        <v>118</v>
      </c>
      <c r="G841" s="25" t="s">
        <v>110</v>
      </c>
      <c r="H841" s="29" t="s">
        <v>330</v>
      </c>
      <c r="I841" s="32" t="s">
        <v>5314</v>
      </c>
      <c r="J841" s="28" t="s">
        <v>5315</v>
      </c>
      <c r="K841" s="29" t="s">
        <v>132</v>
      </c>
      <c r="L841" s="27" t="s">
        <v>90</v>
      </c>
      <c r="M841" s="28" t="s">
        <v>91</v>
      </c>
      <c r="N841" s="38"/>
      <c r="O841" s="34"/>
      <c r="P841" s="34"/>
      <c r="Q841" s="35" t="s">
        <v>78</v>
      </c>
      <c r="R841" s="35" t="s">
        <v>79</v>
      </c>
      <c r="S841" s="35" t="s">
        <v>61</v>
      </c>
      <c r="T841" s="35" t="s">
        <v>62</v>
      </c>
      <c r="U841" s="36" t="s">
        <v>80</v>
      </c>
    </row>
    <row r="842" spans="1:21" ht="15.75" customHeight="1" x14ac:dyDescent="0.25">
      <c r="A842" s="9" t="s">
        <v>5316</v>
      </c>
      <c r="B842" s="10" t="s">
        <v>5317</v>
      </c>
      <c r="C842" s="11" t="s">
        <v>5318</v>
      </c>
      <c r="D842" s="12" t="s">
        <v>639</v>
      </c>
      <c r="E842" s="11" t="s">
        <v>47</v>
      </c>
      <c r="F842" s="13">
        <v>128</v>
      </c>
      <c r="G842" s="20" t="s">
        <v>119</v>
      </c>
      <c r="H842" s="11" t="s">
        <v>330</v>
      </c>
      <c r="I842" s="15" t="s">
        <v>5319</v>
      </c>
      <c r="J842" s="10" t="s">
        <v>5317</v>
      </c>
      <c r="K842" s="11" t="s">
        <v>132</v>
      </c>
      <c r="L842" s="9" t="s">
        <v>90</v>
      </c>
      <c r="M842" s="10" t="s">
        <v>91</v>
      </c>
      <c r="N842" s="16" t="s">
        <v>75</v>
      </c>
      <c r="O842" s="17" t="s">
        <v>92</v>
      </c>
      <c r="P842" s="17" t="s">
        <v>93</v>
      </c>
      <c r="Q842" s="18" t="s">
        <v>78</v>
      </c>
      <c r="R842" s="18" t="s">
        <v>79</v>
      </c>
      <c r="S842" s="18" t="s">
        <v>61</v>
      </c>
      <c r="T842" s="18" t="s">
        <v>62</v>
      </c>
      <c r="U842" s="19" t="s">
        <v>80</v>
      </c>
    </row>
    <row r="843" spans="1:21" ht="15.75" customHeight="1" x14ac:dyDescent="0.25">
      <c r="A843" s="27" t="s">
        <v>5320</v>
      </c>
      <c r="B843" s="28" t="s">
        <v>5321</v>
      </c>
      <c r="C843" s="29" t="s">
        <v>5322</v>
      </c>
      <c r="D843" s="37" t="s">
        <v>109</v>
      </c>
      <c r="E843" s="29" t="s">
        <v>1264</v>
      </c>
      <c r="F843" s="29" t="s">
        <v>5323</v>
      </c>
      <c r="G843" s="24" t="s">
        <v>85</v>
      </c>
      <c r="H843" s="29" t="s">
        <v>100</v>
      </c>
      <c r="I843" s="32" t="s">
        <v>5324</v>
      </c>
      <c r="J843" s="28" t="s">
        <v>5325</v>
      </c>
      <c r="K843" s="29"/>
      <c r="L843" s="27"/>
      <c r="M843" s="28"/>
      <c r="N843" s="38"/>
      <c r="O843" s="34"/>
      <c r="P843" s="34"/>
      <c r="Q843" s="35" t="s">
        <v>78</v>
      </c>
      <c r="R843" s="35" t="s">
        <v>79</v>
      </c>
      <c r="S843" s="35" t="s">
        <v>61</v>
      </c>
      <c r="T843" s="35" t="s">
        <v>62</v>
      </c>
      <c r="U843" s="36" t="s">
        <v>80</v>
      </c>
    </row>
    <row r="844" spans="1:21" ht="15.75" customHeight="1" x14ac:dyDescent="0.25">
      <c r="A844" s="9" t="s">
        <v>5326</v>
      </c>
      <c r="B844" s="10" t="s">
        <v>5327</v>
      </c>
      <c r="C844" s="11" t="s">
        <v>5328</v>
      </c>
      <c r="D844" s="12" t="s">
        <v>5329</v>
      </c>
      <c r="E844" s="11" t="s">
        <v>47</v>
      </c>
      <c r="F844" s="13">
        <v>111</v>
      </c>
      <c r="G844" s="20" t="s">
        <v>119</v>
      </c>
      <c r="H844" s="11" t="s">
        <v>330</v>
      </c>
      <c r="I844" s="15" t="s">
        <v>5330</v>
      </c>
      <c r="J844" s="10" t="s">
        <v>5331</v>
      </c>
      <c r="K844" s="11" t="s">
        <v>5332</v>
      </c>
      <c r="L844" s="9" t="s">
        <v>158</v>
      </c>
      <c r="M844" s="10" t="s">
        <v>159</v>
      </c>
      <c r="N844" s="16" t="s">
        <v>75</v>
      </c>
      <c r="O844" s="17" t="s">
        <v>2951</v>
      </c>
      <c r="P844" s="17" t="s">
        <v>2952</v>
      </c>
      <c r="Q844" s="18" t="s">
        <v>78</v>
      </c>
      <c r="R844" s="18" t="s">
        <v>79</v>
      </c>
      <c r="S844" s="18" t="s">
        <v>61</v>
      </c>
      <c r="T844" s="18" t="s">
        <v>62</v>
      </c>
      <c r="U844" s="19" t="s">
        <v>80</v>
      </c>
    </row>
    <row r="845" spans="1:21" ht="15.75" customHeight="1" x14ac:dyDescent="0.25">
      <c r="A845" s="27" t="s">
        <v>5333</v>
      </c>
      <c r="B845" s="28" t="s">
        <v>5334</v>
      </c>
      <c r="C845" s="29" t="s">
        <v>5335</v>
      </c>
      <c r="D845" s="37" t="s">
        <v>109</v>
      </c>
      <c r="E845" s="29" t="s">
        <v>98</v>
      </c>
      <c r="F845" s="31">
        <v>270</v>
      </c>
      <c r="G845" s="24" t="s">
        <v>85</v>
      </c>
      <c r="H845" s="29" t="s">
        <v>129</v>
      </c>
      <c r="I845" s="32" t="s">
        <v>5336</v>
      </c>
      <c r="J845" s="28" t="s">
        <v>5337</v>
      </c>
      <c r="K845" s="29"/>
      <c r="L845" s="27"/>
      <c r="M845" s="28"/>
      <c r="N845" s="38"/>
      <c r="O845" s="34"/>
      <c r="P845" s="34"/>
      <c r="Q845" s="35" t="s">
        <v>78</v>
      </c>
      <c r="R845" s="35" t="s">
        <v>79</v>
      </c>
      <c r="S845" s="35" t="s">
        <v>61</v>
      </c>
      <c r="T845" s="35" t="s">
        <v>62</v>
      </c>
      <c r="U845" s="36" t="s">
        <v>80</v>
      </c>
    </row>
    <row r="846" spans="1:21" ht="15.75" customHeight="1" x14ac:dyDescent="0.25">
      <c r="A846" s="9" t="s">
        <v>5338</v>
      </c>
      <c r="B846" s="10" t="s">
        <v>5339</v>
      </c>
      <c r="C846" s="11" t="s">
        <v>5340</v>
      </c>
      <c r="D846" s="21" t="s">
        <v>109</v>
      </c>
      <c r="E846" s="11" t="s">
        <v>47</v>
      </c>
      <c r="F846" s="13">
        <v>194</v>
      </c>
      <c r="G846" s="25" t="s">
        <v>110</v>
      </c>
      <c r="H846" s="11" t="s">
        <v>86</v>
      </c>
      <c r="I846" s="15" t="s">
        <v>5341</v>
      </c>
      <c r="J846" s="10" t="s">
        <v>5342</v>
      </c>
      <c r="K846" s="11" t="s">
        <v>5343</v>
      </c>
      <c r="L846" s="9" t="s">
        <v>481</v>
      </c>
      <c r="M846" s="10" t="s">
        <v>482</v>
      </c>
      <c r="N846" s="22"/>
      <c r="O846" s="17"/>
      <c r="P846" s="17"/>
      <c r="Q846" s="18" t="s">
        <v>78</v>
      </c>
      <c r="R846" s="18" t="s">
        <v>79</v>
      </c>
      <c r="S846" s="18" t="s">
        <v>61</v>
      </c>
      <c r="T846" s="18" t="s">
        <v>62</v>
      </c>
      <c r="U846" s="19" t="s">
        <v>80</v>
      </c>
    </row>
    <row r="847" spans="1:21" ht="15.75" customHeight="1" x14ac:dyDescent="0.25">
      <c r="A847" s="27" t="s">
        <v>5344</v>
      </c>
      <c r="B847" s="28" t="s">
        <v>5345</v>
      </c>
      <c r="C847" s="29" t="s">
        <v>5346</v>
      </c>
      <c r="D847" s="37" t="s">
        <v>109</v>
      </c>
      <c r="E847" s="29" t="s">
        <v>47</v>
      </c>
      <c r="F847" s="31">
        <v>107</v>
      </c>
      <c r="G847" s="25" t="s">
        <v>110</v>
      </c>
      <c r="H847" s="29" t="s">
        <v>330</v>
      </c>
      <c r="I847" s="32" t="s">
        <v>5347</v>
      </c>
      <c r="J847" s="28" t="s">
        <v>5348</v>
      </c>
      <c r="K847" s="29" t="s">
        <v>5349</v>
      </c>
      <c r="L847" s="27" t="s">
        <v>481</v>
      </c>
      <c r="M847" s="28" t="s">
        <v>482</v>
      </c>
      <c r="N847" s="38"/>
      <c r="O847" s="34"/>
      <c r="P847" s="34"/>
      <c r="Q847" s="35" t="s">
        <v>78</v>
      </c>
      <c r="R847" s="35" t="s">
        <v>79</v>
      </c>
      <c r="S847" s="35" t="s">
        <v>61</v>
      </c>
      <c r="T847" s="35" t="s">
        <v>62</v>
      </c>
      <c r="U847" s="36" t="s">
        <v>80</v>
      </c>
    </row>
    <row r="848" spans="1:21" ht="15.75" customHeight="1" x14ac:dyDescent="0.25">
      <c r="A848" s="9" t="s">
        <v>5350</v>
      </c>
      <c r="B848" s="10" t="s">
        <v>5351</v>
      </c>
      <c r="C848" s="11" t="s">
        <v>5352</v>
      </c>
      <c r="D848" s="21" t="s">
        <v>109</v>
      </c>
      <c r="E848" s="11" t="s">
        <v>47</v>
      </c>
      <c r="F848" s="13">
        <v>71</v>
      </c>
      <c r="G848" s="14" t="s">
        <v>119</v>
      </c>
      <c r="H848" s="11" t="s">
        <v>48</v>
      </c>
      <c r="I848" s="15" t="s">
        <v>5353</v>
      </c>
      <c r="J848" s="10" t="s">
        <v>5354</v>
      </c>
      <c r="K848" s="11" t="s">
        <v>5355</v>
      </c>
      <c r="L848" s="9" t="s">
        <v>158</v>
      </c>
      <c r="M848" s="10" t="s">
        <v>159</v>
      </c>
      <c r="N848" s="22"/>
      <c r="O848" s="17"/>
      <c r="P848" s="17"/>
      <c r="Q848" s="18" t="s">
        <v>78</v>
      </c>
      <c r="R848" s="18" t="s">
        <v>79</v>
      </c>
      <c r="S848" s="18" t="s">
        <v>61</v>
      </c>
      <c r="T848" s="18" t="s">
        <v>62</v>
      </c>
      <c r="U848" s="19" t="s">
        <v>80</v>
      </c>
    </row>
    <row r="849" spans="1:21" ht="15.75" customHeight="1" x14ac:dyDescent="0.25">
      <c r="A849" s="27" t="s">
        <v>5356</v>
      </c>
      <c r="B849" s="28" t="s">
        <v>5357</v>
      </c>
      <c r="C849" s="29" t="s">
        <v>5358</v>
      </c>
      <c r="D849" s="37" t="s">
        <v>109</v>
      </c>
      <c r="E849" s="29" t="s">
        <v>98</v>
      </c>
      <c r="F849" s="31">
        <v>130</v>
      </c>
      <c r="G849" s="24" t="s">
        <v>85</v>
      </c>
      <c r="H849" s="29" t="s">
        <v>330</v>
      </c>
      <c r="I849" s="32" t="s">
        <v>5359</v>
      </c>
      <c r="J849" s="28" t="s">
        <v>5360</v>
      </c>
      <c r="K849" s="29"/>
      <c r="L849" s="27"/>
      <c r="M849" s="28"/>
      <c r="N849" s="38"/>
      <c r="O849" s="34"/>
      <c r="P849" s="34"/>
      <c r="Q849" s="35" t="s">
        <v>78</v>
      </c>
      <c r="R849" s="35" t="s">
        <v>79</v>
      </c>
      <c r="S849" s="35" t="s">
        <v>61</v>
      </c>
      <c r="T849" s="35" t="s">
        <v>62</v>
      </c>
      <c r="U849" s="36" t="s">
        <v>80</v>
      </c>
    </row>
    <row r="850" spans="1:21" ht="15.75" customHeight="1" x14ac:dyDescent="0.25">
      <c r="A850" s="9" t="s">
        <v>5361</v>
      </c>
      <c r="B850" s="10" t="s">
        <v>5362</v>
      </c>
      <c r="C850" s="11" t="s">
        <v>5363</v>
      </c>
      <c r="D850" s="21" t="s">
        <v>109</v>
      </c>
      <c r="E850" s="11" t="s">
        <v>47</v>
      </c>
      <c r="F850" s="11" t="s">
        <v>5364</v>
      </c>
      <c r="G850" s="25" t="s">
        <v>110</v>
      </c>
      <c r="H850" s="11" t="s">
        <v>330</v>
      </c>
      <c r="I850" s="15" t="s">
        <v>5365</v>
      </c>
      <c r="J850" s="10" t="s">
        <v>5366</v>
      </c>
      <c r="K850" s="11" t="s">
        <v>132</v>
      </c>
      <c r="L850" s="9" t="s">
        <v>90</v>
      </c>
      <c r="M850" s="10" t="s">
        <v>91</v>
      </c>
      <c r="N850" s="22"/>
      <c r="O850" s="17"/>
      <c r="P850" s="17"/>
      <c r="Q850" s="18" t="s">
        <v>78</v>
      </c>
      <c r="R850" s="18" t="s">
        <v>79</v>
      </c>
      <c r="S850" s="18" t="s">
        <v>61</v>
      </c>
      <c r="T850" s="18" t="s">
        <v>62</v>
      </c>
      <c r="U850" s="19" t="s">
        <v>80</v>
      </c>
    </row>
    <row r="851" spans="1:21" ht="15.75" customHeight="1" x14ac:dyDescent="0.25">
      <c r="A851" s="27" t="s">
        <v>5367</v>
      </c>
      <c r="B851" s="28" t="s">
        <v>5368</v>
      </c>
      <c r="C851" s="29" t="s">
        <v>5369</v>
      </c>
      <c r="D851" s="37" t="s">
        <v>109</v>
      </c>
      <c r="E851" s="29" t="s">
        <v>98</v>
      </c>
      <c r="F851" s="29" t="s">
        <v>5370</v>
      </c>
      <c r="G851" s="14" t="s">
        <v>119</v>
      </c>
      <c r="H851" s="29" t="s">
        <v>100</v>
      </c>
      <c r="I851" s="32" t="s">
        <v>5371</v>
      </c>
      <c r="J851" s="28" t="s">
        <v>5372</v>
      </c>
      <c r="K851" s="29" t="s">
        <v>5373</v>
      </c>
      <c r="L851" s="27" t="s">
        <v>158</v>
      </c>
      <c r="M851" s="28" t="s">
        <v>159</v>
      </c>
      <c r="N851" s="38"/>
      <c r="O851" s="34"/>
      <c r="P851" s="34"/>
      <c r="Q851" s="35" t="s">
        <v>78</v>
      </c>
      <c r="R851" s="35" t="s">
        <v>79</v>
      </c>
      <c r="S851" s="35" t="s">
        <v>61</v>
      </c>
      <c r="T851" s="35" t="s">
        <v>62</v>
      </c>
      <c r="U851" s="36" t="s">
        <v>80</v>
      </c>
    </row>
    <row r="852" spans="1:21" ht="15.75" customHeight="1" x14ac:dyDescent="0.25">
      <c r="A852" s="9" t="s">
        <v>5374</v>
      </c>
      <c r="B852" s="10" t="s">
        <v>5375</v>
      </c>
      <c r="C852" s="11" t="s">
        <v>5376</v>
      </c>
      <c r="D852" s="12" t="s">
        <v>5377</v>
      </c>
      <c r="E852" s="11" t="s">
        <v>47</v>
      </c>
      <c r="F852" s="13">
        <v>102</v>
      </c>
      <c r="G852" s="14" t="s">
        <v>708</v>
      </c>
      <c r="H852" s="11" t="s">
        <v>330</v>
      </c>
      <c r="I852" s="15" t="s">
        <v>5378</v>
      </c>
      <c r="J852" s="10" t="s">
        <v>5379</v>
      </c>
      <c r="K852" s="11" t="s">
        <v>5380</v>
      </c>
      <c r="L852" s="9" t="s">
        <v>158</v>
      </c>
      <c r="M852" s="10" t="s">
        <v>159</v>
      </c>
      <c r="N852" s="16" t="s">
        <v>75</v>
      </c>
      <c r="O852" s="17" t="s">
        <v>712</v>
      </c>
      <c r="P852" s="17" t="s">
        <v>713</v>
      </c>
      <c r="Q852" s="18" t="s">
        <v>78</v>
      </c>
      <c r="R852" s="18" t="s">
        <v>79</v>
      </c>
      <c r="S852" s="18" t="s">
        <v>61</v>
      </c>
      <c r="T852" s="18" t="s">
        <v>62</v>
      </c>
      <c r="U852" s="19" t="s">
        <v>80</v>
      </c>
    </row>
    <row r="853" spans="1:21" ht="15.75" customHeight="1" x14ac:dyDescent="0.25">
      <c r="A853" s="27" t="s">
        <v>5381</v>
      </c>
      <c r="B853" s="28" t="s">
        <v>5382</v>
      </c>
      <c r="C853" s="29" t="s">
        <v>5383</v>
      </c>
      <c r="D853" s="37" t="s">
        <v>109</v>
      </c>
      <c r="E853" s="29" t="s">
        <v>47</v>
      </c>
      <c r="F853" s="31">
        <v>250</v>
      </c>
      <c r="G853" s="24" t="s">
        <v>85</v>
      </c>
      <c r="H853" s="29" t="s">
        <v>129</v>
      </c>
      <c r="I853" s="32" t="s">
        <v>5384</v>
      </c>
      <c r="J853" s="28" t="s">
        <v>5385</v>
      </c>
      <c r="K853" s="29"/>
      <c r="L853" s="27"/>
      <c r="M853" s="28"/>
      <c r="N853" s="38"/>
      <c r="O853" s="34"/>
      <c r="P853" s="34"/>
      <c r="Q853" s="35" t="s">
        <v>78</v>
      </c>
      <c r="R853" s="35" t="s">
        <v>79</v>
      </c>
      <c r="S853" s="35" t="s">
        <v>61</v>
      </c>
      <c r="T853" s="35" t="s">
        <v>62</v>
      </c>
      <c r="U853" s="36" t="s">
        <v>80</v>
      </c>
    </row>
    <row r="854" spans="1:21" ht="15.75" customHeight="1" x14ac:dyDescent="0.25">
      <c r="A854" s="9" t="s">
        <v>5386</v>
      </c>
      <c r="B854" s="10" t="s">
        <v>5387</v>
      </c>
      <c r="C854" s="11" t="s">
        <v>5388</v>
      </c>
      <c r="D854" s="21" t="s">
        <v>109</v>
      </c>
      <c r="E854" s="11" t="s">
        <v>47</v>
      </c>
      <c r="F854" s="13">
        <v>370</v>
      </c>
      <c r="G854" s="24" t="s">
        <v>85</v>
      </c>
      <c r="H854" s="11" t="s">
        <v>129</v>
      </c>
      <c r="I854" s="15" t="s">
        <v>5389</v>
      </c>
      <c r="J854" s="10" t="s">
        <v>5390</v>
      </c>
      <c r="K854" s="11"/>
      <c r="L854" s="9"/>
      <c r="M854" s="10"/>
      <c r="N854" s="22"/>
      <c r="O854" s="17"/>
      <c r="P854" s="17"/>
      <c r="Q854" s="18" t="s">
        <v>78</v>
      </c>
      <c r="R854" s="18" t="s">
        <v>79</v>
      </c>
      <c r="S854" s="18" t="s">
        <v>61</v>
      </c>
      <c r="T854" s="18" t="s">
        <v>62</v>
      </c>
      <c r="U854" s="19" t="s">
        <v>80</v>
      </c>
    </row>
    <row r="855" spans="1:21" ht="15.75" customHeight="1" x14ac:dyDescent="0.25">
      <c r="A855" s="27" t="s">
        <v>5391</v>
      </c>
      <c r="B855" s="28" t="s">
        <v>5392</v>
      </c>
      <c r="C855" s="29" t="s">
        <v>5393</v>
      </c>
      <c r="D855" s="37" t="s">
        <v>109</v>
      </c>
      <c r="E855" s="29" t="s">
        <v>47</v>
      </c>
      <c r="F855" s="31">
        <v>192</v>
      </c>
      <c r="G855" s="25" t="s">
        <v>110</v>
      </c>
      <c r="H855" s="29" t="s">
        <v>86</v>
      </c>
      <c r="I855" s="32" t="s">
        <v>5394</v>
      </c>
      <c r="J855" s="28" t="s">
        <v>5395</v>
      </c>
      <c r="K855" s="29" t="s">
        <v>5396</v>
      </c>
      <c r="L855" s="27" t="s">
        <v>90</v>
      </c>
      <c r="M855" s="28" t="s">
        <v>91</v>
      </c>
      <c r="N855" s="38"/>
      <c r="O855" s="34"/>
      <c r="P855" s="34"/>
      <c r="Q855" s="35" t="s">
        <v>78</v>
      </c>
      <c r="R855" s="35" t="s">
        <v>79</v>
      </c>
      <c r="S855" s="35" t="s">
        <v>61</v>
      </c>
      <c r="T855" s="35" t="s">
        <v>62</v>
      </c>
      <c r="U855" s="36" t="s">
        <v>80</v>
      </c>
    </row>
    <row r="856" spans="1:21" ht="15.75" customHeight="1" x14ac:dyDescent="0.25">
      <c r="A856" s="9" t="s">
        <v>5397</v>
      </c>
      <c r="B856" s="10" t="s">
        <v>5398</v>
      </c>
      <c r="C856" s="11" t="s">
        <v>5399</v>
      </c>
      <c r="D856" s="21" t="s">
        <v>109</v>
      </c>
      <c r="E856" s="11" t="s">
        <v>47</v>
      </c>
      <c r="F856" s="13">
        <v>37.299999999999997</v>
      </c>
      <c r="G856" s="14" t="s">
        <v>119</v>
      </c>
      <c r="H856" s="11" t="s">
        <v>69</v>
      </c>
      <c r="I856" s="15" t="s">
        <v>5400</v>
      </c>
      <c r="J856" s="10" t="s">
        <v>5401</v>
      </c>
      <c r="K856" s="11" t="s">
        <v>5402</v>
      </c>
      <c r="L856" s="9" t="s">
        <v>158</v>
      </c>
      <c r="M856" s="10" t="s">
        <v>159</v>
      </c>
      <c r="N856" s="22"/>
      <c r="O856" s="17"/>
      <c r="P856" s="17"/>
      <c r="Q856" s="18" t="s">
        <v>78</v>
      </c>
      <c r="R856" s="18" t="s">
        <v>79</v>
      </c>
      <c r="S856" s="18" t="s">
        <v>61</v>
      </c>
      <c r="T856" s="18" t="s">
        <v>62</v>
      </c>
      <c r="U856" s="19" t="s">
        <v>80</v>
      </c>
    </row>
    <row r="857" spans="1:21" ht="15.75" customHeight="1" x14ac:dyDescent="0.25">
      <c r="A857" s="27" t="s">
        <v>5403</v>
      </c>
      <c r="B857" s="28" t="s">
        <v>5404</v>
      </c>
      <c r="C857" s="29" t="s">
        <v>5405</v>
      </c>
      <c r="D857" s="30" t="s">
        <v>4244</v>
      </c>
      <c r="E857" s="29" t="s">
        <v>98</v>
      </c>
      <c r="F857" s="31">
        <v>253</v>
      </c>
      <c r="G857" s="26" t="s">
        <v>119</v>
      </c>
      <c r="H857" s="29" t="s">
        <v>129</v>
      </c>
      <c r="I857" s="32" t="s">
        <v>5406</v>
      </c>
      <c r="J857" s="28" t="s">
        <v>5407</v>
      </c>
      <c r="K857" s="29" t="s">
        <v>1114</v>
      </c>
      <c r="L857" s="27" t="s">
        <v>90</v>
      </c>
      <c r="M857" s="28" t="s">
        <v>91</v>
      </c>
      <c r="N857" s="39" t="s">
        <v>179</v>
      </c>
      <c r="O857" s="34" t="s">
        <v>934</v>
      </c>
      <c r="P857" s="34" t="s">
        <v>935</v>
      </c>
      <c r="Q857" s="35" t="s">
        <v>78</v>
      </c>
      <c r="R857" s="35" t="s">
        <v>79</v>
      </c>
      <c r="S857" s="35" t="s">
        <v>61</v>
      </c>
      <c r="T857" s="35" t="s">
        <v>62</v>
      </c>
      <c r="U857" s="36" t="s">
        <v>80</v>
      </c>
    </row>
    <row r="858" spans="1:21" ht="15.75" customHeight="1" x14ac:dyDescent="0.25">
      <c r="A858" s="9" t="s">
        <v>5408</v>
      </c>
      <c r="B858" s="10" t="s">
        <v>5409</v>
      </c>
      <c r="C858" s="11" t="s">
        <v>1041</v>
      </c>
      <c r="D858" s="21" t="s">
        <v>109</v>
      </c>
      <c r="E858" s="11" t="s">
        <v>67</v>
      </c>
      <c r="F858" s="13">
        <v>-183</v>
      </c>
      <c r="G858" s="24" t="s">
        <v>85</v>
      </c>
      <c r="H858" s="11" t="s">
        <v>69</v>
      </c>
      <c r="I858" s="15" t="s">
        <v>5410</v>
      </c>
      <c r="J858" s="10" t="s">
        <v>5411</v>
      </c>
      <c r="K858" s="11" t="s">
        <v>5412</v>
      </c>
      <c r="L858" s="9" t="s">
        <v>248</v>
      </c>
      <c r="M858" s="10" t="s">
        <v>249</v>
      </c>
      <c r="N858" s="22"/>
      <c r="O858" s="17"/>
      <c r="P858" s="17"/>
      <c r="Q858" s="18" t="s">
        <v>78</v>
      </c>
      <c r="R858" s="18" t="s">
        <v>79</v>
      </c>
      <c r="S858" s="18" t="s">
        <v>61</v>
      </c>
      <c r="T858" s="18" t="s">
        <v>62</v>
      </c>
      <c r="U858" s="19" t="s">
        <v>80</v>
      </c>
    </row>
    <row r="859" spans="1:21" ht="15.75" customHeight="1" x14ac:dyDescent="0.25">
      <c r="A859" s="27" t="s">
        <v>5413</v>
      </c>
      <c r="B859" s="28" t="s">
        <v>5414</v>
      </c>
      <c r="C859" s="29" t="s">
        <v>5415</v>
      </c>
      <c r="D859" s="37" t="s">
        <v>109</v>
      </c>
      <c r="E859" s="29" t="s">
        <v>47</v>
      </c>
      <c r="F859" s="31">
        <v>138</v>
      </c>
      <c r="G859" s="24" t="s">
        <v>85</v>
      </c>
      <c r="H859" s="29" t="s">
        <v>330</v>
      </c>
      <c r="I859" s="32" t="s">
        <v>5416</v>
      </c>
      <c r="J859" s="28" t="s">
        <v>5417</v>
      </c>
      <c r="K859" s="29"/>
      <c r="L859" s="27"/>
      <c r="M859" s="28"/>
      <c r="N859" s="38"/>
      <c r="O859" s="34"/>
      <c r="P859" s="34"/>
      <c r="Q859" s="35" t="s">
        <v>78</v>
      </c>
      <c r="R859" s="35" t="s">
        <v>79</v>
      </c>
      <c r="S859" s="35" t="s">
        <v>61</v>
      </c>
      <c r="T859" s="35" t="s">
        <v>62</v>
      </c>
      <c r="U859" s="36" t="s">
        <v>80</v>
      </c>
    </row>
    <row r="860" spans="1:21" ht="15.75" customHeight="1" x14ac:dyDescent="0.25">
      <c r="A860" s="9" t="s">
        <v>5418</v>
      </c>
      <c r="B860" s="10" t="s">
        <v>5419</v>
      </c>
      <c r="C860" s="11" t="s">
        <v>5420</v>
      </c>
      <c r="D860" s="12" t="s">
        <v>1105</v>
      </c>
      <c r="E860" s="11" t="s">
        <v>98</v>
      </c>
      <c r="F860" s="13">
        <v>170</v>
      </c>
      <c r="G860" s="20" t="s">
        <v>85</v>
      </c>
      <c r="H860" s="11" t="s">
        <v>86</v>
      </c>
      <c r="I860" s="15" t="s">
        <v>5421</v>
      </c>
      <c r="J860" s="10" t="s">
        <v>5422</v>
      </c>
      <c r="K860" s="11" t="s">
        <v>5423</v>
      </c>
      <c r="L860" s="9" t="s">
        <v>90</v>
      </c>
      <c r="M860" s="10" t="s">
        <v>91</v>
      </c>
      <c r="N860" s="16" t="s">
        <v>75</v>
      </c>
      <c r="O860" s="17" t="s">
        <v>124</v>
      </c>
      <c r="P860" s="17" t="s">
        <v>125</v>
      </c>
      <c r="Q860" s="18" t="s">
        <v>78</v>
      </c>
      <c r="R860" s="18" t="s">
        <v>79</v>
      </c>
      <c r="S860" s="18" t="s">
        <v>61</v>
      </c>
      <c r="T860" s="18" t="s">
        <v>62</v>
      </c>
      <c r="U860" s="19" t="s">
        <v>80</v>
      </c>
    </row>
    <row r="861" spans="1:21" ht="15.75" customHeight="1" x14ac:dyDescent="0.25">
      <c r="A861" s="27" t="s">
        <v>5424</v>
      </c>
      <c r="B861" s="28" t="s">
        <v>5425</v>
      </c>
      <c r="C861" s="29" t="s">
        <v>5426</v>
      </c>
      <c r="D861" s="37" t="s">
        <v>109</v>
      </c>
      <c r="E861" s="29" t="s">
        <v>47</v>
      </c>
      <c r="F861" s="29" t="s">
        <v>5427</v>
      </c>
      <c r="G861" s="25" t="s">
        <v>110</v>
      </c>
      <c r="H861" s="29" t="s">
        <v>330</v>
      </c>
      <c r="I861" s="32" t="s">
        <v>5428</v>
      </c>
      <c r="J861" s="28" t="s">
        <v>5429</v>
      </c>
      <c r="K861" s="29" t="s">
        <v>132</v>
      </c>
      <c r="L861" s="27" t="s">
        <v>90</v>
      </c>
      <c r="M861" s="28" t="s">
        <v>91</v>
      </c>
      <c r="N861" s="38"/>
      <c r="O861" s="34"/>
      <c r="P861" s="34"/>
      <c r="Q861" s="35" t="s">
        <v>78</v>
      </c>
      <c r="R861" s="35" t="s">
        <v>79</v>
      </c>
      <c r="S861" s="35" t="s">
        <v>61</v>
      </c>
      <c r="T861" s="35" t="s">
        <v>62</v>
      </c>
      <c r="U861" s="36" t="s">
        <v>80</v>
      </c>
    </row>
    <row r="862" spans="1:21" ht="15.75" customHeight="1" x14ac:dyDescent="0.25">
      <c r="A862" s="9" t="s">
        <v>5430</v>
      </c>
      <c r="B862" s="10" t="s">
        <v>5431</v>
      </c>
      <c r="C862" s="11" t="s">
        <v>5432</v>
      </c>
      <c r="D862" s="21" t="s">
        <v>109</v>
      </c>
      <c r="E862" s="11" t="s">
        <v>47</v>
      </c>
      <c r="F862" s="13">
        <v>190</v>
      </c>
      <c r="G862" s="24" t="s">
        <v>85</v>
      </c>
      <c r="H862" s="11" t="s">
        <v>86</v>
      </c>
      <c r="I862" s="15" t="s">
        <v>5433</v>
      </c>
      <c r="J862" s="10" t="s">
        <v>5434</v>
      </c>
      <c r="K862" s="11"/>
      <c r="L862" s="9"/>
      <c r="M862" s="10"/>
      <c r="N862" s="22"/>
      <c r="O862" s="17"/>
      <c r="P862" s="17"/>
      <c r="Q862" s="18" t="s">
        <v>78</v>
      </c>
      <c r="R862" s="18" t="s">
        <v>79</v>
      </c>
      <c r="S862" s="18" t="s">
        <v>61</v>
      </c>
      <c r="T862" s="18" t="s">
        <v>62</v>
      </c>
      <c r="U862" s="19" t="s">
        <v>80</v>
      </c>
    </row>
    <row r="863" spans="1:21" ht="15.75" customHeight="1" x14ac:dyDescent="0.25">
      <c r="A863" s="27" t="s">
        <v>5435</v>
      </c>
      <c r="B863" s="28" t="s">
        <v>5436</v>
      </c>
      <c r="C863" s="29" t="s">
        <v>5437</v>
      </c>
      <c r="D863" s="37" t="s">
        <v>109</v>
      </c>
      <c r="E863" s="29" t="s">
        <v>47</v>
      </c>
      <c r="F863" s="31">
        <v>195</v>
      </c>
      <c r="G863" s="24" t="s">
        <v>85</v>
      </c>
      <c r="H863" s="29" t="s">
        <v>86</v>
      </c>
      <c r="I863" s="32" t="s">
        <v>5438</v>
      </c>
      <c r="J863" s="28" t="s">
        <v>5439</v>
      </c>
      <c r="K863" s="29"/>
      <c r="L863" s="27"/>
      <c r="M863" s="28"/>
      <c r="N863" s="38"/>
      <c r="O863" s="34"/>
      <c r="P863" s="34"/>
      <c r="Q863" s="35" t="s">
        <v>78</v>
      </c>
      <c r="R863" s="35" t="s">
        <v>79</v>
      </c>
      <c r="S863" s="35" t="s">
        <v>61</v>
      </c>
      <c r="T863" s="35" t="s">
        <v>62</v>
      </c>
      <c r="U863" s="36" t="s">
        <v>80</v>
      </c>
    </row>
    <row r="864" spans="1:21" ht="15.75" customHeight="1" x14ac:dyDescent="0.25">
      <c r="A864" s="9" t="s">
        <v>5440</v>
      </c>
      <c r="B864" s="10" t="s">
        <v>5441</v>
      </c>
      <c r="C864" s="11" t="s">
        <v>5442</v>
      </c>
      <c r="D864" s="12" t="s">
        <v>3537</v>
      </c>
      <c r="E864" s="11" t="s">
        <v>98</v>
      </c>
      <c r="F864" s="11"/>
      <c r="G864" s="24" t="s">
        <v>119</v>
      </c>
      <c r="H864" s="11" t="s">
        <v>100</v>
      </c>
      <c r="I864" s="15" t="s">
        <v>5443</v>
      </c>
      <c r="J864" s="10" t="s">
        <v>5444</v>
      </c>
      <c r="K864" s="11"/>
      <c r="L864" s="9"/>
      <c r="M864" s="10"/>
      <c r="N864" s="23" t="s">
        <v>179</v>
      </c>
      <c r="O864" s="17"/>
      <c r="P864" s="17"/>
      <c r="Q864" s="18" t="s">
        <v>78</v>
      </c>
      <c r="R864" s="18" t="s">
        <v>79</v>
      </c>
      <c r="S864" s="18" t="s">
        <v>61</v>
      </c>
      <c r="T864" s="18" t="s">
        <v>62</v>
      </c>
      <c r="U864" s="19" t="s">
        <v>80</v>
      </c>
    </row>
    <row r="865" spans="1:21" ht="15.75" customHeight="1" x14ac:dyDescent="0.25">
      <c r="A865" s="27" t="s">
        <v>5445</v>
      </c>
      <c r="B865" s="28" t="s">
        <v>5446</v>
      </c>
      <c r="C865" s="29" t="s">
        <v>5447</v>
      </c>
      <c r="D865" s="37" t="s">
        <v>109</v>
      </c>
      <c r="E865" s="29" t="s">
        <v>47</v>
      </c>
      <c r="F865" s="31">
        <v>56.5</v>
      </c>
      <c r="G865" s="24" t="s">
        <v>85</v>
      </c>
      <c r="H865" s="29" t="s">
        <v>48</v>
      </c>
      <c r="I865" s="32" t="s">
        <v>5448</v>
      </c>
      <c r="J865" s="28" t="s">
        <v>5449</v>
      </c>
      <c r="K865" s="29"/>
      <c r="L865" s="27"/>
      <c r="M865" s="28"/>
      <c r="N865" s="38"/>
      <c r="O865" s="34"/>
      <c r="P865" s="34"/>
      <c r="Q865" s="35" t="s">
        <v>78</v>
      </c>
      <c r="R865" s="35" t="s">
        <v>79</v>
      </c>
      <c r="S865" s="35" t="s">
        <v>61</v>
      </c>
      <c r="T865" s="35" t="s">
        <v>62</v>
      </c>
      <c r="U865" s="36" t="s">
        <v>80</v>
      </c>
    </row>
    <row r="866" spans="1:21" ht="15.75" customHeight="1" x14ac:dyDescent="0.25">
      <c r="A866" s="9" t="s">
        <v>5450</v>
      </c>
      <c r="B866" s="10" t="s">
        <v>5451</v>
      </c>
      <c r="C866" s="11" t="s">
        <v>5452</v>
      </c>
      <c r="D866" s="21" t="s">
        <v>109</v>
      </c>
      <c r="E866" s="11" t="s">
        <v>47</v>
      </c>
      <c r="F866" s="11" t="s">
        <v>5453</v>
      </c>
      <c r="G866" s="25" t="s">
        <v>110</v>
      </c>
      <c r="H866" s="11" t="s">
        <v>330</v>
      </c>
      <c r="I866" s="15" t="s">
        <v>5454</v>
      </c>
      <c r="J866" s="10" t="s">
        <v>5455</v>
      </c>
      <c r="K866" s="11" t="s">
        <v>132</v>
      </c>
      <c r="L866" s="9" t="s">
        <v>90</v>
      </c>
      <c r="M866" s="10" t="s">
        <v>91</v>
      </c>
      <c r="N866" s="22"/>
      <c r="O866" s="17"/>
      <c r="P866" s="17"/>
      <c r="Q866" s="18" t="s">
        <v>78</v>
      </c>
      <c r="R866" s="18" t="s">
        <v>79</v>
      </c>
      <c r="S866" s="18" t="s">
        <v>61</v>
      </c>
      <c r="T866" s="18" t="s">
        <v>62</v>
      </c>
      <c r="U866" s="19" t="s">
        <v>80</v>
      </c>
    </row>
    <row r="867" spans="1:21" ht="15.75" customHeight="1" x14ac:dyDescent="0.25">
      <c r="A867" s="27" t="s">
        <v>5456</v>
      </c>
      <c r="B867" s="28" t="s">
        <v>5457</v>
      </c>
      <c r="C867" s="29" t="s">
        <v>5458</v>
      </c>
      <c r="D867" s="37" t="s">
        <v>109</v>
      </c>
      <c r="E867" s="29" t="s">
        <v>47</v>
      </c>
      <c r="F867" s="31">
        <v>147</v>
      </c>
      <c r="G867" s="14" t="s">
        <v>119</v>
      </c>
      <c r="H867" s="29" t="s">
        <v>330</v>
      </c>
      <c r="I867" s="32" t="s">
        <v>5459</v>
      </c>
      <c r="J867" s="28" t="s">
        <v>5460</v>
      </c>
      <c r="K867" s="29" t="s">
        <v>3227</v>
      </c>
      <c r="L867" s="27" t="s">
        <v>158</v>
      </c>
      <c r="M867" s="28" t="s">
        <v>159</v>
      </c>
      <c r="N867" s="38"/>
      <c r="O867" s="34"/>
      <c r="P867" s="34"/>
      <c r="Q867" s="35" t="s">
        <v>78</v>
      </c>
      <c r="R867" s="35" t="s">
        <v>79</v>
      </c>
      <c r="S867" s="35" t="s">
        <v>61</v>
      </c>
      <c r="T867" s="35" t="s">
        <v>62</v>
      </c>
      <c r="U867" s="36" t="s">
        <v>80</v>
      </c>
    </row>
    <row r="868" spans="1:21" ht="15.75" customHeight="1" x14ac:dyDescent="0.25">
      <c r="A868" s="9" t="s">
        <v>5461</v>
      </c>
      <c r="B868" s="10" t="s">
        <v>5462</v>
      </c>
      <c r="C868" s="11" t="s">
        <v>5463</v>
      </c>
      <c r="D868" s="12" t="s">
        <v>5464</v>
      </c>
      <c r="E868" s="11" t="s">
        <v>47</v>
      </c>
      <c r="F868" s="13">
        <v>182</v>
      </c>
      <c r="G868" s="20" t="s">
        <v>119</v>
      </c>
      <c r="H868" s="11" t="s">
        <v>86</v>
      </c>
      <c r="I868" s="15" t="s">
        <v>5465</v>
      </c>
      <c r="J868" s="10" t="s">
        <v>5466</v>
      </c>
      <c r="K868" s="11"/>
      <c r="L868" s="9"/>
      <c r="M868" s="10"/>
      <c r="N868" s="23" t="s">
        <v>179</v>
      </c>
      <c r="O868" s="17" t="s">
        <v>292</v>
      </c>
      <c r="P868" s="17" t="s">
        <v>293</v>
      </c>
      <c r="Q868" s="18" t="s">
        <v>78</v>
      </c>
      <c r="R868" s="18" t="s">
        <v>79</v>
      </c>
      <c r="S868" s="18" t="s">
        <v>61</v>
      </c>
      <c r="T868" s="18" t="s">
        <v>62</v>
      </c>
      <c r="U868" s="19" t="s">
        <v>80</v>
      </c>
    </row>
    <row r="869" spans="1:21" ht="15.75" customHeight="1" x14ac:dyDescent="0.25">
      <c r="A869" s="27" t="s">
        <v>5467</v>
      </c>
      <c r="B869" s="28" t="s">
        <v>5468</v>
      </c>
      <c r="C869" s="29" t="s">
        <v>5469</v>
      </c>
      <c r="D869" s="30" t="s">
        <v>5470</v>
      </c>
      <c r="E869" s="29" t="s">
        <v>47</v>
      </c>
      <c r="F869" s="29" t="s">
        <v>5471</v>
      </c>
      <c r="G869" s="20" t="s">
        <v>85</v>
      </c>
      <c r="H869" s="29" t="s">
        <v>120</v>
      </c>
      <c r="I869" s="32" t="s">
        <v>5472</v>
      </c>
      <c r="J869" s="28" t="s">
        <v>5473</v>
      </c>
      <c r="K869" s="29"/>
      <c r="L869" s="27"/>
      <c r="M869" s="28"/>
      <c r="N869" s="33" t="s">
        <v>75</v>
      </c>
      <c r="O869" s="34" t="s">
        <v>292</v>
      </c>
      <c r="P869" s="34" t="s">
        <v>293</v>
      </c>
      <c r="Q869" s="35" t="s">
        <v>78</v>
      </c>
      <c r="R869" s="35" t="s">
        <v>79</v>
      </c>
      <c r="S869" s="35" t="s">
        <v>61</v>
      </c>
      <c r="T869" s="35" t="s">
        <v>62</v>
      </c>
      <c r="U869" s="36" t="s">
        <v>80</v>
      </c>
    </row>
    <row r="870" spans="1:21" ht="15.75" customHeight="1" x14ac:dyDescent="0.25">
      <c r="A870" s="9" t="s">
        <v>5474</v>
      </c>
      <c r="B870" s="10" t="s">
        <v>5475</v>
      </c>
      <c r="C870" s="11" t="s">
        <v>5476</v>
      </c>
      <c r="D870" s="21" t="s">
        <v>109</v>
      </c>
      <c r="E870" s="11" t="s">
        <v>98</v>
      </c>
      <c r="F870" s="11" t="s">
        <v>5477</v>
      </c>
      <c r="G870" s="24" t="s">
        <v>85</v>
      </c>
      <c r="H870" s="11" t="s">
        <v>120</v>
      </c>
      <c r="I870" s="15" t="s">
        <v>5478</v>
      </c>
      <c r="J870" s="10" t="s">
        <v>5479</v>
      </c>
      <c r="K870" s="11"/>
      <c r="L870" s="9"/>
      <c r="M870" s="10"/>
      <c r="N870" s="22"/>
      <c r="O870" s="17"/>
      <c r="P870" s="17"/>
      <c r="Q870" s="18" t="s">
        <v>78</v>
      </c>
      <c r="R870" s="18" t="s">
        <v>79</v>
      </c>
      <c r="S870" s="18" t="s">
        <v>61</v>
      </c>
      <c r="T870" s="18" t="s">
        <v>62</v>
      </c>
      <c r="U870" s="19" t="s">
        <v>80</v>
      </c>
    </row>
    <row r="871" spans="1:21" ht="15.75" customHeight="1" x14ac:dyDescent="0.25">
      <c r="A871" s="27" t="s">
        <v>5480</v>
      </c>
      <c r="B871" s="28" t="s">
        <v>5481</v>
      </c>
      <c r="C871" s="29" t="s">
        <v>5482</v>
      </c>
      <c r="D871" s="37" t="s">
        <v>109</v>
      </c>
      <c r="E871" s="29" t="s">
        <v>98</v>
      </c>
      <c r="F871" s="29" t="s">
        <v>3113</v>
      </c>
      <c r="G871" s="24" t="s">
        <v>85</v>
      </c>
      <c r="H871" s="29" t="s">
        <v>120</v>
      </c>
      <c r="I871" s="32" t="s">
        <v>5483</v>
      </c>
      <c r="J871" s="28" t="s">
        <v>5484</v>
      </c>
      <c r="K871" s="29"/>
      <c r="L871" s="27"/>
      <c r="M871" s="28"/>
      <c r="N871" s="38"/>
      <c r="O871" s="34"/>
      <c r="P871" s="34"/>
      <c r="Q871" s="35" t="s">
        <v>78</v>
      </c>
      <c r="R871" s="35" t="s">
        <v>79</v>
      </c>
      <c r="S871" s="35" t="s">
        <v>61</v>
      </c>
      <c r="T871" s="35" t="s">
        <v>62</v>
      </c>
      <c r="U871" s="36" t="s">
        <v>80</v>
      </c>
    </row>
    <row r="872" spans="1:21" ht="15.75" customHeight="1" x14ac:dyDescent="0.25">
      <c r="A872" s="9" t="s">
        <v>5485</v>
      </c>
      <c r="B872" s="10" t="s">
        <v>5486</v>
      </c>
      <c r="C872" s="11" t="s">
        <v>5487</v>
      </c>
      <c r="D872" s="21" t="s">
        <v>109</v>
      </c>
      <c r="E872" s="11" t="s">
        <v>47</v>
      </c>
      <c r="F872" s="11"/>
      <c r="G872" s="24" t="s">
        <v>85</v>
      </c>
      <c r="H872" s="11" t="s">
        <v>120</v>
      </c>
      <c r="I872" s="15" t="s">
        <v>5488</v>
      </c>
      <c r="J872" s="10" t="s">
        <v>5489</v>
      </c>
      <c r="K872" s="11"/>
      <c r="L872" s="9"/>
      <c r="M872" s="10"/>
      <c r="N872" s="22"/>
      <c r="O872" s="17"/>
      <c r="P872" s="17"/>
      <c r="Q872" s="18" t="s">
        <v>78</v>
      </c>
      <c r="R872" s="18" t="s">
        <v>79</v>
      </c>
      <c r="S872" s="18" t="s">
        <v>61</v>
      </c>
      <c r="T872" s="18" t="s">
        <v>62</v>
      </c>
      <c r="U872" s="19" t="s">
        <v>80</v>
      </c>
    </row>
    <row r="873" spans="1:21" ht="15.75" customHeight="1" x14ac:dyDescent="0.25">
      <c r="A873" s="27" t="s">
        <v>5490</v>
      </c>
      <c r="B873" s="28" t="s">
        <v>5491</v>
      </c>
      <c r="C873" s="29" t="s">
        <v>5492</v>
      </c>
      <c r="D873" s="30" t="s">
        <v>5493</v>
      </c>
      <c r="E873" s="29" t="s">
        <v>98</v>
      </c>
      <c r="F873" s="31">
        <v>323</v>
      </c>
      <c r="G873" s="20" t="s">
        <v>85</v>
      </c>
      <c r="H873" s="29" t="s">
        <v>129</v>
      </c>
      <c r="I873" s="32" t="s">
        <v>5494</v>
      </c>
      <c r="J873" s="28" t="s">
        <v>5495</v>
      </c>
      <c r="K873" s="29" t="s">
        <v>5496</v>
      </c>
      <c r="L873" s="27" t="s">
        <v>90</v>
      </c>
      <c r="M873" s="28" t="s">
        <v>91</v>
      </c>
      <c r="N873" s="33" t="s">
        <v>75</v>
      </c>
      <c r="O873" s="34" t="s">
        <v>104</v>
      </c>
      <c r="P873" s="34" t="s">
        <v>105</v>
      </c>
      <c r="Q873" s="35" t="s">
        <v>78</v>
      </c>
      <c r="R873" s="35" t="s">
        <v>79</v>
      </c>
      <c r="S873" s="35" t="s">
        <v>61</v>
      </c>
      <c r="T873" s="35" t="s">
        <v>62</v>
      </c>
      <c r="U873" s="36" t="s">
        <v>80</v>
      </c>
    </row>
    <row r="874" spans="1:21" ht="15.75" customHeight="1" x14ac:dyDescent="0.25">
      <c r="A874" s="9" t="s">
        <v>5497</v>
      </c>
      <c r="B874" s="10" t="s">
        <v>5498</v>
      </c>
      <c r="C874" s="11" t="s">
        <v>5499</v>
      </c>
      <c r="D874" s="21" t="s">
        <v>109</v>
      </c>
      <c r="E874" s="11" t="s">
        <v>47</v>
      </c>
      <c r="F874" s="13">
        <v>212</v>
      </c>
      <c r="G874" s="25" t="s">
        <v>110</v>
      </c>
      <c r="H874" s="11" t="s">
        <v>129</v>
      </c>
      <c r="I874" s="15" t="s">
        <v>5500</v>
      </c>
      <c r="J874" s="10" t="s">
        <v>5501</v>
      </c>
      <c r="K874" s="11" t="s">
        <v>5502</v>
      </c>
      <c r="L874" s="9" t="s">
        <v>90</v>
      </c>
      <c r="M874" s="10" t="s">
        <v>91</v>
      </c>
      <c r="N874" s="22"/>
      <c r="O874" s="17"/>
      <c r="P874" s="17"/>
      <c r="Q874" s="18" t="s">
        <v>78</v>
      </c>
      <c r="R874" s="18" t="s">
        <v>79</v>
      </c>
      <c r="S874" s="18" t="s">
        <v>61</v>
      </c>
      <c r="T874" s="18" t="s">
        <v>62</v>
      </c>
      <c r="U874" s="19" t="s">
        <v>80</v>
      </c>
    </row>
    <row r="875" spans="1:21" ht="15.75" customHeight="1" x14ac:dyDescent="0.25">
      <c r="A875" s="27" t="s">
        <v>5503</v>
      </c>
      <c r="B875" s="28" t="s">
        <v>5504</v>
      </c>
      <c r="C875" s="29" t="s">
        <v>5505</v>
      </c>
      <c r="D875" s="37" t="s">
        <v>109</v>
      </c>
      <c r="E875" s="29" t="s">
        <v>98</v>
      </c>
      <c r="F875" s="29"/>
      <c r="G875" s="24" t="s">
        <v>85</v>
      </c>
      <c r="H875" s="29" t="s">
        <v>120</v>
      </c>
      <c r="I875" s="32" t="s">
        <v>5506</v>
      </c>
      <c r="J875" s="28" t="s">
        <v>5507</v>
      </c>
      <c r="K875" s="29" t="s">
        <v>332</v>
      </c>
      <c r="L875" s="27" t="s">
        <v>197</v>
      </c>
      <c r="M875" s="28" t="s">
        <v>198</v>
      </c>
      <c r="N875" s="38"/>
      <c r="O875" s="34"/>
      <c r="P875" s="34"/>
      <c r="Q875" s="35" t="s">
        <v>78</v>
      </c>
      <c r="R875" s="35" t="s">
        <v>79</v>
      </c>
      <c r="S875" s="35" t="s">
        <v>61</v>
      </c>
      <c r="T875" s="35" t="s">
        <v>62</v>
      </c>
      <c r="U875" s="36" t="s">
        <v>80</v>
      </c>
    </row>
    <row r="876" spans="1:21" ht="15.75" customHeight="1" x14ac:dyDescent="0.25">
      <c r="A876" s="9" t="s">
        <v>5508</v>
      </c>
      <c r="B876" s="10" t="s">
        <v>5509</v>
      </c>
      <c r="C876" s="11" t="s">
        <v>5510</v>
      </c>
      <c r="D876" s="21" t="s">
        <v>109</v>
      </c>
      <c r="E876" s="11" t="s">
        <v>98</v>
      </c>
      <c r="F876" s="11"/>
      <c r="G876" s="25" t="s">
        <v>110</v>
      </c>
      <c r="H876" s="11" t="s">
        <v>100</v>
      </c>
      <c r="I876" s="15" t="s">
        <v>5511</v>
      </c>
      <c r="J876" s="10" t="s">
        <v>5512</v>
      </c>
      <c r="K876" s="11" t="s">
        <v>5513</v>
      </c>
      <c r="L876" s="9" t="s">
        <v>481</v>
      </c>
      <c r="M876" s="10" t="s">
        <v>482</v>
      </c>
      <c r="N876" s="22"/>
      <c r="O876" s="17"/>
      <c r="P876" s="17"/>
      <c r="Q876" s="18" t="s">
        <v>78</v>
      </c>
      <c r="R876" s="18" t="s">
        <v>79</v>
      </c>
      <c r="S876" s="18" t="s">
        <v>61</v>
      </c>
      <c r="T876" s="18" t="s">
        <v>62</v>
      </c>
      <c r="U876" s="19" t="s">
        <v>80</v>
      </c>
    </row>
    <row r="877" spans="1:21" ht="15.75" customHeight="1" x14ac:dyDescent="0.25">
      <c r="A877" s="27" t="s">
        <v>5514</v>
      </c>
      <c r="B877" s="28" t="s">
        <v>5515</v>
      </c>
      <c r="C877" s="29" t="s">
        <v>5516</v>
      </c>
      <c r="D877" s="30" t="s">
        <v>5517</v>
      </c>
      <c r="E877" s="29" t="s">
        <v>47</v>
      </c>
      <c r="F877" s="31">
        <v>191</v>
      </c>
      <c r="G877" s="20" t="s">
        <v>119</v>
      </c>
      <c r="H877" s="29" t="s">
        <v>86</v>
      </c>
      <c r="I877" s="32" t="s">
        <v>5518</v>
      </c>
      <c r="J877" s="28" t="s">
        <v>5519</v>
      </c>
      <c r="K877" s="29" t="s">
        <v>5520</v>
      </c>
      <c r="L877" s="27" t="s">
        <v>90</v>
      </c>
      <c r="M877" s="28" t="s">
        <v>91</v>
      </c>
      <c r="N877" s="33" t="s">
        <v>75</v>
      </c>
      <c r="O877" s="34" t="s">
        <v>313</v>
      </c>
      <c r="P877" s="34" t="s">
        <v>314</v>
      </c>
      <c r="Q877" s="35" t="s">
        <v>78</v>
      </c>
      <c r="R877" s="35" t="s">
        <v>79</v>
      </c>
      <c r="S877" s="35" t="s">
        <v>61</v>
      </c>
      <c r="T877" s="35" t="s">
        <v>62</v>
      </c>
      <c r="U877" s="36" t="s">
        <v>80</v>
      </c>
    </row>
    <row r="878" spans="1:21" ht="15.75" customHeight="1" x14ac:dyDescent="0.25">
      <c r="A878" s="9" t="s">
        <v>5521</v>
      </c>
      <c r="B878" s="10" t="s">
        <v>5522</v>
      </c>
      <c r="C878" s="11" t="s">
        <v>5523</v>
      </c>
      <c r="D878" s="21" t="s">
        <v>109</v>
      </c>
      <c r="E878" s="11" t="s">
        <v>98</v>
      </c>
      <c r="F878" s="11" t="s">
        <v>5524</v>
      </c>
      <c r="G878" s="25" t="s">
        <v>110</v>
      </c>
      <c r="H878" s="11" t="s">
        <v>100</v>
      </c>
      <c r="I878" s="15" t="s">
        <v>5525</v>
      </c>
      <c r="J878" s="10" t="s">
        <v>5526</v>
      </c>
      <c r="K878" s="11" t="s">
        <v>933</v>
      </c>
      <c r="L878" s="9" t="s">
        <v>90</v>
      </c>
      <c r="M878" s="10" t="s">
        <v>91</v>
      </c>
      <c r="N878" s="22"/>
      <c r="O878" s="17"/>
      <c r="P878" s="17"/>
      <c r="Q878" s="18" t="s">
        <v>78</v>
      </c>
      <c r="R878" s="18" t="s">
        <v>79</v>
      </c>
      <c r="S878" s="18" t="s">
        <v>61</v>
      </c>
      <c r="T878" s="18" t="s">
        <v>62</v>
      </c>
      <c r="U878" s="19" t="s">
        <v>80</v>
      </c>
    </row>
    <row r="879" spans="1:21" ht="15.75" customHeight="1" x14ac:dyDescent="0.25">
      <c r="A879" s="27" t="s">
        <v>5527</v>
      </c>
      <c r="B879" s="28" t="s">
        <v>5528</v>
      </c>
      <c r="C879" s="29" t="s">
        <v>5529</v>
      </c>
      <c r="D879" s="37" t="s">
        <v>109</v>
      </c>
      <c r="E879" s="29" t="s">
        <v>67</v>
      </c>
      <c r="F879" s="31">
        <v>-12</v>
      </c>
      <c r="G879" s="14" t="s">
        <v>119</v>
      </c>
      <c r="H879" s="29" t="s">
        <v>69</v>
      </c>
      <c r="I879" s="32" t="s">
        <v>5530</v>
      </c>
      <c r="J879" s="28" t="s">
        <v>5531</v>
      </c>
      <c r="K879" s="29" t="s">
        <v>5532</v>
      </c>
      <c r="L879" s="27" t="s">
        <v>73</v>
      </c>
      <c r="M879" s="28" t="s">
        <v>74</v>
      </c>
      <c r="N879" s="38"/>
      <c r="O879" s="34"/>
      <c r="P879" s="34"/>
      <c r="Q879" s="35" t="s">
        <v>78</v>
      </c>
      <c r="R879" s="35" t="s">
        <v>79</v>
      </c>
      <c r="S879" s="35" t="s">
        <v>61</v>
      </c>
      <c r="T879" s="35" t="s">
        <v>62</v>
      </c>
      <c r="U879" s="36" t="s">
        <v>80</v>
      </c>
    </row>
    <row r="880" spans="1:21" ht="15.75" customHeight="1" x14ac:dyDescent="0.25">
      <c r="A880" s="9" t="s">
        <v>5533</v>
      </c>
      <c r="B880" s="10" t="s">
        <v>5534</v>
      </c>
      <c r="C880" s="11" t="s">
        <v>5535</v>
      </c>
      <c r="D880" s="12" t="s">
        <v>5536</v>
      </c>
      <c r="E880" s="11" t="s">
        <v>47</v>
      </c>
      <c r="F880" s="13">
        <v>63</v>
      </c>
      <c r="G880" s="20" t="s">
        <v>119</v>
      </c>
      <c r="H880" s="11" t="s">
        <v>48</v>
      </c>
      <c r="I880" s="15" t="s">
        <v>5537</v>
      </c>
      <c r="J880" s="10" t="s">
        <v>5538</v>
      </c>
      <c r="K880" s="11" t="s">
        <v>5539</v>
      </c>
      <c r="L880" s="9" t="s">
        <v>158</v>
      </c>
      <c r="M880" s="10" t="s">
        <v>159</v>
      </c>
      <c r="N880" s="16" t="s">
        <v>75</v>
      </c>
      <c r="O880" s="17" t="s">
        <v>382</v>
      </c>
      <c r="P880" s="17" t="s">
        <v>383</v>
      </c>
      <c r="Q880" s="18" t="s">
        <v>78</v>
      </c>
      <c r="R880" s="18" t="s">
        <v>79</v>
      </c>
      <c r="S880" s="18" t="s">
        <v>61</v>
      </c>
      <c r="T880" s="18" t="s">
        <v>62</v>
      </c>
      <c r="U880" s="19" t="s">
        <v>80</v>
      </c>
    </row>
    <row r="881" spans="1:21" ht="15.75" customHeight="1" x14ac:dyDescent="0.25">
      <c r="A881" s="27" t="s">
        <v>5540</v>
      </c>
      <c r="B881" s="28" t="s">
        <v>5541</v>
      </c>
      <c r="C881" s="29" t="s">
        <v>5542</v>
      </c>
      <c r="D881" s="37" t="s">
        <v>109</v>
      </c>
      <c r="E881" s="29" t="s">
        <v>47</v>
      </c>
      <c r="F881" s="31">
        <v>152</v>
      </c>
      <c r="G881" s="14" t="s">
        <v>119</v>
      </c>
      <c r="H881" s="29" t="s">
        <v>86</v>
      </c>
      <c r="I881" s="32" t="s">
        <v>5543</v>
      </c>
      <c r="J881" s="28" t="s">
        <v>5544</v>
      </c>
      <c r="K881" s="29" t="s">
        <v>5545</v>
      </c>
      <c r="L881" s="27" t="s">
        <v>158</v>
      </c>
      <c r="M881" s="28" t="s">
        <v>159</v>
      </c>
      <c r="N881" s="38"/>
      <c r="O881" s="34"/>
      <c r="P881" s="34"/>
      <c r="Q881" s="35" t="s">
        <v>78</v>
      </c>
      <c r="R881" s="35" t="s">
        <v>79</v>
      </c>
      <c r="S881" s="35" t="s">
        <v>61</v>
      </c>
      <c r="T881" s="35" t="s">
        <v>62</v>
      </c>
      <c r="U881" s="36" t="s">
        <v>80</v>
      </c>
    </row>
    <row r="882" spans="1:21" ht="15.75" customHeight="1" x14ac:dyDescent="0.25">
      <c r="A882" s="9" t="s">
        <v>5546</v>
      </c>
      <c r="B882" s="10" t="s">
        <v>5547</v>
      </c>
      <c r="C882" s="11" t="s">
        <v>5548</v>
      </c>
      <c r="D882" s="12" t="s">
        <v>5549</v>
      </c>
      <c r="E882" s="11" t="s">
        <v>47</v>
      </c>
      <c r="F882" s="13">
        <v>34</v>
      </c>
      <c r="G882" s="20" t="s">
        <v>85</v>
      </c>
      <c r="H882" s="11" t="s">
        <v>69</v>
      </c>
      <c r="I882" s="15" t="s">
        <v>5550</v>
      </c>
      <c r="J882" s="10" t="s">
        <v>5551</v>
      </c>
      <c r="K882" s="11" t="s">
        <v>5552</v>
      </c>
      <c r="L882" s="9" t="s">
        <v>158</v>
      </c>
      <c r="M882" s="10" t="s">
        <v>159</v>
      </c>
      <c r="N882" s="16" t="s">
        <v>75</v>
      </c>
      <c r="O882" s="17" t="s">
        <v>382</v>
      </c>
      <c r="P882" s="17" t="s">
        <v>383</v>
      </c>
      <c r="Q882" s="18" t="s">
        <v>78</v>
      </c>
      <c r="R882" s="18" t="s">
        <v>79</v>
      </c>
      <c r="S882" s="18" t="s">
        <v>61</v>
      </c>
      <c r="T882" s="18" t="s">
        <v>62</v>
      </c>
      <c r="U882" s="19" t="s">
        <v>80</v>
      </c>
    </row>
    <row r="883" spans="1:21" ht="15.75" customHeight="1" x14ac:dyDescent="0.25">
      <c r="A883" s="27" t="s">
        <v>5553</v>
      </c>
      <c r="B883" s="28" t="s">
        <v>5554</v>
      </c>
      <c r="C883" s="29" t="s">
        <v>5555</v>
      </c>
      <c r="D883" s="30" t="s">
        <v>5556</v>
      </c>
      <c r="E883" s="29" t="s">
        <v>47</v>
      </c>
      <c r="F883" s="31">
        <v>159.5</v>
      </c>
      <c r="G883" s="20" t="s">
        <v>119</v>
      </c>
      <c r="H883" s="29" t="s">
        <v>86</v>
      </c>
      <c r="I883" s="32" t="s">
        <v>5557</v>
      </c>
      <c r="J883" s="28" t="s">
        <v>5558</v>
      </c>
      <c r="K883" s="29" t="s">
        <v>5559</v>
      </c>
      <c r="L883" s="27" t="s">
        <v>481</v>
      </c>
      <c r="M883" s="28" t="s">
        <v>482</v>
      </c>
      <c r="N883" s="33" t="s">
        <v>75</v>
      </c>
      <c r="O883" s="34" t="s">
        <v>5560</v>
      </c>
      <c r="P883" s="34" t="s">
        <v>5561</v>
      </c>
      <c r="Q883" s="35" t="s">
        <v>78</v>
      </c>
      <c r="R883" s="35" t="s">
        <v>79</v>
      </c>
      <c r="S883" s="35" t="s">
        <v>61</v>
      </c>
      <c r="T883" s="35" t="s">
        <v>62</v>
      </c>
      <c r="U883" s="36" t="s">
        <v>80</v>
      </c>
    </row>
    <row r="884" spans="1:21" ht="15.75" customHeight="1" x14ac:dyDescent="0.25">
      <c r="A884" s="9" t="s">
        <v>5562</v>
      </c>
      <c r="B884" s="10" t="s">
        <v>5563</v>
      </c>
      <c r="C884" s="11" t="s">
        <v>5564</v>
      </c>
      <c r="D884" s="21" t="s">
        <v>109</v>
      </c>
      <c r="E884" s="11" t="s">
        <v>47</v>
      </c>
      <c r="F884" s="13">
        <v>69</v>
      </c>
      <c r="G884" s="14" t="s">
        <v>119</v>
      </c>
      <c r="H884" s="11" t="s">
        <v>48</v>
      </c>
      <c r="I884" s="15" t="s">
        <v>5565</v>
      </c>
      <c r="J884" s="10" t="s">
        <v>5566</v>
      </c>
      <c r="K884" s="11" t="s">
        <v>5567</v>
      </c>
      <c r="L884" s="9" t="s">
        <v>158</v>
      </c>
      <c r="M884" s="10" t="s">
        <v>159</v>
      </c>
      <c r="N884" s="22"/>
      <c r="O884" s="17"/>
      <c r="P884" s="17"/>
      <c r="Q884" s="18" t="s">
        <v>78</v>
      </c>
      <c r="R884" s="18" t="s">
        <v>79</v>
      </c>
      <c r="S884" s="18" t="s">
        <v>61</v>
      </c>
      <c r="T884" s="18" t="s">
        <v>62</v>
      </c>
      <c r="U884" s="19" t="s">
        <v>80</v>
      </c>
    </row>
    <row r="885" spans="1:21" ht="15.75" customHeight="1" x14ac:dyDescent="0.25">
      <c r="A885" s="27" t="s">
        <v>5568</v>
      </c>
      <c r="B885" s="28" t="s">
        <v>5569</v>
      </c>
      <c r="C885" s="29" t="s">
        <v>5570</v>
      </c>
      <c r="D885" s="30" t="s">
        <v>5571</v>
      </c>
      <c r="E885" s="29" t="s">
        <v>47</v>
      </c>
      <c r="F885" s="31">
        <v>89</v>
      </c>
      <c r="G885" s="14" t="s">
        <v>708</v>
      </c>
      <c r="H885" s="29" t="s">
        <v>48</v>
      </c>
      <c r="I885" s="32" t="s">
        <v>5572</v>
      </c>
      <c r="J885" s="28" t="s">
        <v>5573</v>
      </c>
      <c r="K885" s="29" t="s">
        <v>5574</v>
      </c>
      <c r="L885" s="27" t="s">
        <v>158</v>
      </c>
      <c r="M885" s="28" t="s">
        <v>159</v>
      </c>
      <c r="N885" s="33" t="s">
        <v>75</v>
      </c>
      <c r="O885" s="34" t="s">
        <v>712</v>
      </c>
      <c r="P885" s="34" t="s">
        <v>713</v>
      </c>
      <c r="Q885" s="35" t="s">
        <v>78</v>
      </c>
      <c r="R885" s="35" t="s">
        <v>79</v>
      </c>
      <c r="S885" s="35" t="s">
        <v>61</v>
      </c>
      <c r="T885" s="35" t="s">
        <v>62</v>
      </c>
      <c r="U885" s="36" t="s">
        <v>80</v>
      </c>
    </row>
    <row r="886" spans="1:21" ht="15.75" customHeight="1" x14ac:dyDescent="0.25">
      <c r="A886" s="9" t="s">
        <v>5575</v>
      </c>
      <c r="B886" s="10" t="s">
        <v>5576</v>
      </c>
      <c r="C886" s="11" t="s">
        <v>5577</v>
      </c>
      <c r="D886" s="12" t="s">
        <v>5578</v>
      </c>
      <c r="E886" s="11" t="s">
        <v>47</v>
      </c>
      <c r="F886" s="13">
        <v>31.7</v>
      </c>
      <c r="G886" s="20" t="s">
        <v>119</v>
      </c>
      <c r="H886" s="11" t="s">
        <v>69</v>
      </c>
      <c r="I886" s="15" t="s">
        <v>5579</v>
      </c>
      <c r="J886" s="10" t="s">
        <v>5580</v>
      </c>
      <c r="K886" s="11" t="s">
        <v>5581</v>
      </c>
      <c r="L886" s="9" t="s">
        <v>158</v>
      </c>
      <c r="M886" s="10" t="s">
        <v>159</v>
      </c>
      <c r="N886" s="16" t="s">
        <v>75</v>
      </c>
      <c r="O886" s="17" t="s">
        <v>396</v>
      </c>
      <c r="P886" s="17" t="s">
        <v>397</v>
      </c>
      <c r="Q886" s="18" t="s">
        <v>78</v>
      </c>
      <c r="R886" s="18" t="s">
        <v>79</v>
      </c>
      <c r="S886" s="18" t="s">
        <v>61</v>
      </c>
      <c r="T886" s="18" t="s">
        <v>62</v>
      </c>
      <c r="U886" s="19" t="s">
        <v>80</v>
      </c>
    </row>
    <row r="887" spans="1:21" ht="15.75" customHeight="1" x14ac:dyDescent="0.25">
      <c r="A887" s="27" t="s">
        <v>5582</v>
      </c>
      <c r="B887" s="28" t="s">
        <v>5583</v>
      </c>
      <c r="C887" s="29" t="s">
        <v>5584</v>
      </c>
      <c r="D887" s="30" t="s">
        <v>5585</v>
      </c>
      <c r="E887" s="29" t="s">
        <v>47</v>
      </c>
      <c r="F887" s="31">
        <v>203</v>
      </c>
      <c r="G887" s="20" t="s">
        <v>119</v>
      </c>
      <c r="H887" s="29" t="s">
        <v>129</v>
      </c>
      <c r="I887" s="32" t="s">
        <v>5586</v>
      </c>
      <c r="J887" s="28" t="s">
        <v>5587</v>
      </c>
      <c r="K887" s="29" t="s">
        <v>507</v>
      </c>
      <c r="L887" s="27" t="s">
        <v>90</v>
      </c>
      <c r="M887" s="28" t="s">
        <v>91</v>
      </c>
      <c r="N887" s="33" t="s">
        <v>75</v>
      </c>
      <c r="O887" s="34" t="s">
        <v>292</v>
      </c>
      <c r="P887" s="34" t="s">
        <v>293</v>
      </c>
      <c r="Q887" s="35" t="s">
        <v>78</v>
      </c>
      <c r="R887" s="35" t="s">
        <v>79</v>
      </c>
      <c r="S887" s="35" t="s">
        <v>61</v>
      </c>
      <c r="T887" s="35" t="s">
        <v>62</v>
      </c>
      <c r="U887" s="36" t="s">
        <v>80</v>
      </c>
    </row>
    <row r="888" spans="1:21" ht="15.75" customHeight="1" x14ac:dyDescent="0.25">
      <c r="A888" s="9" t="s">
        <v>5588</v>
      </c>
      <c r="B888" s="10" t="s">
        <v>5589</v>
      </c>
      <c r="C888" s="11" t="s">
        <v>5590</v>
      </c>
      <c r="D888" s="12" t="s">
        <v>97</v>
      </c>
      <c r="E888" s="11" t="s">
        <v>98</v>
      </c>
      <c r="F888" s="11"/>
      <c r="G888" s="20" t="s">
        <v>85</v>
      </c>
      <c r="H888" s="11" t="s">
        <v>100</v>
      </c>
      <c r="I888" s="15" t="s">
        <v>5591</v>
      </c>
      <c r="J888" s="10" t="s">
        <v>5592</v>
      </c>
      <c r="K888" s="11" t="s">
        <v>5593</v>
      </c>
      <c r="L888" s="9" t="s">
        <v>90</v>
      </c>
      <c r="M888" s="10" t="s">
        <v>91</v>
      </c>
      <c r="N888" s="16" t="s">
        <v>75</v>
      </c>
      <c r="O888" s="17" t="s">
        <v>104</v>
      </c>
      <c r="P888" s="17" t="s">
        <v>105</v>
      </c>
      <c r="Q888" s="18" t="s">
        <v>78</v>
      </c>
      <c r="R888" s="18" t="s">
        <v>79</v>
      </c>
      <c r="S888" s="18" t="s">
        <v>61</v>
      </c>
      <c r="T888" s="18" t="s">
        <v>62</v>
      </c>
      <c r="U888" s="19" t="s">
        <v>80</v>
      </c>
    </row>
    <row r="889" spans="1:21" ht="15.75" customHeight="1" x14ac:dyDescent="0.25">
      <c r="A889" s="27" t="s">
        <v>5594</v>
      </c>
      <c r="B889" s="28" t="s">
        <v>5595</v>
      </c>
      <c r="C889" s="29" t="s">
        <v>5596</v>
      </c>
      <c r="D889" s="30" t="s">
        <v>5597</v>
      </c>
      <c r="E889" s="29" t="s">
        <v>98</v>
      </c>
      <c r="F889" s="29"/>
      <c r="G889" s="20" t="s">
        <v>85</v>
      </c>
      <c r="H889" s="29" t="s">
        <v>120</v>
      </c>
      <c r="I889" s="32" t="s">
        <v>5598</v>
      </c>
      <c r="J889" s="28" t="s">
        <v>5599</v>
      </c>
      <c r="K889" s="29" t="s">
        <v>5600</v>
      </c>
      <c r="L889" s="27" t="s">
        <v>90</v>
      </c>
      <c r="M889" s="28" t="s">
        <v>91</v>
      </c>
      <c r="N889" s="33" t="s">
        <v>75</v>
      </c>
      <c r="O889" s="34" t="s">
        <v>124</v>
      </c>
      <c r="P889" s="34" t="s">
        <v>125</v>
      </c>
      <c r="Q889" s="35" t="s">
        <v>78</v>
      </c>
      <c r="R889" s="35" t="s">
        <v>79</v>
      </c>
      <c r="S889" s="35" t="s">
        <v>61</v>
      </c>
      <c r="T889" s="35" t="s">
        <v>62</v>
      </c>
      <c r="U889" s="36" t="s">
        <v>80</v>
      </c>
    </row>
    <row r="890" spans="1:21" ht="15.75" customHeight="1" x14ac:dyDescent="0.25">
      <c r="A890" s="9" t="s">
        <v>5601</v>
      </c>
      <c r="B890" s="10" t="s">
        <v>5602</v>
      </c>
      <c r="C890" s="11" t="s">
        <v>5603</v>
      </c>
      <c r="D890" s="21" t="s">
        <v>109</v>
      </c>
      <c r="E890" s="11" t="s">
        <v>47</v>
      </c>
      <c r="F890" s="13">
        <v>198</v>
      </c>
      <c r="G890" s="24" t="s">
        <v>85</v>
      </c>
      <c r="H890" s="11" t="s">
        <v>86</v>
      </c>
      <c r="I890" s="15" t="s">
        <v>5604</v>
      </c>
      <c r="J890" s="10" t="s">
        <v>5605</v>
      </c>
      <c r="K890" s="11"/>
      <c r="L890" s="9"/>
      <c r="M890" s="10"/>
      <c r="N890" s="22"/>
      <c r="O890" s="17"/>
      <c r="P890" s="17"/>
      <c r="Q890" s="18" t="s">
        <v>78</v>
      </c>
      <c r="R890" s="18" t="s">
        <v>79</v>
      </c>
      <c r="S890" s="18" t="s">
        <v>61</v>
      </c>
      <c r="T890" s="18" t="s">
        <v>62</v>
      </c>
      <c r="U890" s="19" t="s">
        <v>80</v>
      </c>
    </row>
    <row r="891" spans="1:21" ht="15.75" customHeight="1" x14ac:dyDescent="0.25">
      <c r="A891" s="27" t="s">
        <v>5606</v>
      </c>
      <c r="B891" s="28" t="s">
        <v>5607</v>
      </c>
      <c r="C891" s="29" t="s">
        <v>5608</v>
      </c>
      <c r="D891" s="30" t="s">
        <v>5609</v>
      </c>
      <c r="E891" s="29" t="s">
        <v>47</v>
      </c>
      <c r="F891" s="29"/>
      <c r="G891" s="20" t="s">
        <v>119</v>
      </c>
      <c r="H891" s="29" t="s">
        <v>120</v>
      </c>
      <c r="I891" s="32" t="s">
        <v>5610</v>
      </c>
      <c r="J891" s="28" t="s">
        <v>5611</v>
      </c>
      <c r="K891" s="29" t="s">
        <v>5612</v>
      </c>
      <c r="L891" s="27" t="s">
        <v>481</v>
      </c>
      <c r="M891" s="28" t="s">
        <v>482</v>
      </c>
      <c r="N891" s="33" t="s">
        <v>75</v>
      </c>
      <c r="O891" s="34" t="s">
        <v>2979</v>
      </c>
      <c r="P891" s="34" t="s">
        <v>2980</v>
      </c>
      <c r="Q891" s="35" t="s">
        <v>78</v>
      </c>
      <c r="R891" s="35" t="s">
        <v>79</v>
      </c>
      <c r="S891" s="35" t="s">
        <v>61</v>
      </c>
      <c r="T891" s="35" t="s">
        <v>62</v>
      </c>
      <c r="U891" s="36" t="s">
        <v>80</v>
      </c>
    </row>
    <row r="892" spans="1:21" ht="15.75" customHeight="1" x14ac:dyDescent="0.25">
      <c r="A892" s="9" t="s">
        <v>5613</v>
      </c>
      <c r="B892" s="10" t="s">
        <v>5614</v>
      </c>
      <c r="C892" s="11" t="s">
        <v>5615</v>
      </c>
      <c r="D892" s="12" t="s">
        <v>5609</v>
      </c>
      <c r="E892" s="11" t="s">
        <v>98</v>
      </c>
      <c r="F892" s="11"/>
      <c r="G892" s="20" t="s">
        <v>119</v>
      </c>
      <c r="H892" s="11" t="s">
        <v>120</v>
      </c>
      <c r="I892" s="15" t="s">
        <v>5616</v>
      </c>
      <c r="J892" s="10" t="s">
        <v>5617</v>
      </c>
      <c r="K892" s="11"/>
      <c r="L892" s="9"/>
      <c r="M892" s="10"/>
      <c r="N892" s="16" t="s">
        <v>75</v>
      </c>
      <c r="O892" s="17" t="s">
        <v>2979</v>
      </c>
      <c r="P892" s="17" t="s">
        <v>2980</v>
      </c>
      <c r="Q892" s="18" t="s">
        <v>78</v>
      </c>
      <c r="R892" s="18" t="s">
        <v>79</v>
      </c>
      <c r="S892" s="18" t="s">
        <v>61</v>
      </c>
      <c r="T892" s="18" t="s">
        <v>62</v>
      </c>
      <c r="U892" s="19" t="s">
        <v>80</v>
      </c>
    </row>
    <row r="893" spans="1:21" ht="15.75" customHeight="1" x14ac:dyDescent="0.25">
      <c r="A893" s="27" t="s">
        <v>5618</v>
      </c>
      <c r="B893" s="28" t="s">
        <v>5619</v>
      </c>
      <c r="C893" s="29" t="s">
        <v>5620</v>
      </c>
      <c r="D893" s="37" t="s">
        <v>109</v>
      </c>
      <c r="E893" s="29" t="s">
        <v>47</v>
      </c>
      <c r="F893" s="31">
        <v>120</v>
      </c>
      <c r="G893" s="25" t="s">
        <v>110</v>
      </c>
      <c r="H893" s="29" t="s">
        <v>330</v>
      </c>
      <c r="I893" s="32" t="s">
        <v>5621</v>
      </c>
      <c r="J893" s="28" t="s">
        <v>5622</v>
      </c>
      <c r="K893" s="29" t="s">
        <v>5623</v>
      </c>
      <c r="L893" s="27" t="s">
        <v>481</v>
      </c>
      <c r="M893" s="28" t="s">
        <v>482</v>
      </c>
      <c r="N893" s="38"/>
      <c r="O893" s="34"/>
      <c r="P893" s="34"/>
      <c r="Q893" s="35" t="s">
        <v>78</v>
      </c>
      <c r="R893" s="35" t="s">
        <v>79</v>
      </c>
      <c r="S893" s="35" t="s">
        <v>61</v>
      </c>
      <c r="T893" s="35" t="s">
        <v>62</v>
      </c>
      <c r="U893" s="36" t="s">
        <v>80</v>
      </c>
    </row>
    <row r="894" spans="1:21" ht="15.75" customHeight="1" x14ac:dyDescent="0.25">
      <c r="A894" s="9" t="s">
        <v>5624</v>
      </c>
      <c r="B894" s="10" t="s">
        <v>5625</v>
      </c>
      <c r="C894" s="11" t="s">
        <v>5626</v>
      </c>
      <c r="D894" s="21" t="s">
        <v>109</v>
      </c>
      <c r="E894" s="11" t="s">
        <v>47</v>
      </c>
      <c r="F894" s="13">
        <v>157</v>
      </c>
      <c r="G894" s="25" t="s">
        <v>110</v>
      </c>
      <c r="H894" s="11" t="s">
        <v>86</v>
      </c>
      <c r="I894" s="15" t="s">
        <v>5627</v>
      </c>
      <c r="J894" s="10" t="s">
        <v>5628</v>
      </c>
      <c r="K894" s="11" t="s">
        <v>5629</v>
      </c>
      <c r="L894" s="9" t="s">
        <v>90</v>
      </c>
      <c r="M894" s="10" t="s">
        <v>91</v>
      </c>
      <c r="N894" s="22"/>
      <c r="O894" s="17"/>
      <c r="P894" s="17"/>
      <c r="Q894" s="18" t="s">
        <v>78</v>
      </c>
      <c r="R894" s="18" t="s">
        <v>79</v>
      </c>
      <c r="S894" s="18" t="s">
        <v>61</v>
      </c>
      <c r="T894" s="18" t="s">
        <v>62</v>
      </c>
      <c r="U894" s="19" t="s">
        <v>80</v>
      </c>
    </row>
    <row r="895" spans="1:21" ht="15.75" customHeight="1" x14ac:dyDescent="0.25">
      <c r="A895" s="27" t="s">
        <v>5630</v>
      </c>
      <c r="B895" s="28" t="s">
        <v>5631</v>
      </c>
      <c r="C895" s="29" t="s">
        <v>5632</v>
      </c>
      <c r="D895" s="30" t="s">
        <v>5633</v>
      </c>
      <c r="E895" s="29" t="s">
        <v>47</v>
      </c>
      <c r="F895" s="31">
        <v>159</v>
      </c>
      <c r="G895" s="20" t="s">
        <v>119</v>
      </c>
      <c r="H895" s="29" t="s">
        <v>86</v>
      </c>
      <c r="I895" s="32" t="s">
        <v>5634</v>
      </c>
      <c r="J895" s="28" t="s">
        <v>5635</v>
      </c>
      <c r="K895" s="29" t="s">
        <v>5636</v>
      </c>
      <c r="L895" s="27" t="s">
        <v>481</v>
      </c>
      <c r="M895" s="28" t="s">
        <v>482</v>
      </c>
      <c r="N895" s="33" t="s">
        <v>75</v>
      </c>
      <c r="O895" s="34" t="s">
        <v>1905</v>
      </c>
      <c r="P895" s="34" t="s">
        <v>1906</v>
      </c>
      <c r="Q895" s="35" t="s">
        <v>78</v>
      </c>
      <c r="R895" s="35" t="s">
        <v>79</v>
      </c>
      <c r="S895" s="35" t="s">
        <v>61</v>
      </c>
      <c r="T895" s="35" t="s">
        <v>62</v>
      </c>
      <c r="U895" s="36" t="s">
        <v>80</v>
      </c>
    </row>
    <row r="896" spans="1:21" ht="15.75" customHeight="1" x14ac:dyDescent="0.25">
      <c r="A896" s="9" t="s">
        <v>5637</v>
      </c>
      <c r="B896" s="10" t="s">
        <v>5638</v>
      </c>
      <c r="C896" s="11" t="s">
        <v>5639</v>
      </c>
      <c r="D896" s="21" t="s">
        <v>109</v>
      </c>
      <c r="E896" s="11" t="s">
        <v>47</v>
      </c>
      <c r="F896" s="13">
        <v>178</v>
      </c>
      <c r="G896" s="24" t="s">
        <v>85</v>
      </c>
      <c r="H896" s="11" t="s">
        <v>86</v>
      </c>
      <c r="I896" s="15" t="s">
        <v>5640</v>
      </c>
      <c r="J896" s="10" t="s">
        <v>5641</v>
      </c>
      <c r="K896" s="11"/>
      <c r="L896" s="9"/>
      <c r="M896" s="10"/>
      <c r="N896" s="22"/>
      <c r="O896" s="17"/>
      <c r="P896" s="17"/>
      <c r="Q896" s="18" t="s">
        <v>78</v>
      </c>
      <c r="R896" s="18" t="s">
        <v>79</v>
      </c>
      <c r="S896" s="18" t="s">
        <v>61</v>
      </c>
      <c r="T896" s="18" t="s">
        <v>62</v>
      </c>
      <c r="U896" s="19" t="s">
        <v>80</v>
      </c>
    </row>
    <row r="897" spans="1:21" ht="15.75" customHeight="1" x14ac:dyDescent="0.25">
      <c r="A897" s="27" t="s">
        <v>5642</v>
      </c>
      <c r="B897" s="28" t="s">
        <v>5643</v>
      </c>
      <c r="C897" s="29" t="s">
        <v>5644</v>
      </c>
      <c r="D897" s="37" t="s">
        <v>109</v>
      </c>
      <c r="E897" s="29" t="s">
        <v>98</v>
      </c>
      <c r="F897" s="29" t="s">
        <v>5645</v>
      </c>
      <c r="G897" s="24" t="s">
        <v>85</v>
      </c>
      <c r="H897" s="29" t="s">
        <v>100</v>
      </c>
      <c r="I897" s="32" t="s">
        <v>5646</v>
      </c>
      <c r="J897" s="28" t="s">
        <v>5647</v>
      </c>
      <c r="K897" s="29"/>
      <c r="L897" s="27"/>
      <c r="M897" s="28"/>
      <c r="N897" s="38"/>
      <c r="O897" s="34"/>
      <c r="P897" s="34"/>
      <c r="Q897" s="35" t="s">
        <v>78</v>
      </c>
      <c r="R897" s="35" t="s">
        <v>79</v>
      </c>
      <c r="S897" s="35" t="s">
        <v>61</v>
      </c>
      <c r="T897" s="35" t="s">
        <v>62</v>
      </c>
      <c r="U897" s="36" t="s">
        <v>80</v>
      </c>
    </row>
    <row r="898" spans="1:21" ht="15.75" customHeight="1" x14ac:dyDescent="0.25">
      <c r="A898" s="9" t="s">
        <v>5648</v>
      </c>
      <c r="B898" s="10" t="s">
        <v>5649</v>
      </c>
      <c r="C898" s="11" t="s">
        <v>5650</v>
      </c>
      <c r="D898" s="21" t="s">
        <v>109</v>
      </c>
      <c r="E898" s="11" t="s">
        <v>47</v>
      </c>
      <c r="F898" s="13">
        <v>151</v>
      </c>
      <c r="G898" s="14" t="s">
        <v>119</v>
      </c>
      <c r="H898" s="11" t="s">
        <v>86</v>
      </c>
      <c r="I898" s="15" t="s">
        <v>5651</v>
      </c>
      <c r="J898" s="10" t="s">
        <v>5652</v>
      </c>
      <c r="K898" s="11" t="s">
        <v>5653</v>
      </c>
      <c r="L898" s="9" t="s">
        <v>158</v>
      </c>
      <c r="M898" s="10" t="s">
        <v>159</v>
      </c>
      <c r="N898" s="22"/>
      <c r="O898" s="17"/>
      <c r="P898" s="17"/>
      <c r="Q898" s="18" t="s">
        <v>78</v>
      </c>
      <c r="R898" s="18" t="s">
        <v>79</v>
      </c>
      <c r="S898" s="18" t="s">
        <v>61</v>
      </c>
      <c r="T898" s="18" t="s">
        <v>62</v>
      </c>
      <c r="U898" s="19" t="s">
        <v>80</v>
      </c>
    </row>
    <row r="899" spans="1:21" ht="15.75" customHeight="1" x14ac:dyDescent="0.25">
      <c r="A899" s="27" t="s">
        <v>5654</v>
      </c>
      <c r="B899" s="28" t="s">
        <v>5655</v>
      </c>
      <c r="C899" s="29" t="s">
        <v>5656</v>
      </c>
      <c r="D899" s="30" t="s">
        <v>5657</v>
      </c>
      <c r="E899" s="29" t="s">
        <v>47</v>
      </c>
      <c r="F899" s="31">
        <v>194</v>
      </c>
      <c r="G899" s="20" t="s">
        <v>119</v>
      </c>
      <c r="H899" s="29" t="s">
        <v>86</v>
      </c>
      <c r="I899" s="32" t="s">
        <v>5658</v>
      </c>
      <c r="J899" s="28" t="s">
        <v>5659</v>
      </c>
      <c r="K899" s="29" t="s">
        <v>5660</v>
      </c>
      <c r="L899" s="27" t="s">
        <v>90</v>
      </c>
      <c r="M899" s="28" t="s">
        <v>91</v>
      </c>
      <c r="N899" s="33" t="s">
        <v>75</v>
      </c>
      <c r="O899" s="34" t="s">
        <v>292</v>
      </c>
      <c r="P899" s="34" t="s">
        <v>293</v>
      </c>
      <c r="Q899" s="35" t="s">
        <v>78</v>
      </c>
      <c r="R899" s="35" t="s">
        <v>79</v>
      </c>
      <c r="S899" s="35" t="s">
        <v>61</v>
      </c>
      <c r="T899" s="35" t="s">
        <v>62</v>
      </c>
      <c r="U899" s="36" t="s">
        <v>80</v>
      </c>
    </row>
    <row r="900" spans="1:21" ht="15.75" customHeight="1" x14ac:dyDescent="0.25">
      <c r="A900" s="9" t="s">
        <v>5661</v>
      </c>
      <c r="B900" s="10" t="s">
        <v>5662</v>
      </c>
      <c r="C900" s="11" t="s">
        <v>5663</v>
      </c>
      <c r="D900" s="12" t="s">
        <v>895</v>
      </c>
      <c r="E900" s="11" t="s">
        <v>47</v>
      </c>
      <c r="F900" s="13">
        <v>93</v>
      </c>
      <c r="G900" s="20" t="s">
        <v>119</v>
      </c>
      <c r="H900" s="11" t="s">
        <v>48</v>
      </c>
      <c r="I900" s="15" t="s">
        <v>5664</v>
      </c>
      <c r="J900" s="10" t="s">
        <v>5665</v>
      </c>
      <c r="K900" s="11" t="s">
        <v>5666</v>
      </c>
      <c r="L900" s="9" t="s">
        <v>158</v>
      </c>
      <c r="M900" s="10" t="s">
        <v>159</v>
      </c>
      <c r="N900" s="16" t="s">
        <v>75</v>
      </c>
      <c r="O900" s="17" t="s">
        <v>517</v>
      </c>
      <c r="P900" s="17" t="s">
        <v>518</v>
      </c>
      <c r="Q900" s="18" t="s">
        <v>78</v>
      </c>
      <c r="R900" s="18" t="s">
        <v>79</v>
      </c>
      <c r="S900" s="18" t="s">
        <v>61</v>
      </c>
      <c r="T900" s="18" t="s">
        <v>62</v>
      </c>
      <c r="U900" s="19" t="s">
        <v>80</v>
      </c>
    </row>
    <row r="901" spans="1:21" ht="15.75" customHeight="1" x14ac:dyDescent="0.25">
      <c r="A901" s="27" t="s">
        <v>5667</v>
      </c>
      <c r="B901" s="28" t="s">
        <v>5668</v>
      </c>
      <c r="C901" s="29" t="s">
        <v>5669</v>
      </c>
      <c r="D901" s="37" t="s">
        <v>109</v>
      </c>
      <c r="E901" s="29" t="s">
        <v>47</v>
      </c>
      <c r="F901" s="31">
        <v>101</v>
      </c>
      <c r="G901" s="14" t="s">
        <v>119</v>
      </c>
      <c r="H901" s="29" t="s">
        <v>330</v>
      </c>
      <c r="I901" s="32" t="s">
        <v>5670</v>
      </c>
      <c r="J901" s="28" t="s">
        <v>5671</v>
      </c>
      <c r="K901" s="29" t="s">
        <v>5672</v>
      </c>
      <c r="L901" s="27" t="s">
        <v>158</v>
      </c>
      <c r="M901" s="28" t="s">
        <v>159</v>
      </c>
      <c r="N901" s="38"/>
      <c r="O901" s="34"/>
      <c r="P901" s="34"/>
      <c r="Q901" s="35" t="s">
        <v>78</v>
      </c>
      <c r="R901" s="35" t="s">
        <v>79</v>
      </c>
      <c r="S901" s="35" t="s">
        <v>61</v>
      </c>
      <c r="T901" s="35" t="s">
        <v>62</v>
      </c>
      <c r="U901" s="36" t="s">
        <v>80</v>
      </c>
    </row>
    <row r="902" spans="1:21" ht="15.75" customHeight="1" x14ac:dyDescent="0.25">
      <c r="A902" s="9" t="s">
        <v>5673</v>
      </c>
      <c r="B902" s="10" t="s">
        <v>5674</v>
      </c>
      <c r="C902" s="11" t="s">
        <v>5675</v>
      </c>
      <c r="D902" s="12" t="s">
        <v>5676</v>
      </c>
      <c r="E902" s="11" t="s">
        <v>47</v>
      </c>
      <c r="F902" s="11" t="s">
        <v>5677</v>
      </c>
      <c r="G902" s="20" t="s">
        <v>119</v>
      </c>
      <c r="H902" s="11" t="s">
        <v>330</v>
      </c>
      <c r="I902" s="15" t="s">
        <v>5678</v>
      </c>
      <c r="J902" s="10" t="s">
        <v>5679</v>
      </c>
      <c r="K902" s="11" t="s">
        <v>132</v>
      </c>
      <c r="L902" s="9" t="s">
        <v>90</v>
      </c>
      <c r="M902" s="10" t="s">
        <v>91</v>
      </c>
      <c r="N902" s="16" t="s">
        <v>75</v>
      </c>
      <c r="O902" s="17" t="s">
        <v>124</v>
      </c>
      <c r="P902" s="17" t="s">
        <v>125</v>
      </c>
      <c r="Q902" s="18" t="s">
        <v>78</v>
      </c>
      <c r="R902" s="18" t="s">
        <v>79</v>
      </c>
      <c r="S902" s="18" t="s">
        <v>61</v>
      </c>
      <c r="T902" s="18" t="s">
        <v>62</v>
      </c>
      <c r="U902" s="19" t="s">
        <v>80</v>
      </c>
    </row>
    <row r="903" spans="1:21" ht="15.75" customHeight="1" x14ac:dyDescent="0.25">
      <c r="A903" s="27" t="s">
        <v>5680</v>
      </c>
      <c r="B903" s="28" t="s">
        <v>5681</v>
      </c>
      <c r="C903" s="29" t="s">
        <v>5682</v>
      </c>
      <c r="D903" s="37" t="s">
        <v>109</v>
      </c>
      <c r="E903" s="29" t="s">
        <v>47</v>
      </c>
      <c r="F903" s="31">
        <v>110</v>
      </c>
      <c r="G903" s="25" t="s">
        <v>110</v>
      </c>
      <c r="H903" s="29" t="s">
        <v>330</v>
      </c>
      <c r="I903" s="32" t="s">
        <v>5683</v>
      </c>
      <c r="J903" s="28" t="s">
        <v>5681</v>
      </c>
      <c r="K903" s="29" t="s">
        <v>132</v>
      </c>
      <c r="L903" s="27" t="s">
        <v>90</v>
      </c>
      <c r="M903" s="28" t="s">
        <v>91</v>
      </c>
      <c r="N903" s="38"/>
      <c r="O903" s="34"/>
      <c r="P903" s="34"/>
      <c r="Q903" s="35" t="s">
        <v>78</v>
      </c>
      <c r="R903" s="35" t="s">
        <v>79</v>
      </c>
      <c r="S903" s="35" t="s">
        <v>61</v>
      </c>
      <c r="T903" s="35" t="s">
        <v>62</v>
      </c>
      <c r="U903" s="36" t="s">
        <v>80</v>
      </c>
    </row>
    <row r="904" spans="1:21" ht="15.75" customHeight="1" x14ac:dyDescent="0.25">
      <c r="A904" s="9" t="s">
        <v>5684</v>
      </c>
      <c r="B904" s="10" t="s">
        <v>5685</v>
      </c>
      <c r="C904" s="11" t="s">
        <v>5686</v>
      </c>
      <c r="D904" s="12" t="s">
        <v>5687</v>
      </c>
      <c r="E904" s="11" t="s">
        <v>98</v>
      </c>
      <c r="F904" s="11"/>
      <c r="G904" s="20" t="s">
        <v>85</v>
      </c>
      <c r="H904" s="11" t="s">
        <v>100</v>
      </c>
      <c r="I904" s="15" t="s">
        <v>5688</v>
      </c>
      <c r="J904" s="10" t="s">
        <v>5689</v>
      </c>
      <c r="K904" s="11"/>
      <c r="L904" s="9"/>
      <c r="M904" s="10"/>
      <c r="N904" s="16" t="s">
        <v>75</v>
      </c>
      <c r="O904" s="17" t="s">
        <v>180</v>
      </c>
      <c r="P904" s="17" t="s">
        <v>181</v>
      </c>
      <c r="Q904" s="18" t="s">
        <v>78</v>
      </c>
      <c r="R904" s="18" t="s">
        <v>79</v>
      </c>
      <c r="S904" s="18" t="s">
        <v>61</v>
      </c>
      <c r="T904" s="18" t="s">
        <v>62</v>
      </c>
      <c r="U904" s="19" t="s">
        <v>80</v>
      </c>
    </row>
    <row r="905" spans="1:21" ht="15.75" customHeight="1" x14ac:dyDescent="0.25">
      <c r="A905" s="27" t="s">
        <v>5690</v>
      </c>
      <c r="B905" s="28" t="s">
        <v>5691</v>
      </c>
      <c r="C905" s="29" t="s">
        <v>5692</v>
      </c>
      <c r="D905" s="30" t="s">
        <v>5693</v>
      </c>
      <c r="E905" s="29" t="s">
        <v>98</v>
      </c>
      <c r="F905" s="29"/>
      <c r="G905" s="20" t="s">
        <v>85</v>
      </c>
      <c r="H905" s="29" t="s">
        <v>120</v>
      </c>
      <c r="I905" s="32" t="s">
        <v>5694</v>
      </c>
      <c r="J905" s="28" t="s">
        <v>5695</v>
      </c>
      <c r="K905" s="29" t="s">
        <v>1997</v>
      </c>
      <c r="L905" s="27" t="s">
        <v>90</v>
      </c>
      <c r="M905" s="28" t="s">
        <v>91</v>
      </c>
      <c r="N905" s="33" t="s">
        <v>75</v>
      </c>
      <c r="O905" s="34" t="s">
        <v>355</v>
      </c>
      <c r="P905" s="34" t="s">
        <v>356</v>
      </c>
      <c r="Q905" s="35" t="s">
        <v>78</v>
      </c>
      <c r="R905" s="35" t="s">
        <v>79</v>
      </c>
      <c r="S905" s="35" t="s">
        <v>61</v>
      </c>
      <c r="T905" s="35" t="s">
        <v>62</v>
      </c>
      <c r="U905" s="36" t="s">
        <v>80</v>
      </c>
    </row>
    <row r="906" spans="1:21" ht="15.75" customHeight="1" x14ac:dyDescent="0.25">
      <c r="A906" s="9" t="s">
        <v>5696</v>
      </c>
      <c r="B906" s="10" t="s">
        <v>5697</v>
      </c>
      <c r="C906" s="11" t="s">
        <v>5698</v>
      </c>
      <c r="D906" s="12" t="s">
        <v>5699</v>
      </c>
      <c r="E906" s="11" t="s">
        <v>98</v>
      </c>
      <c r="F906" s="11"/>
      <c r="G906" s="20" t="s">
        <v>85</v>
      </c>
      <c r="H906" s="11" t="s">
        <v>120</v>
      </c>
      <c r="I906" s="15" t="s">
        <v>5700</v>
      </c>
      <c r="J906" s="10" t="s">
        <v>5701</v>
      </c>
      <c r="K906" s="11" t="s">
        <v>332</v>
      </c>
      <c r="L906" s="9" t="s">
        <v>197</v>
      </c>
      <c r="M906" s="10" t="s">
        <v>198</v>
      </c>
      <c r="N906" s="16" t="s">
        <v>75</v>
      </c>
      <c r="O906" s="17" t="s">
        <v>104</v>
      </c>
      <c r="P906" s="17" t="s">
        <v>105</v>
      </c>
      <c r="Q906" s="18" t="s">
        <v>78</v>
      </c>
      <c r="R906" s="18" t="s">
        <v>79</v>
      </c>
      <c r="S906" s="18" t="s">
        <v>61</v>
      </c>
      <c r="T906" s="18" t="s">
        <v>62</v>
      </c>
      <c r="U906" s="19" t="s">
        <v>80</v>
      </c>
    </row>
    <row r="907" spans="1:21" ht="15.75" customHeight="1" x14ac:dyDescent="0.25">
      <c r="A907" s="27" t="s">
        <v>5702</v>
      </c>
      <c r="B907" s="28" t="s">
        <v>5703</v>
      </c>
      <c r="C907" s="29" t="s">
        <v>5704</v>
      </c>
      <c r="D907" s="37" t="s">
        <v>109</v>
      </c>
      <c r="E907" s="29" t="s">
        <v>98</v>
      </c>
      <c r="F907" s="31">
        <v>368</v>
      </c>
      <c r="G907" s="24" t="s">
        <v>85</v>
      </c>
      <c r="H907" s="29" t="s">
        <v>129</v>
      </c>
      <c r="I907" s="32" t="s">
        <v>5705</v>
      </c>
      <c r="J907" s="28" t="s">
        <v>5706</v>
      </c>
      <c r="K907" s="29"/>
      <c r="L907" s="27"/>
      <c r="M907" s="28"/>
      <c r="N907" s="38"/>
      <c r="O907" s="34"/>
      <c r="P907" s="34"/>
      <c r="Q907" s="35" t="s">
        <v>78</v>
      </c>
      <c r="R907" s="35" t="s">
        <v>79</v>
      </c>
      <c r="S907" s="35" t="s">
        <v>61</v>
      </c>
      <c r="T907" s="35" t="s">
        <v>62</v>
      </c>
      <c r="U907" s="36" t="s">
        <v>80</v>
      </c>
    </row>
    <row r="908" spans="1:21" ht="15.75" customHeight="1" x14ac:dyDescent="0.25">
      <c r="A908" s="9" t="s">
        <v>5707</v>
      </c>
      <c r="B908" s="10" t="s">
        <v>5708</v>
      </c>
      <c r="C908" s="11" t="s">
        <v>5709</v>
      </c>
      <c r="D908" s="12" t="s">
        <v>1631</v>
      </c>
      <c r="E908" s="11" t="s">
        <v>67</v>
      </c>
      <c r="F908" s="13">
        <v>21.2</v>
      </c>
      <c r="G908" s="20" t="s">
        <v>119</v>
      </c>
      <c r="H908" s="11" t="s">
        <v>421</v>
      </c>
      <c r="I908" s="15" t="s">
        <v>5710</v>
      </c>
      <c r="J908" s="10" t="s">
        <v>5711</v>
      </c>
      <c r="K908" s="11" t="s">
        <v>5712</v>
      </c>
      <c r="L908" s="9" t="s">
        <v>140</v>
      </c>
      <c r="M908" s="10" t="s">
        <v>141</v>
      </c>
      <c r="N908" s="16" t="s">
        <v>75</v>
      </c>
      <c r="O908" s="17" t="s">
        <v>5713</v>
      </c>
      <c r="P908" s="17" t="s">
        <v>5714</v>
      </c>
      <c r="Q908" s="18" t="s">
        <v>78</v>
      </c>
      <c r="R908" s="18" t="s">
        <v>79</v>
      </c>
      <c r="S908" s="18" t="s">
        <v>61</v>
      </c>
      <c r="T908" s="18" t="s">
        <v>62</v>
      </c>
      <c r="U908" s="19" t="s">
        <v>80</v>
      </c>
    </row>
    <row r="909" spans="1:21" ht="15.75" customHeight="1" x14ac:dyDescent="0.25">
      <c r="A909" s="27" t="s">
        <v>5715</v>
      </c>
      <c r="B909" s="28" t="s">
        <v>5716</v>
      </c>
      <c r="C909" s="29" t="s">
        <v>5717</v>
      </c>
      <c r="D909" s="30" t="s">
        <v>5718</v>
      </c>
      <c r="E909" s="29" t="s">
        <v>47</v>
      </c>
      <c r="F909" s="31">
        <v>222</v>
      </c>
      <c r="G909" s="20" t="s">
        <v>85</v>
      </c>
      <c r="H909" s="29" t="s">
        <v>129</v>
      </c>
      <c r="I909" s="32" t="s">
        <v>5719</v>
      </c>
      <c r="J909" s="28" t="s">
        <v>5720</v>
      </c>
      <c r="K909" s="29" t="s">
        <v>5721</v>
      </c>
      <c r="L909" s="27" t="s">
        <v>90</v>
      </c>
      <c r="M909" s="28" t="s">
        <v>91</v>
      </c>
      <c r="N909" s="33" t="s">
        <v>75</v>
      </c>
      <c r="O909" s="34" t="s">
        <v>355</v>
      </c>
      <c r="P909" s="34" t="s">
        <v>356</v>
      </c>
      <c r="Q909" s="35" t="s">
        <v>78</v>
      </c>
      <c r="R909" s="35" t="s">
        <v>79</v>
      </c>
      <c r="S909" s="35" t="s">
        <v>61</v>
      </c>
      <c r="T909" s="35" t="s">
        <v>62</v>
      </c>
      <c r="U909" s="36" t="s">
        <v>80</v>
      </c>
    </row>
    <row r="910" spans="1:21" ht="15.75" customHeight="1" x14ac:dyDescent="0.25">
      <c r="A910" s="9" t="s">
        <v>5722</v>
      </c>
      <c r="B910" s="10" t="s">
        <v>5723</v>
      </c>
      <c r="C910" s="11" t="s">
        <v>5724</v>
      </c>
      <c r="D910" s="21" t="s">
        <v>109</v>
      </c>
      <c r="E910" s="11" t="s">
        <v>98</v>
      </c>
      <c r="F910" s="13">
        <v>238</v>
      </c>
      <c r="G910" s="25" t="s">
        <v>110</v>
      </c>
      <c r="H910" s="11" t="s">
        <v>129</v>
      </c>
      <c r="I910" s="15" t="s">
        <v>5725</v>
      </c>
      <c r="J910" s="10" t="s">
        <v>5726</v>
      </c>
      <c r="K910" s="11" t="s">
        <v>5721</v>
      </c>
      <c r="L910" s="9" t="s">
        <v>90</v>
      </c>
      <c r="M910" s="10" t="s">
        <v>91</v>
      </c>
      <c r="N910" s="22"/>
      <c r="O910" s="17"/>
      <c r="P910" s="17"/>
      <c r="Q910" s="18" t="s">
        <v>78</v>
      </c>
      <c r="R910" s="18" t="s">
        <v>79</v>
      </c>
      <c r="S910" s="18" t="s">
        <v>61</v>
      </c>
      <c r="T910" s="18" t="s">
        <v>62</v>
      </c>
      <c r="U910" s="19" t="s">
        <v>80</v>
      </c>
    </row>
    <row r="911" spans="1:21" ht="15.75" customHeight="1" x14ac:dyDescent="0.25">
      <c r="A911" s="27" t="s">
        <v>5727</v>
      </c>
      <c r="B911" s="28" t="s">
        <v>5728</v>
      </c>
      <c r="C911" s="29" t="s">
        <v>5729</v>
      </c>
      <c r="D911" s="37" t="s">
        <v>109</v>
      </c>
      <c r="E911" s="29" t="s">
        <v>47</v>
      </c>
      <c r="F911" s="31">
        <v>126</v>
      </c>
      <c r="G911" s="14" t="s">
        <v>119</v>
      </c>
      <c r="H911" s="29" t="s">
        <v>330</v>
      </c>
      <c r="I911" s="32" t="s">
        <v>5730</v>
      </c>
      <c r="J911" s="28" t="s">
        <v>5731</v>
      </c>
      <c r="K911" s="29" t="s">
        <v>3267</v>
      </c>
      <c r="L911" s="27" t="s">
        <v>158</v>
      </c>
      <c r="M911" s="28" t="s">
        <v>159</v>
      </c>
      <c r="N911" s="38"/>
      <c r="O911" s="34"/>
      <c r="P911" s="34"/>
      <c r="Q911" s="35" t="s">
        <v>78</v>
      </c>
      <c r="R911" s="35" t="s">
        <v>79</v>
      </c>
      <c r="S911" s="35" t="s">
        <v>61</v>
      </c>
      <c r="T911" s="35" t="s">
        <v>62</v>
      </c>
      <c r="U911" s="36" t="s">
        <v>80</v>
      </c>
    </row>
    <row r="912" spans="1:21" ht="15.75" customHeight="1" x14ac:dyDescent="0.25">
      <c r="A912" s="9" t="s">
        <v>5732</v>
      </c>
      <c r="B912" s="10" t="s">
        <v>5733</v>
      </c>
      <c r="C912" s="11" t="s">
        <v>5734</v>
      </c>
      <c r="D912" s="21" t="s">
        <v>109</v>
      </c>
      <c r="E912" s="11" t="s">
        <v>47</v>
      </c>
      <c r="F912" s="13">
        <v>123</v>
      </c>
      <c r="G912" s="14" t="s">
        <v>119</v>
      </c>
      <c r="H912" s="11" t="s">
        <v>330</v>
      </c>
      <c r="I912" s="15" t="s">
        <v>5735</v>
      </c>
      <c r="J912" s="10" t="s">
        <v>5736</v>
      </c>
      <c r="K912" s="11" t="s">
        <v>903</v>
      </c>
      <c r="L912" s="9" t="s">
        <v>158</v>
      </c>
      <c r="M912" s="10" t="s">
        <v>159</v>
      </c>
      <c r="N912" s="22"/>
      <c r="O912" s="17"/>
      <c r="P912" s="17"/>
      <c r="Q912" s="18" t="s">
        <v>78</v>
      </c>
      <c r="R912" s="18" t="s">
        <v>79</v>
      </c>
      <c r="S912" s="18" t="s">
        <v>61</v>
      </c>
      <c r="T912" s="18" t="s">
        <v>62</v>
      </c>
      <c r="U912" s="19" t="s">
        <v>80</v>
      </c>
    </row>
    <row r="913" spans="1:21" ht="15.75" customHeight="1" x14ac:dyDescent="0.25">
      <c r="A913" s="27" t="s">
        <v>5737</v>
      </c>
      <c r="B913" s="28" t="s">
        <v>5738</v>
      </c>
      <c r="C913" s="29" t="s">
        <v>5739</v>
      </c>
      <c r="D913" s="37" t="s">
        <v>109</v>
      </c>
      <c r="E913" s="29" t="s">
        <v>98</v>
      </c>
      <c r="F913" s="31">
        <v>327</v>
      </c>
      <c r="G913" s="24" t="s">
        <v>85</v>
      </c>
      <c r="H913" s="29" t="s">
        <v>129</v>
      </c>
      <c r="I913" s="32" t="s">
        <v>5740</v>
      </c>
      <c r="J913" s="28" t="s">
        <v>5741</v>
      </c>
      <c r="K913" s="29"/>
      <c r="L913" s="27"/>
      <c r="M913" s="28"/>
      <c r="N913" s="38"/>
      <c r="O913" s="34"/>
      <c r="P913" s="34"/>
      <c r="Q913" s="35" t="s">
        <v>78</v>
      </c>
      <c r="R913" s="35" t="s">
        <v>79</v>
      </c>
      <c r="S913" s="35" t="s">
        <v>61</v>
      </c>
      <c r="T913" s="35" t="s">
        <v>62</v>
      </c>
      <c r="U913" s="36" t="s">
        <v>80</v>
      </c>
    </row>
    <row r="914" spans="1:21" ht="15.75" customHeight="1" x14ac:dyDescent="0.25">
      <c r="A914" s="9" t="s">
        <v>5742</v>
      </c>
      <c r="B914" s="10" t="s">
        <v>5743</v>
      </c>
      <c r="C914" s="11" t="s">
        <v>5744</v>
      </c>
      <c r="D914" s="12" t="s">
        <v>5745</v>
      </c>
      <c r="E914" s="11" t="s">
        <v>47</v>
      </c>
      <c r="F914" s="13">
        <v>219</v>
      </c>
      <c r="G914" s="20" t="s">
        <v>85</v>
      </c>
      <c r="H914" s="11" t="s">
        <v>129</v>
      </c>
      <c r="I914" s="15" t="s">
        <v>5746</v>
      </c>
      <c r="J914" s="10" t="s">
        <v>5747</v>
      </c>
      <c r="K914" s="11" t="s">
        <v>507</v>
      </c>
      <c r="L914" s="9" t="s">
        <v>90</v>
      </c>
      <c r="M914" s="10" t="s">
        <v>91</v>
      </c>
      <c r="N914" s="16" t="s">
        <v>75</v>
      </c>
      <c r="O914" s="17" t="s">
        <v>92</v>
      </c>
      <c r="P914" s="17" t="s">
        <v>93</v>
      </c>
      <c r="Q914" s="18" t="s">
        <v>78</v>
      </c>
      <c r="R914" s="18" t="s">
        <v>79</v>
      </c>
      <c r="S914" s="18" t="s">
        <v>61</v>
      </c>
      <c r="T914" s="18" t="s">
        <v>62</v>
      </c>
      <c r="U914" s="19" t="s">
        <v>80</v>
      </c>
    </row>
    <row r="915" spans="1:21" ht="15.75" customHeight="1" x14ac:dyDescent="0.25">
      <c r="A915" s="27" t="s">
        <v>5748</v>
      </c>
      <c r="B915" s="28" t="s">
        <v>5749</v>
      </c>
      <c r="C915" s="29" t="s">
        <v>5750</v>
      </c>
      <c r="D915" s="30" t="s">
        <v>5751</v>
      </c>
      <c r="E915" s="29" t="s">
        <v>98</v>
      </c>
      <c r="F915" s="31">
        <v>371</v>
      </c>
      <c r="G915" s="26" t="s">
        <v>119</v>
      </c>
      <c r="H915" s="29" t="s">
        <v>129</v>
      </c>
      <c r="I915" s="32" t="s">
        <v>5752</v>
      </c>
      <c r="J915" s="28" t="s">
        <v>5753</v>
      </c>
      <c r="K915" s="29"/>
      <c r="L915" s="27"/>
      <c r="M915" s="28"/>
      <c r="N915" s="39" t="s">
        <v>179</v>
      </c>
      <c r="O915" s="34" t="s">
        <v>1448</v>
      </c>
      <c r="P915" s="34" t="s">
        <v>1449</v>
      </c>
      <c r="Q915" s="35" t="s">
        <v>78</v>
      </c>
      <c r="R915" s="35" t="s">
        <v>79</v>
      </c>
      <c r="S915" s="35" t="s">
        <v>61</v>
      </c>
      <c r="T915" s="35" t="s">
        <v>62</v>
      </c>
      <c r="U915" s="36" t="s">
        <v>80</v>
      </c>
    </row>
    <row r="916" spans="1:21" ht="15.75" customHeight="1" x14ac:dyDescent="0.25">
      <c r="A916" s="9" t="s">
        <v>5754</v>
      </c>
      <c r="B916" s="10" t="s">
        <v>5755</v>
      </c>
      <c r="C916" s="11" t="s">
        <v>5756</v>
      </c>
      <c r="D916" s="21" t="s">
        <v>109</v>
      </c>
      <c r="E916" s="11" t="s">
        <v>47</v>
      </c>
      <c r="F916" s="11" t="s">
        <v>5757</v>
      </c>
      <c r="G916" s="25" t="s">
        <v>110</v>
      </c>
      <c r="H916" s="11" t="s">
        <v>330</v>
      </c>
      <c r="I916" s="15" t="s">
        <v>5758</v>
      </c>
      <c r="J916" s="10" t="s">
        <v>5759</v>
      </c>
      <c r="K916" s="11" t="s">
        <v>5760</v>
      </c>
      <c r="L916" s="9" t="s">
        <v>90</v>
      </c>
      <c r="M916" s="10" t="s">
        <v>91</v>
      </c>
      <c r="N916" s="22"/>
      <c r="O916" s="17"/>
      <c r="P916" s="17"/>
      <c r="Q916" s="18" t="s">
        <v>78</v>
      </c>
      <c r="R916" s="18" t="s">
        <v>79</v>
      </c>
      <c r="S916" s="18" t="s">
        <v>61</v>
      </c>
      <c r="T916" s="18" t="s">
        <v>62</v>
      </c>
      <c r="U916" s="19" t="s">
        <v>80</v>
      </c>
    </row>
    <row r="917" spans="1:21" ht="15.75" customHeight="1" x14ac:dyDescent="0.25">
      <c r="A917" s="27" t="s">
        <v>5761</v>
      </c>
      <c r="B917" s="28" t="s">
        <v>5762</v>
      </c>
      <c r="C917" s="29" t="s">
        <v>5763</v>
      </c>
      <c r="D917" s="37" t="s">
        <v>109</v>
      </c>
      <c r="E917" s="29" t="s">
        <v>47</v>
      </c>
      <c r="F917" s="29" t="s">
        <v>5764</v>
      </c>
      <c r="G917" s="24" t="s">
        <v>85</v>
      </c>
      <c r="H917" s="29" t="s">
        <v>120</v>
      </c>
      <c r="I917" s="32" t="s">
        <v>5765</v>
      </c>
      <c r="J917" s="28" t="s">
        <v>5766</v>
      </c>
      <c r="K917" s="29" t="s">
        <v>5767</v>
      </c>
      <c r="L917" s="27" t="s">
        <v>197</v>
      </c>
      <c r="M917" s="28" t="s">
        <v>198</v>
      </c>
      <c r="N917" s="38"/>
      <c r="O917" s="34"/>
      <c r="P917" s="34"/>
      <c r="Q917" s="35" t="s">
        <v>78</v>
      </c>
      <c r="R917" s="35" t="s">
        <v>79</v>
      </c>
      <c r="S917" s="35" t="s">
        <v>61</v>
      </c>
      <c r="T917" s="35" t="s">
        <v>62</v>
      </c>
      <c r="U917" s="36" t="s">
        <v>80</v>
      </c>
    </row>
    <row r="918" spans="1:21" ht="15.75" customHeight="1" x14ac:dyDescent="0.25">
      <c r="A918" s="9" t="s">
        <v>5768</v>
      </c>
      <c r="B918" s="10" t="s">
        <v>5769</v>
      </c>
      <c r="C918" s="11" t="s">
        <v>5770</v>
      </c>
      <c r="D918" s="12" t="s">
        <v>5571</v>
      </c>
      <c r="E918" s="11" t="s">
        <v>47</v>
      </c>
      <c r="F918" s="13">
        <v>101.6</v>
      </c>
      <c r="G918" s="14" t="s">
        <v>708</v>
      </c>
      <c r="H918" s="11" t="s">
        <v>330</v>
      </c>
      <c r="I918" s="15" t="s">
        <v>5771</v>
      </c>
      <c r="J918" s="10" t="s">
        <v>5772</v>
      </c>
      <c r="K918" s="11" t="s">
        <v>5773</v>
      </c>
      <c r="L918" s="9" t="s">
        <v>158</v>
      </c>
      <c r="M918" s="10" t="s">
        <v>159</v>
      </c>
      <c r="N918" s="16" t="s">
        <v>75</v>
      </c>
      <c r="O918" s="17" t="s">
        <v>712</v>
      </c>
      <c r="P918" s="17" t="s">
        <v>713</v>
      </c>
      <c r="Q918" s="18" t="s">
        <v>78</v>
      </c>
      <c r="R918" s="18" t="s">
        <v>79</v>
      </c>
      <c r="S918" s="18" t="s">
        <v>61</v>
      </c>
      <c r="T918" s="18" t="s">
        <v>62</v>
      </c>
      <c r="U918" s="19" t="s">
        <v>80</v>
      </c>
    </row>
    <row r="919" spans="1:21" ht="15.75" customHeight="1" x14ac:dyDescent="0.25">
      <c r="A919" s="27" t="s">
        <v>5774</v>
      </c>
      <c r="B919" s="28" t="s">
        <v>5775</v>
      </c>
      <c r="C919" s="29" t="s">
        <v>5776</v>
      </c>
      <c r="D919" s="30" t="s">
        <v>2947</v>
      </c>
      <c r="E919" s="29" t="s">
        <v>47</v>
      </c>
      <c r="F919" s="31">
        <v>48</v>
      </c>
      <c r="G919" s="20" t="s">
        <v>119</v>
      </c>
      <c r="H919" s="29" t="s">
        <v>69</v>
      </c>
      <c r="I919" s="32" t="s">
        <v>5777</v>
      </c>
      <c r="J919" s="28" t="s">
        <v>5778</v>
      </c>
      <c r="K919" s="29" t="s">
        <v>5779</v>
      </c>
      <c r="L919" s="27" t="s">
        <v>158</v>
      </c>
      <c r="M919" s="28" t="s">
        <v>159</v>
      </c>
      <c r="N919" s="33" t="s">
        <v>75</v>
      </c>
      <c r="O919" s="34" t="s">
        <v>2951</v>
      </c>
      <c r="P919" s="34" t="s">
        <v>2952</v>
      </c>
      <c r="Q919" s="35" t="s">
        <v>78</v>
      </c>
      <c r="R919" s="35" t="s">
        <v>79</v>
      </c>
      <c r="S919" s="35" t="s">
        <v>61</v>
      </c>
      <c r="T919" s="35" t="s">
        <v>62</v>
      </c>
      <c r="U919" s="36" t="s">
        <v>80</v>
      </c>
    </row>
    <row r="920" spans="1:21" ht="15.75" customHeight="1" x14ac:dyDescent="0.25">
      <c r="A920" s="9" t="s">
        <v>5780</v>
      </c>
      <c r="B920" s="10" t="s">
        <v>5781</v>
      </c>
      <c r="C920" s="11" t="s">
        <v>5782</v>
      </c>
      <c r="D920" s="12" t="s">
        <v>5783</v>
      </c>
      <c r="E920" s="11" t="s">
        <v>47</v>
      </c>
      <c r="F920" s="13">
        <v>119</v>
      </c>
      <c r="G920" s="20" t="s">
        <v>119</v>
      </c>
      <c r="H920" s="11" t="s">
        <v>330</v>
      </c>
      <c r="I920" s="15" t="s">
        <v>5784</v>
      </c>
      <c r="J920" s="10" t="s">
        <v>5785</v>
      </c>
      <c r="K920" s="11" t="s">
        <v>5786</v>
      </c>
      <c r="L920" s="9" t="s">
        <v>481</v>
      </c>
      <c r="M920" s="10" t="s">
        <v>482</v>
      </c>
      <c r="N920" s="16" t="s">
        <v>75</v>
      </c>
      <c r="O920" s="17" t="s">
        <v>5787</v>
      </c>
      <c r="P920" s="17" t="s">
        <v>5788</v>
      </c>
      <c r="Q920" s="18" t="s">
        <v>78</v>
      </c>
      <c r="R920" s="18" t="s">
        <v>79</v>
      </c>
      <c r="S920" s="18" t="s">
        <v>61</v>
      </c>
      <c r="T920" s="18" t="s">
        <v>62</v>
      </c>
      <c r="U920" s="19" t="s">
        <v>80</v>
      </c>
    </row>
    <row r="921" spans="1:21" ht="15.75" customHeight="1" x14ac:dyDescent="0.25">
      <c r="A921" s="27" t="s">
        <v>5789</v>
      </c>
      <c r="B921" s="28" t="s">
        <v>5790</v>
      </c>
      <c r="C921" s="29" t="s">
        <v>5791</v>
      </c>
      <c r="D921" s="30" t="s">
        <v>2633</v>
      </c>
      <c r="E921" s="29" t="s">
        <v>47</v>
      </c>
      <c r="F921" s="31">
        <v>190</v>
      </c>
      <c r="G921" s="20" t="s">
        <v>119</v>
      </c>
      <c r="H921" s="29" t="s">
        <v>86</v>
      </c>
      <c r="I921" s="32" t="s">
        <v>5792</v>
      </c>
      <c r="J921" s="28" t="s">
        <v>5793</v>
      </c>
      <c r="K921" s="29"/>
      <c r="L921" s="27"/>
      <c r="M921" s="28"/>
      <c r="N921" s="39" t="s">
        <v>179</v>
      </c>
      <c r="O921" s="34" t="s">
        <v>180</v>
      </c>
      <c r="P921" s="34" t="s">
        <v>181</v>
      </c>
      <c r="Q921" s="35" t="s">
        <v>78</v>
      </c>
      <c r="R921" s="35" t="s">
        <v>79</v>
      </c>
      <c r="S921" s="35" t="s">
        <v>61</v>
      </c>
      <c r="T921" s="35" t="s">
        <v>62</v>
      </c>
      <c r="U921" s="36" t="s">
        <v>80</v>
      </c>
    </row>
    <row r="922" spans="1:21" ht="15.75" customHeight="1" x14ac:dyDescent="0.25">
      <c r="A922" s="9" t="s">
        <v>5794</v>
      </c>
      <c r="B922" s="10" t="s">
        <v>5795</v>
      </c>
      <c r="C922" s="11" t="s">
        <v>5796</v>
      </c>
      <c r="D922" s="21" t="s">
        <v>109</v>
      </c>
      <c r="E922" s="11" t="s">
        <v>98</v>
      </c>
      <c r="F922" s="11" t="s">
        <v>5797</v>
      </c>
      <c r="G922" s="25" t="s">
        <v>110</v>
      </c>
      <c r="H922" s="11" t="s">
        <v>100</v>
      </c>
      <c r="I922" s="15" t="s">
        <v>5798</v>
      </c>
      <c r="J922" s="10" t="s">
        <v>5799</v>
      </c>
      <c r="K922" s="11" t="s">
        <v>933</v>
      </c>
      <c r="L922" s="9" t="s">
        <v>90</v>
      </c>
      <c r="M922" s="10" t="s">
        <v>91</v>
      </c>
      <c r="N922" s="22"/>
      <c r="O922" s="17"/>
      <c r="P922" s="17"/>
      <c r="Q922" s="18" t="s">
        <v>78</v>
      </c>
      <c r="R922" s="18" t="s">
        <v>79</v>
      </c>
      <c r="S922" s="18" t="s">
        <v>61</v>
      </c>
      <c r="T922" s="18" t="s">
        <v>62</v>
      </c>
      <c r="U922" s="19" t="s">
        <v>80</v>
      </c>
    </row>
    <row r="923" spans="1:21" ht="15.75" customHeight="1" x14ac:dyDescent="0.25">
      <c r="A923" s="27" t="s">
        <v>5800</v>
      </c>
      <c r="B923" s="28" t="s">
        <v>5801</v>
      </c>
      <c r="C923" s="29" t="s">
        <v>5802</v>
      </c>
      <c r="D923" s="37" t="s">
        <v>109</v>
      </c>
      <c r="E923" s="29" t="s">
        <v>98</v>
      </c>
      <c r="F923" s="29"/>
      <c r="G923" s="25" t="s">
        <v>110</v>
      </c>
      <c r="H923" s="29" t="s">
        <v>120</v>
      </c>
      <c r="I923" s="32" t="s">
        <v>5803</v>
      </c>
      <c r="J923" s="28" t="s">
        <v>5804</v>
      </c>
      <c r="K923" s="29" t="s">
        <v>606</v>
      </c>
      <c r="L923" s="27" t="s">
        <v>90</v>
      </c>
      <c r="M923" s="28" t="s">
        <v>91</v>
      </c>
      <c r="N923" s="38"/>
      <c r="O923" s="34"/>
      <c r="P923" s="34"/>
      <c r="Q923" s="35" t="s">
        <v>78</v>
      </c>
      <c r="R923" s="35" t="s">
        <v>79</v>
      </c>
      <c r="S923" s="35" t="s">
        <v>61</v>
      </c>
      <c r="T923" s="35" t="s">
        <v>62</v>
      </c>
      <c r="U923" s="36" t="s">
        <v>80</v>
      </c>
    </row>
    <row r="924" spans="1:21" ht="15.75" customHeight="1" x14ac:dyDescent="0.25">
      <c r="A924" s="9" t="s">
        <v>5805</v>
      </c>
      <c r="B924" s="10" t="s">
        <v>5806</v>
      </c>
      <c r="C924" s="11" t="s">
        <v>5807</v>
      </c>
      <c r="D924" s="21" t="s">
        <v>109</v>
      </c>
      <c r="E924" s="11" t="s">
        <v>98</v>
      </c>
      <c r="F924" s="11" t="s">
        <v>5808</v>
      </c>
      <c r="G924" s="25" t="s">
        <v>110</v>
      </c>
      <c r="H924" s="11" t="s">
        <v>120</v>
      </c>
      <c r="I924" s="15" t="s">
        <v>5809</v>
      </c>
      <c r="J924" s="10" t="s">
        <v>5810</v>
      </c>
      <c r="K924" s="11" t="s">
        <v>606</v>
      </c>
      <c r="L924" s="9" t="s">
        <v>90</v>
      </c>
      <c r="M924" s="10" t="s">
        <v>91</v>
      </c>
      <c r="N924" s="22"/>
      <c r="O924" s="17"/>
      <c r="P924" s="17"/>
      <c r="Q924" s="18" t="s">
        <v>78</v>
      </c>
      <c r="R924" s="18" t="s">
        <v>79</v>
      </c>
      <c r="S924" s="18" t="s">
        <v>61</v>
      </c>
      <c r="T924" s="18" t="s">
        <v>62</v>
      </c>
      <c r="U924" s="19" t="s">
        <v>80</v>
      </c>
    </row>
    <row r="925" spans="1:21" ht="15.75" customHeight="1" x14ac:dyDescent="0.25">
      <c r="A925" s="27" t="s">
        <v>5811</v>
      </c>
      <c r="B925" s="28" t="s">
        <v>5812</v>
      </c>
      <c r="C925" s="29" t="s">
        <v>5813</v>
      </c>
      <c r="D925" s="37" t="s">
        <v>109</v>
      </c>
      <c r="E925" s="29" t="s">
        <v>67</v>
      </c>
      <c r="F925" s="31">
        <v>-34.5</v>
      </c>
      <c r="G925" s="20" t="s">
        <v>68</v>
      </c>
      <c r="H925" s="29" t="s">
        <v>69</v>
      </c>
      <c r="I925" s="32" t="s">
        <v>5814</v>
      </c>
      <c r="J925" s="28" t="s">
        <v>5815</v>
      </c>
      <c r="K925" s="29" t="s">
        <v>5816</v>
      </c>
      <c r="L925" s="27" t="s">
        <v>140</v>
      </c>
      <c r="M925" s="28" t="s">
        <v>141</v>
      </c>
      <c r="N925" s="38"/>
      <c r="O925" s="34"/>
      <c r="P925" s="34"/>
      <c r="Q925" s="35" t="s">
        <v>78</v>
      </c>
      <c r="R925" s="35" t="s">
        <v>79</v>
      </c>
      <c r="S925" s="35" t="s">
        <v>61</v>
      </c>
      <c r="T925" s="35" t="s">
        <v>62</v>
      </c>
      <c r="U925" s="36" t="s">
        <v>80</v>
      </c>
    </row>
    <row r="926" spans="1:21" ht="15.75" customHeight="1" x14ac:dyDescent="0.25">
      <c r="A926" s="9" t="s">
        <v>5817</v>
      </c>
      <c r="B926" s="10" t="s">
        <v>5818</v>
      </c>
      <c r="C926" s="11" t="s">
        <v>5819</v>
      </c>
      <c r="D926" s="21" t="s">
        <v>109</v>
      </c>
      <c r="E926" s="11" t="s">
        <v>47</v>
      </c>
      <c r="F926" s="13">
        <v>176.4</v>
      </c>
      <c r="G926" s="25" t="s">
        <v>110</v>
      </c>
      <c r="H926" s="11" t="s">
        <v>86</v>
      </c>
      <c r="I926" s="15" t="s">
        <v>5820</v>
      </c>
      <c r="J926" s="10" t="s">
        <v>5821</v>
      </c>
      <c r="K926" s="11" t="s">
        <v>5822</v>
      </c>
      <c r="L926" s="9" t="s">
        <v>481</v>
      </c>
      <c r="M926" s="10" t="s">
        <v>482</v>
      </c>
      <c r="N926" s="22"/>
      <c r="O926" s="17"/>
      <c r="P926" s="17"/>
      <c r="Q926" s="18" t="s">
        <v>78</v>
      </c>
      <c r="R926" s="18" t="s">
        <v>79</v>
      </c>
      <c r="S926" s="18" t="s">
        <v>61</v>
      </c>
      <c r="T926" s="18" t="s">
        <v>62</v>
      </c>
      <c r="U926" s="19" t="s">
        <v>80</v>
      </c>
    </row>
    <row r="927" spans="1:21" ht="15.75" customHeight="1" x14ac:dyDescent="0.25">
      <c r="A927" s="27" t="s">
        <v>5823</v>
      </c>
      <c r="B927" s="28" t="s">
        <v>5824</v>
      </c>
      <c r="C927" s="29" t="s">
        <v>5825</v>
      </c>
      <c r="D927" s="37" t="s">
        <v>109</v>
      </c>
      <c r="E927" s="29" t="s">
        <v>98</v>
      </c>
      <c r="F927" s="29"/>
      <c r="G927" s="25" t="s">
        <v>110</v>
      </c>
      <c r="H927" s="29" t="s">
        <v>120</v>
      </c>
      <c r="I927" s="32" t="s">
        <v>5826</v>
      </c>
      <c r="J927" s="28" t="s">
        <v>5827</v>
      </c>
      <c r="K927" s="29" t="s">
        <v>606</v>
      </c>
      <c r="L927" s="27" t="s">
        <v>90</v>
      </c>
      <c r="M927" s="28" t="s">
        <v>91</v>
      </c>
      <c r="N927" s="38"/>
      <c r="O927" s="34"/>
      <c r="P927" s="34"/>
      <c r="Q927" s="35" t="s">
        <v>78</v>
      </c>
      <c r="R927" s="35" t="s">
        <v>79</v>
      </c>
      <c r="S927" s="35" t="s">
        <v>61</v>
      </c>
      <c r="T927" s="35" t="s">
        <v>62</v>
      </c>
      <c r="U927" s="36" t="s">
        <v>80</v>
      </c>
    </row>
    <row r="928" spans="1:21" ht="15.75" customHeight="1" x14ac:dyDescent="0.25">
      <c r="A928" s="9" t="s">
        <v>5828</v>
      </c>
      <c r="B928" s="10" t="s">
        <v>5829</v>
      </c>
      <c r="C928" s="11" t="s">
        <v>5830</v>
      </c>
      <c r="D928" s="12" t="s">
        <v>5831</v>
      </c>
      <c r="E928" s="11" t="s">
        <v>98</v>
      </c>
      <c r="F928" s="11" t="s">
        <v>5832</v>
      </c>
      <c r="G928" s="20" t="s">
        <v>119</v>
      </c>
      <c r="H928" s="11" t="s">
        <v>120</v>
      </c>
      <c r="I928" s="15" t="s">
        <v>5833</v>
      </c>
      <c r="J928" s="10" t="s">
        <v>5834</v>
      </c>
      <c r="K928" s="11" t="s">
        <v>5835</v>
      </c>
      <c r="L928" s="9" t="s">
        <v>90</v>
      </c>
      <c r="M928" s="10" t="s">
        <v>91</v>
      </c>
      <c r="N928" s="16" t="s">
        <v>75</v>
      </c>
      <c r="O928" s="17" t="s">
        <v>124</v>
      </c>
      <c r="P928" s="17" t="s">
        <v>125</v>
      </c>
      <c r="Q928" s="18" t="s">
        <v>78</v>
      </c>
      <c r="R928" s="18" t="s">
        <v>79</v>
      </c>
      <c r="S928" s="18" t="s">
        <v>61</v>
      </c>
      <c r="T928" s="18" t="s">
        <v>62</v>
      </c>
      <c r="U928" s="19" t="s">
        <v>80</v>
      </c>
    </row>
    <row r="929" spans="1:21" ht="15.75" customHeight="1" x14ac:dyDescent="0.25">
      <c r="A929" s="27" t="s">
        <v>5836</v>
      </c>
      <c r="B929" s="28" t="s">
        <v>5837</v>
      </c>
      <c r="C929" s="29" t="s">
        <v>5838</v>
      </c>
      <c r="D929" s="37" t="s">
        <v>109</v>
      </c>
      <c r="E929" s="29" t="s">
        <v>98</v>
      </c>
      <c r="F929" s="31">
        <v>1700</v>
      </c>
      <c r="G929" s="25" t="s">
        <v>110</v>
      </c>
      <c r="H929" s="29" t="s">
        <v>129</v>
      </c>
      <c r="I929" s="32" t="s">
        <v>5839</v>
      </c>
      <c r="J929" s="28" t="s">
        <v>5840</v>
      </c>
      <c r="K929" s="29" t="s">
        <v>5841</v>
      </c>
      <c r="L929" s="27" t="s">
        <v>90</v>
      </c>
      <c r="M929" s="28" t="s">
        <v>91</v>
      </c>
      <c r="N929" s="38"/>
      <c r="O929" s="34"/>
      <c r="P929" s="34"/>
      <c r="Q929" s="35" t="s">
        <v>78</v>
      </c>
      <c r="R929" s="35" t="s">
        <v>79</v>
      </c>
      <c r="S929" s="35" t="s">
        <v>61</v>
      </c>
      <c r="T929" s="35" t="s">
        <v>62</v>
      </c>
      <c r="U929" s="36" t="s">
        <v>80</v>
      </c>
    </row>
    <row r="930" spans="1:21" ht="15.75" customHeight="1" x14ac:dyDescent="0.25">
      <c r="A930" s="9" t="s">
        <v>5842</v>
      </c>
      <c r="B930" s="10" t="s">
        <v>5843</v>
      </c>
      <c r="C930" s="11" t="s">
        <v>5844</v>
      </c>
      <c r="D930" s="21" t="s">
        <v>109</v>
      </c>
      <c r="E930" s="11" t="s">
        <v>98</v>
      </c>
      <c r="F930" s="11"/>
      <c r="G930" s="24" t="s">
        <v>85</v>
      </c>
      <c r="H930" s="11" t="s">
        <v>120</v>
      </c>
      <c r="I930" s="15" t="s">
        <v>5845</v>
      </c>
      <c r="J930" s="10" t="s">
        <v>5846</v>
      </c>
      <c r="K930" s="11"/>
      <c r="L930" s="9"/>
      <c r="M930" s="10"/>
      <c r="N930" s="22"/>
      <c r="O930" s="17"/>
      <c r="P930" s="17"/>
      <c r="Q930" s="18" t="s">
        <v>78</v>
      </c>
      <c r="R930" s="18" t="s">
        <v>79</v>
      </c>
      <c r="S930" s="18" t="s">
        <v>61</v>
      </c>
      <c r="T930" s="18" t="s">
        <v>62</v>
      </c>
      <c r="U930" s="19" t="s">
        <v>80</v>
      </c>
    </row>
    <row r="931" spans="1:21" ht="15.75" customHeight="1" x14ac:dyDescent="0.25">
      <c r="A931" s="27" t="s">
        <v>5847</v>
      </c>
      <c r="B931" s="28" t="s">
        <v>5848</v>
      </c>
      <c r="C931" s="29" t="s">
        <v>5849</v>
      </c>
      <c r="D931" s="37" t="s">
        <v>109</v>
      </c>
      <c r="E931" s="29" t="s">
        <v>47</v>
      </c>
      <c r="F931" s="31">
        <v>114</v>
      </c>
      <c r="G931" s="25" t="s">
        <v>110</v>
      </c>
      <c r="H931" s="29" t="s">
        <v>330</v>
      </c>
      <c r="I931" s="32" t="s">
        <v>5850</v>
      </c>
      <c r="J931" s="28" t="s">
        <v>5851</v>
      </c>
      <c r="K931" s="29" t="s">
        <v>5852</v>
      </c>
      <c r="L931" s="27" t="s">
        <v>481</v>
      </c>
      <c r="M931" s="28" t="s">
        <v>482</v>
      </c>
      <c r="N931" s="38"/>
      <c r="O931" s="34"/>
      <c r="P931" s="34"/>
      <c r="Q931" s="35" t="s">
        <v>78</v>
      </c>
      <c r="R931" s="35" t="s">
        <v>79</v>
      </c>
      <c r="S931" s="35" t="s">
        <v>61</v>
      </c>
      <c r="T931" s="35" t="s">
        <v>62</v>
      </c>
      <c r="U931" s="36" t="s">
        <v>80</v>
      </c>
    </row>
    <row r="932" spans="1:21" ht="15.75" customHeight="1" x14ac:dyDescent="0.25">
      <c r="A932" s="9" t="s">
        <v>5853</v>
      </c>
      <c r="B932" s="10" t="s">
        <v>5854</v>
      </c>
      <c r="C932" s="11" t="s">
        <v>5855</v>
      </c>
      <c r="D932" s="21" t="s">
        <v>109</v>
      </c>
      <c r="E932" s="11" t="s">
        <v>98</v>
      </c>
      <c r="F932" s="11" t="s">
        <v>118</v>
      </c>
      <c r="G932" s="24" t="s">
        <v>85</v>
      </c>
      <c r="H932" s="11" t="s">
        <v>120</v>
      </c>
      <c r="I932" s="15" t="s">
        <v>5856</v>
      </c>
      <c r="J932" s="10" t="s">
        <v>5857</v>
      </c>
      <c r="K932" s="11"/>
      <c r="L932" s="9"/>
      <c r="M932" s="10"/>
      <c r="N932" s="22"/>
      <c r="O932" s="17"/>
      <c r="P932" s="17"/>
      <c r="Q932" s="18" t="s">
        <v>78</v>
      </c>
      <c r="R932" s="18" t="s">
        <v>79</v>
      </c>
      <c r="S932" s="18" t="s">
        <v>61</v>
      </c>
      <c r="T932" s="18" t="s">
        <v>62</v>
      </c>
      <c r="U932" s="19" t="s">
        <v>80</v>
      </c>
    </row>
    <row r="933" spans="1:21" ht="15.75" customHeight="1" x14ac:dyDescent="0.25">
      <c r="A933" s="27" t="s">
        <v>5858</v>
      </c>
      <c r="B933" s="28" t="s">
        <v>5859</v>
      </c>
      <c r="C933" s="29" t="s">
        <v>5860</v>
      </c>
      <c r="D933" s="37" t="s">
        <v>109</v>
      </c>
      <c r="E933" s="29" t="s">
        <v>98</v>
      </c>
      <c r="F933" s="29" t="s">
        <v>5861</v>
      </c>
      <c r="G933" s="25" t="s">
        <v>110</v>
      </c>
      <c r="H933" s="29" t="s">
        <v>100</v>
      </c>
      <c r="I933" s="32" t="s">
        <v>5862</v>
      </c>
      <c r="J933" s="28" t="s">
        <v>5863</v>
      </c>
      <c r="K933" s="29" t="s">
        <v>4623</v>
      </c>
      <c r="L933" s="27" t="s">
        <v>481</v>
      </c>
      <c r="M933" s="28" t="s">
        <v>482</v>
      </c>
      <c r="N933" s="38"/>
      <c r="O933" s="34"/>
      <c r="P933" s="34"/>
      <c r="Q933" s="35" t="s">
        <v>78</v>
      </c>
      <c r="R933" s="35" t="s">
        <v>79</v>
      </c>
      <c r="S933" s="35" t="s">
        <v>61</v>
      </c>
      <c r="T933" s="35" t="s">
        <v>62</v>
      </c>
      <c r="U933" s="36" t="s">
        <v>80</v>
      </c>
    </row>
    <row r="934" spans="1:21" ht="15.75" customHeight="1" x14ac:dyDescent="0.25">
      <c r="A934" s="9" t="s">
        <v>5864</v>
      </c>
      <c r="B934" s="10" t="s">
        <v>5865</v>
      </c>
      <c r="C934" s="11" t="s">
        <v>5866</v>
      </c>
      <c r="D934" s="21" t="s">
        <v>109</v>
      </c>
      <c r="E934" s="11" t="s">
        <v>98</v>
      </c>
      <c r="F934" s="11" t="s">
        <v>118</v>
      </c>
      <c r="G934" s="24" t="s">
        <v>85</v>
      </c>
      <c r="H934" s="11" t="s">
        <v>100</v>
      </c>
      <c r="I934" s="15" t="s">
        <v>5867</v>
      </c>
      <c r="J934" s="10" t="s">
        <v>5868</v>
      </c>
      <c r="K934" s="11"/>
      <c r="L934" s="9"/>
      <c r="M934" s="10"/>
      <c r="N934" s="22"/>
      <c r="O934" s="17"/>
      <c r="P934" s="17"/>
      <c r="Q934" s="18" t="s">
        <v>78</v>
      </c>
      <c r="R934" s="18" t="s">
        <v>79</v>
      </c>
      <c r="S934" s="18" t="s">
        <v>61</v>
      </c>
      <c r="T934" s="18" t="s">
        <v>62</v>
      </c>
      <c r="U934" s="19" t="s">
        <v>80</v>
      </c>
    </row>
    <row r="935" spans="1:21" ht="15.75" customHeight="1" x14ac:dyDescent="0.25">
      <c r="A935" s="27" t="s">
        <v>5869</v>
      </c>
      <c r="B935" s="28" t="s">
        <v>5870</v>
      </c>
      <c r="C935" s="29" t="s">
        <v>5871</v>
      </c>
      <c r="D935" s="30" t="s">
        <v>5872</v>
      </c>
      <c r="E935" s="29" t="s">
        <v>98</v>
      </c>
      <c r="F935" s="29"/>
      <c r="G935" s="20" t="s">
        <v>85</v>
      </c>
      <c r="H935" s="29" t="s">
        <v>100</v>
      </c>
      <c r="I935" s="32" t="s">
        <v>5873</v>
      </c>
      <c r="J935" s="28" t="s">
        <v>5874</v>
      </c>
      <c r="K935" s="29" t="s">
        <v>1997</v>
      </c>
      <c r="L935" s="27" t="s">
        <v>90</v>
      </c>
      <c r="M935" s="28" t="s">
        <v>91</v>
      </c>
      <c r="N935" s="33" t="s">
        <v>75</v>
      </c>
      <c r="O935" s="34" t="s">
        <v>92</v>
      </c>
      <c r="P935" s="34" t="s">
        <v>93</v>
      </c>
      <c r="Q935" s="35" t="s">
        <v>78</v>
      </c>
      <c r="R935" s="35" t="s">
        <v>79</v>
      </c>
      <c r="S935" s="35" t="s">
        <v>61</v>
      </c>
      <c r="T935" s="35" t="s">
        <v>62</v>
      </c>
      <c r="U935" s="36" t="s">
        <v>80</v>
      </c>
    </row>
    <row r="936" spans="1:21" ht="15.75" customHeight="1" x14ac:dyDescent="0.25">
      <c r="A936" s="9" t="s">
        <v>5875</v>
      </c>
      <c r="B936" s="10" t="s">
        <v>5876</v>
      </c>
      <c r="C936" s="11" t="s">
        <v>5877</v>
      </c>
      <c r="D936" s="21" t="s">
        <v>109</v>
      </c>
      <c r="E936" s="11" t="s">
        <v>47</v>
      </c>
      <c r="F936" s="13">
        <v>138</v>
      </c>
      <c r="G936" s="25" t="s">
        <v>110</v>
      </c>
      <c r="H936" s="11" t="s">
        <v>330</v>
      </c>
      <c r="I936" s="15" t="s">
        <v>5878</v>
      </c>
      <c r="J936" s="10" t="s">
        <v>5879</v>
      </c>
      <c r="K936" s="11" t="s">
        <v>5880</v>
      </c>
      <c r="L936" s="9" t="s">
        <v>481</v>
      </c>
      <c r="M936" s="10" t="s">
        <v>482</v>
      </c>
      <c r="N936" s="22"/>
      <c r="O936" s="17"/>
      <c r="P936" s="17"/>
      <c r="Q936" s="18" t="s">
        <v>78</v>
      </c>
      <c r="R936" s="18" t="s">
        <v>79</v>
      </c>
      <c r="S936" s="18" t="s">
        <v>61</v>
      </c>
      <c r="T936" s="18" t="s">
        <v>62</v>
      </c>
      <c r="U936" s="19" t="s">
        <v>80</v>
      </c>
    </row>
    <row r="937" spans="1:21" ht="15.75" customHeight="1" x14ac:dyDescent="0.25">
      <c r="A937" s="27" t="s">
        <v>5881</v>
      </c>
      <c r="B937" s="28" t="s">
        <v>5882</v>
      </c>
      <c r="C937" s="29" t="s">
        <v>5883</v>
      </c>
      <c r="D937" s="37" t="s">
        <v>109</v>
      </c>
      <c r="E937" s="29" t="s">
        <v>98</v>
      </c>
      <c r="F937" s="29" t="s">
        <v>5884</v>
      </c>
      <c r="G937" s="24" t="s">
        <v>85</v>
      </c>
      <c r="H937" s="29" t="s">
        <v>100</v>
      </c>
      <c r="I937" s="32" t="s">
        <v>5885</v>
      </c>
      <c r="J937" s="28" t="s">
        <v>5886</v>
      </c>
      <c r="K937" s="29" t="s">
        <v>1477</v>
      </c>
      <c r="L937" s="27" t="s">
        <v>1350</v>
      </c>
      <c r="M937" s="28" t="s">
        <v>1351</v>
      </c>
      <c r="N937" s="38"/>
      <c r="O937" s="34"/>
      <c r="P937" s="34"/>
      <c r="Q937" s="35" t="s">
        <v>78</v>
      </c>
      <c r="R937" s="35" t="s">
        <v>79</v>
      </c>
      <c r="S937" s="35" t="s">
        <v>61</v>
      </c>
      <c r="T937" s="35" t="s">
        <v>62</v>
      </c>
      <c r="U937" s="36" t="s">
        <v>80</v>
      </c>
    </row>
    <row r="938" spans="1:21" ht="15.75" customHeight="1" x14ac:dyDescent="0.25">
      <c r="A938" s="9" t="s">
        <v>5887</v>
      </c>
      <c r="B938" s="10" t="s">
        <v>5888</v>
      </c>
      <c r="C938" s="11" t="s">
        <v>5889</v>
      </c>
      <c r="D938" s="12" t="s">
        <v>5890</v>
      </c>
      <c r="E938" s="11" t="s">
        <v>98</v>
      </c>
      <c r="F938" s="13">
        <v>300</v>
      </c>
      <c r="G938" s="20" t="s">
        <v>85</v>
      </c>
      <c r="H938" s="11" t="s">
        <v>129</v>
      </c>
      <c r="I938" s="15" t="s">
        <v>5891</v>
      </c>
      <c r="J938" s="10" t="s">
        <v>5892</v>
      </c>
      <c r="K938" s="11"/>
      <c r="L938" s="9"/>
      <c r="M938" s="10"/>
      <c r="N938" s="23" t="s">
        <v>179</v>
      </c>
      <c r="O938" s="17" t="s">
        <v>292</v>
      </c>
      <c r="P938" s="17" t="s">
        <v>293</v>
      </c>
      <c r="Q938" s="18" t="s">
        <v>78</v>
      </c>
      <c r="R938" s="18" t="s">
        <v>79</v>
      </c>
      <c r="S938" s="18" t="s">
        <v>61</v>
      </c>
      <c r="T938" s="18" t="s">
        <v>62</v>
      </c>
      <c r="U938" s="19" t="s">
        <v>80</v>
      </c>
    </row>
    <row r="939" spans="1:21" ht="15.75" customHeight="1" x14ac:dyDescent="0.25">
      <c r="A939" s="27" t="s">
        <v>5893</v>
      </c>
      <c r="B939" s="28" t="s">
        <v>5894</v>
      </c>
      <c r="C939" s="29" t="s">
        <v>5895</v>
      </c>
      <c r="D939" s="30" t="s">
        <v>3005</v>
      </c>
      <c r="E939" s="29" t="s">
        <v>47</v>
      </c>
      <c r="F939" s="29">
        <v>410</v>
      </c>
      <c r="G939" s="20" t="s">
        <v>119</v>
      </c>
      <c r="H939" s="29" t="s">
        <v>330</v>
      </c>
      <c r="I939" s="32" t="s">
        <v>5896</v>
      </c>
      <c r="J939" s="28" t="s">
        <v>5897</v>
      </c>
      <c r="K939" s="29" t="s">
        <v>5898</v>
      </c>
      <c r="L939" s="27" t="s">
        <v>90</v>
      </c>
      <c r="M939" s="28" t="s">
        <v>91</v>
      </c>
      <c r="N939" s="33" t="s">
        <v>75</v>
      </c>
      <c r="O939" s="34" t="s">
        <v>292</v>
      </c>
      <c r="P939" s="34" t="s">
        <v>293</v>
      </c>
      <c r="Q939" s="35" t="s">
        <v>78</v>
      </c>
      <c r="R939" s="35" t="s">
        <v>79</v>
      </c>
      <c r="S939" s="35" t="s">
        <v>61</v>
      </c>
      <c r="T939" s="35" t="s">
        <v>62</v>
      </c>
      <c r="U939" s="36" t="s">
        <v>80</v>
      </c>
    </row>
    <row r="940" spans="1:21" ht="15.75" customHeight="1" x14ac:dyDescent="0.25">
      <c r="A940" s="9" t="s">
        <v>5899</v>
      </c>
      <c r="B940" s="10" t="s">
        <v>5900</v>
      </c>
      <c r="C940" s="11" t="s">
        <v>5901</v>
      </c>
      <c r="D940" s="21" t="s">
        <v>109</v>
      </c>
      <c r="E940" s="11" t="s">
        <v>98</v>
      </c>
      <c r="F940" s="13">
        <v>304</v>
      </c>
      <c r="G940" s="24" t="s">
        <v>85</v>
      </c>
      <c r="H940" s="11" t="s">
        <v>129</v>
      </c>
      <c r="I940" s="15" t="s">
        <v>5902</v>
      </c>
      <c r="J940" s="10" t="s">
        <v>5903</v>
      </c>
      <c r="K940" s="11"/>
      <c r="L940" s="9"/>
      <c r="M940" s="10"/>
      <c r="N940" s="22"/>
      <c r="O940" s="17"/>
      <c r="P940" s="17"/>
      <c r="Q940" s="18" t="s">
        <v>78</v>
      </c>
      <c r="R940" s="18" t="s">
        <v>79</v>
      </c>
      <c r="S940" s="18" t="s">
        <v>61</v>
      </c>
      <c r="T940" s="18" t="s">
        <v>62</v>
      </c>
      <c r="U940" s="19" t="s">
        <v>80</v>
      </c>
    </row>
    <row r="941" spans="1:21" ht="15.75" customHeight="1" x14ac:dyDescent="0.25">
      <c r="A941" s="27" t="s">
        <v>5904</v>
      </c>
      <c r="B941" s="28" t="s">
        <v>5905</v>
      </c>
      <c r="C941" s="29" t="s">
        <v>5906</v>
      </c>
      <c r="D941" s="37" t="s">
        <v>109</v>
      </c>
      <c r="E941" s="29" t="s">
        <v>47</v>
      </c>
      <c r="F941" s="31">
        <v>370</v>
      </c>
      <c r="G941" s="24" t="s">
        <v>85</v>
      </c>
      <c r="H941" s="29" t="s">
        <v>129</v>
      </c>
      <c r="I941" s="32" t="s">
        <v>5907</v>
      </c>
      <c r="J941" s="28" t="s">
        <v>5908</v>
      </c>
      <c r="K941" s="29"/>
      <c r="L941" s="27"/>
      <c r="M941" s="28"/>
      <c r="N941" s="38"/>
      <c r="O941" s="34"/>
      <c r="P941" s="34"/>
      <c r="Q941" s="35" t="s">
        <v>78</v>
      </c>
      <c r="R941" s="35" t="s">
        <v>79</v>
      </c>
      <c r="S941" s="35" t="s">
        <v>61</v>
      </c>
      <c r="T941" s="35" t="s">
        <v>62</v>
      </c>
      <c r="U941" s="36" t="s">
        <v>80</v>
      </c>
    </row>
    <row r="942" spans="1:21" ht="15.75" customHeight="1" x14ac:dyDescent="0.25">
      <c r="A942" s="9" t="s">
        <v>5909</v>
      </c>
      <c r="B942" s="10" t="s">
        <v>5910</v>
      </c>
      <c r="C942" s="11" t="s">
        <v>5911</v>
      </c>
      <c r="D942" s="12" t="s">
        <v>3318</v>
      </c>
      <c r="E942" s="11" t="s">
        <v>47</v>
      </c>
      <c r="F942" s="11" t="s">
        <v>5912</v>
      </c>
      <c r="G942" s="26" t="s">
        <v>119</v>
      </c>
      <c r="H942" s="11" t="s">
        <v>120</v>
      </c>
      <c r="I942" s="15" t="s">
        <v>5913</v>
      </c>
      <c r="J942" s="10" t="s">
        <v>5914</v>
      </c>
      <c r="K942" s="11" t="s">
        <v>348</v>
      </c>
      <c r="L942" s="9" t="s">
        <v>197</v>
      </c>
      <c r="M942" s="10" t="s">
        <v>198</v>
      </c>
      <c r="N942" s="23" t="s">
        <v>179</v>
      </c>
      <c r="O942" s="17" t="s">
        <v>934</v>
      </c>
      <c r="P942" s="17" t="s">
        <v>935</v>
      </c>
      <c r="Q942" s="18" t="s">
        <v>78</v>
      </c>
      <c r="R942" s="18" t="s">
        <v>79</v>
      </c>
      <c r="S942" s="18" t="s">
        <v>61</v>
      </c>
      <c r="T942" s="18" t="s">
        <v>62</v>
      </c>
      <c r="U942" s="19" t="s">
        <v>80</v>
      </c>
    </row>
    <row r="943" spans="1:21" ht="15.75" customHeight="1" x14ac:dyDescent="0.25">
      <c r="A943" s="27" t="s">
        <v>5915</v>
      </c>
      <c r="B943" s="28" t="s">
        <v>5916</v>
      </c>
      <c r="C943" s="29" t="s">
        <v>5917</v>
      </c>
      <c r="D943" s="37" t="s">
        <v>109</v>
      </c>
      <c r="E943" s="29" t="s">
        <v>47</v>
      </c>
      <c r="F943" s="31">
        <v>278</v>
      </c>
      <c r="G943" s="24" t="s">
        <v>85</v>
      </c>
      <c r="H943" s="29" t="s">
        <v>129</v>
      </c>
      <c r="I943" s="32" t="s">
        <v>5918</v>
      </c>
      <c r="J943" s="28" t="s">
        <v>5919</v>
      </c>
      <c r="K943" s="29"/>
      <c r="L943" s="27"/>
      <c r="M943" s="28"/>
      <c r="N943" s="38"/>
      <c r="O943" s="34"/>
      <c r="P943" s="34"/>
      <c r="Q943" s="35" t="s">
        <v>78</v>
      </c>
      <c r="R943" s="35" t="s">
        <v>79</v>
      </c>
      <c r="S943" s="35" t="s">
        <v>61</v>
      </c>
      <c r="T943" s="35" t="s">
        <v>62</v>
      </c>
      <c r="U943" s="36" t="s">
        <v>80</v>
      </c>
    </row>
    <row r="944" spans="1:21" ht="15.75" customHeight="1" x14ac:dyDescent="0.25">
      <c r="A944" s="9" t="s">
        <v>5920</v>
      </c>
      <c r="B944" s="10" t="s">
        <v>5921</v>
      </c>
      <c r="C944" s="11" t="s">
        <v>5922</v>
      </c>
      <c r="D944" s="21" t="s">
        <v>109</v>
      </c>
      <c r="E944" s="11" t="s">
        <v>47</v>
      </c>
      <c r="F944" s="13">
        <v>57</v>
      </c>
      <c r="G944" s="14" t="s">
        <v>119</v>
      </c>
      <c r="H944" s="11" t="s">
        <v>48</v>
      </c>
      <c r="I944" s="15" t="s">
        <v>5923</v>
      </c>
      <c r="J944" s="10" t="s">
        <v>5924</v>
      </c>
      <c r="K944" s="11" t="s">
        <v>5925</v>
      </c>
      <c r="L944" s="9" t="s">
        <v>158</v>
      </c>
      <c r="M944" s="10" t="s">
        <v>159</v>
      </c>
      <c r="N944" s="22"/>
      <c r="O944" s="17"/>
      <c r="P944" s="17"/>
      <c r="Q944" s="18" t="s">
        <v>78</v>
      </c>
      <c r="R944" s="18" t="s">
        <v>79</v>
      </c>
      <c r="S944" s="18" t="s">
        <v>61</v>
      </c>
      <c r="T944" s="18" t="s">
        <v>62</v>
      </c>
      <c r="U944" s="19" t="s">
        <v>80</v>
      </c>
    </row>
    <row r="945" spans="1:21" ht="15.75" customHeight="1" x14ac:dyDescent="0.25">
      <c r="A945" s="27" t="s">
        <v>5926</v>
      </c>
      <c r="B945" s="28" t="s">
        <v>5927</v>
      </c>
      <c r="C945" s="29" t="s">
        <v>5928</v>
      </c>
      <c r="D945" s="37" t="s">
        <v>109</v>
      </c>
      <c r="E945" s="29" t="s">
        <v>98</v>
      </c>
      <c r="F945" s="29" t="s">
        <v>5929</v>
      </c>
      <c r="G945" s="24" t="s">
        <v>85</v>
      </c>
      <c r="H945" s="29" t="s">
        <v>100</v>
      </c>
      <c r="I945" s="32" t="s">
        <v>5930</v>
      </c>
      <c r="J945" s="28" t="s">
        <v>5931</v>
      </c>
      <c r="K945" s="29" t="s">
        <v>1483</v>
      </c>
      <c r="L945" s="27" t="s">
        <v>1350</v>
      </c>
      <c r="M945" s="28" t="s">
        <v>1351</v>
      </c>
      <c r="N945" s="38"/>
      <c r="O945" s="34"/>
      <c r="P945" s="34"/>
      <c r="Q945" s="35" t="s">
        <v>78</v>
      </c>
      <c r="R945" s="35" t="s">
        <v>79</v>
      </c>
      <c r="S945" s="35" t="s">
        <v>61</v>
      </c>
      <c r="T945" s="35" t="s">
        <v>62</v>
      </c>
      <c r="U945" s="36" t="s">
        <v>80</v>
      </c>
    </row>
    <row r="946" spans="1:21" ht="15.75" customHeight="1" x14ac:dyDescent="0.25">
      <c r="A946" s="9" t="s">
        <v>5932</v>
      </c>
      <c r="B946" s="10" t="s">
        <v>5933</v>
      </c>
      <c r="C946" s="11" t="s">
        <v>5934</v>
      </c>
      <c r="D946" s="21" t="s">
        <v>109</v>
      </c>
      <c r="E946" s="11" t="s">
        <v>47</v>
      </c>
      <c r="F946" s="13">
        <v>220</v>
      </c>
      <c r="G946" s="24" t="s">
        <v>85</v>
      </c>
      <c r="H946" s="11" t="s">
        <v>129</v>
      </c>
      <c r="I946" s="15" t="s">
        <v>5935</v>
      </c>
      <c r="J946" s="10" t="s">
        <v>5936</v>
      </c>
      <c r="K946" s="11"/>
      <c r="L946" s="9"/>
      <c r="M946" s="10"/>
      <c r="N946" s="22"/>
      <c r="O946" s="17"/>
      <c r="P946" s="17"/>
      <c r="Q946" s="18" t="s">
        <v>78</v>
      </c>
      <c r="R946" s="18" t="s">
        <v>79</v>
      </c>
      <c r="S946" s="18" t="s">
        <v>61</v>
      </c>
      <c r="T946" s="18" t="s">
        <v>62</v>
      </c>
      <c r="U946" s="19" t="s">
        <v>80</v>
      </c>
    </row>
    <row r="947" spans="1:21" ht="15.75" customHeight="1" x14ac:dyDescent="0.25">
      <c r="A947" s="27" t="s">
        <v>5937</v>
      </c>
      <c r="B947" s="28" t="s">
        <v>5938</v>
      </c>
      <c r="C947" s="29" t="s">
        <v>5939</v>
      </c>
      <c r="D947" s="37" t="s">
        <v>109</v>
      </c>
      <c r="E947" s="29" t="s">
        <v>1264</v>
      </c>
      <c r="F947" s="29" t="s">
        <v>118</v>
      </c>
      <c r="G947" s="24" t="s">
        <v>85</v>
      </c>
      <c r="H947" s="29" t="s">
        <v>100</v>
      </c>
      <c r="I947" s="32" t="s">
        <v>5940</v>
      </c>
      <c r="J947" s="28" t="s">
        <v>5941</v>
      </c>
      <c r="K947" s="29"/>
      <c r="L947" s="27"/>
      <c r="M947" s="28"/>
      <c r="N947" s="38"/>
      <c r="O947" s="34"/>
      <c r="P947" s="34"/>
      <c r="Q947" s="35" t="s">
        <v>78</v>
      </c>
      <c r="R947" s="35" t="s">
        <v>79</v>
      </c>
      <c r="S947" s="35" t="s">
        <v>61</v>
      </c>
      <c r="T947" s="35" t="s">
        <v>62</v>
      </c>
      <c r="U947" s="36" t="s">
        <v>80</v>
      </c>
    </row>
    <row r="948" spans="1:21" ht="15.75" customHeight="1" x14ac:dyDescent="0.25">
      <c r="A948" s="9" t="s">
        <v>5942</v>
      </c>
      <c r="B948" s="10" t="s">
        <v>5943</v>
      </c>
      <c r="C948" s="11" t="s">
        <v>5944</v>
      </c>
      <c r="D948" s="12" t="s">
        <v>5945</v>
      </c>
      <c r="E948" s="11" t="s">
        <v>47</v>
      </c>
      <c r="F948" s="13">
        <v>224</v>
      </c>
      <c r="G948" s="20" t="s">
        <v>85</v>
      </c>
      <c r="H948" s="11" t="s">
        <v>129</v>
      </c>
      <c r="I948" s="15" t="s">
        <v>5946</v>
      </c>
      <c r="J948" s="10" t="s">
        <v>5947</v>
      </c>
      <c r="K948" s="11" t="s">
        <v>2519</v>
      </c>
      <c r="L948" s="9" t="s">
        <v>90</v>
      </c>
      <c r="M948" s="10" t="s">
        <v>91</v>
      </c>
      <c r="N948" s="16" t="s">
        <v>75</v>
      </c>
      <c r="O948" s="17" t="s">
        <v>292</v>
      </c>
      <c r="P948" s="17" t="s">
        <v>293</v>
      </c>
      <c r="Q948" s="18" t="s">
        <v>78</v>
      </c>
      <c r="R948" s="18" t="s">
        <v>79</v>
      </c>
      <c r="S948" s="18" t="s">
        <v>61</v>
      </c>
      <c r="T948" s="18" t="s">
        <v>62</v>
      </c>
      <c r="U948" s="19" t="s">
        <v>80</v>
      </c>
    </row>
    <row r="949" spans="1:21" ht="15.75" customHeight="1" x14ac:dyDescent="0.25">
      <c r="A949" s="27" t="s">
        <v>5948</v>
      </c>
      <c r="B949" s="28" t="s">
        <v>5949</v>
      </c>
      <c r="C949" s="29" t="s">
        <v>5950</v>
      </c>
      <c r="D949" s="30" t="s">
        <v>5951</v>
      </c>
      <c r="E949" s="29" t="s">
        <v>98</v>
      </c>
      <c r="F949" s="31">
        <v>243</v>
      </c>
      <c r="G949" s="20" t="s">
        <v>119</v>
      </c>
      <c r="H949" s="29" t="s">
        <v>129</v>
      </c>
      <c r="I949" s="32" t="s">
        <v>5952</v>
      </c>
      <c r="J949" s="28" t="s">
        <v>5953</v>
      </c>
      <c r="K949" s="29" t="s">
        <v>2519</v>
      </c>
      <c r="L949" s="27" t="s">
        <v>90</v>
      </c>
      <c r="M949" s="28" t="s">
        <v>91</v>
      </c>
      <c r="N949" s="33" t="s">
        <v>75</v>
      </c>
      <c r="O949" s="34" t="s">
        <v>292</v>
      </c>
      <c r="P949" s="34" t="s">
        <v>293</v>
      </c>
      <c r="Q949" s="35" t="s">
        <v>78</v>
      </c>
      <c r="R949" s="35" t="s">
        <v>79</v>
      </c>
      <c r="S949" s="35" t="s">
        <v>61</v>
      </c>
      <c r="T949" s="35" t="s">
        <v>62</v>
      </c>
      <c r="U949" s="36" t="s">
        <v>80</v>
      </c>
    </row>
    <row r="950" spans="1:21" ht="15.75" customHeight="1" x14ac:dyDescent="0.25">
      <c r="A950" s="9" t="s">
        <v>5954</v>
      </c>
      <c r="B950" s="10" t="s">
        <v>5955</v>
      </c>
      <c r="C950" s="11" t="s">
        <v>5956</v>
      </c>
      <c r="D950" s="21" t="s">
        <v>109</v>
      </c>
      <c r="E950" s="11" t="s">
        <v>98</v>
      </c>
      <c r="F950" s="11" t="s">
        <v>118</v>
      </c>
      <c r="G950" s="25" t="s">
        <v>110</v>
      </c>
      <c r="H950" s="11" t="s">
        <v>120</v>
      </c>
      <c r="I950" s="15" t="s">
        <v>5957</v>
      </c>
      <c r="J950" s="10" t="s">
        <v>5958</v>
      </c>
      <c r="K950" s="11" t="s">
        <v>5959</v>
      </c>
      <c r="L950" s="9" t="s">
        <v>90</v>
      </c>
      <c r="M950" s="10" t="s">
        <v>91</v>
      </c>
      <c r="N950" s="22"/>
      <c r="O950" s="17"/>
      <c r="P950" s="17"/>
      <c r="Q950" s="18" t="s">
        <v>78</v>
      </c>
      <c r="R950" s="18" t="s">
        <v>79</v>
      </c>
      <c r="S950" s="18" t="s">
        <v>61</v>
      </c>
      <c r="T950" s="18" t="s">
        <v>62</v>
      </c>
      <c r="U950" s="19" t="s">
        <v>80</v>
      </c>
    </row>
    <row r="951" spans="1:21" ht="15.75" customHeight="1" x14ac:dyDescent="0.25">
      <c r="A951" s="27" t="s">
        <v>5960</v>
      </c>
      <c r="B951" s="28" t="s">
        <v>5961</v>
      </c>
      <c r="C951" s="29" t="s">
        <v>5962</v>
      </c>
      <c r="D951" s="37" t="s">
        <v>109</v>
      </c>
      <c r="E951" s="29" t="s">
        <v>47</v>
      </c>
      <c r="F951" s="31">
        <v>41</v>
      </c>
      <c r="G951" s="14" t="s">
        <v>119</v>
      </c>
      <c r="H951" s="29" t="s">
        <v>69</v>
      </c>
      <c r="I951" s="32" t="s">
        <v>5963</v>
      </c>
      <c r="J951" s="28" t="s">
        <v>5964</v>
      </c>
      <c r="K951" s="29" t="s">
        <v>5965</v>
      </c>
      <c r="L951" s="27" t="s">
        <v>1203</v>
      </c>
      <c r="M951" s="28" t="s">
        <v>1204</v>
      </c>
      <c r="N951" s="38"/>
      <c r="O951" s="34"/>
      <c r="P951" s="34"/>
      <c r="Q951" s="35" t="s">
        <v>78</v>
      </c>
      <c r="R951" s="35" t="s">
        <v>79</v>
      </c>
      <c r="S951" s="35" t="s">
        <v>61</v>
      </c>
      <c r="T951" s="35" t="s">
        <v>62</v>
      </c>
      <c r="U951" s="36" t="s">
        <v>80</v>
      </c>
    </row>
    <row r="952" spans="1:21" ht="15.75" customHeight="1" x14ac:dyDescent="0.25">
      <c r="A952" s="9" t="s">
        <v>5966</v>
      </c>
      <c r="B952" s="10" t="s">
        <v>5967</v>
      </c>
      <c r="C952" s="11" t="s">
        <v>5968</v>
      </c>
      <c r="D952" s="21" t="s">
        <v>109</v>
      </c>
      <c r="E952" s="11" t="s">
        <v>1264</v>
      </c>
      <c r="F952" s="11" t="s">
        <v>118</v>
      </c>
      <c r="G952" s="24" t="s">
        <v>85</v>
      </c>
      <c r="H952" s="11" t="s">
        <v>100</v>
      </c>
      <c r="I952" s="15" t="s">
        <v>5969</v>
      </c>
      <c r="J952" s="10" t="s">
        <v>5970</v>
      </c>
      <c r="K952" s="11"/>
      <c r="L952" s="9"/>
      <c r="M952" s="10"/>
      <c r="N952" s="22"/>
      <c r="O952" s="17"/>
      <c r="P952" s="17"/>
      <c r="Q952" s="18" t="s">
        <v>78</v>
      </c>
      <c r="R952" s="18" t="s">
        <v>79</v>
      </c>
      <c r="S952" s="18" t="s">
        <v>61</v>
      </c>
      <c r="T952" s="18" t="s">
        <v>62</v>
      </c>
      <c r="U952" s="19" t="s">
        <v>80</v>
      </c>
    </row>
    <row r="953" spans="1:21" ht="15.75" customHeight="1" x14ac:dyDescent="0.25">
      <c r="A953" s="27" t="s">
        <v>5971</v>
      </c>
      <c r="B953" s="28" t="s">
        <v>5972</v>
      </c>
      <c r="C953" s="29" t="s">
        <v>5973</v>
      </c>
      <c r="D953" s="30" t="s">
        <v>5974</v>
      </c>
      <c r="E953" s="29"/>
      <c r="F953" s="29"/>
      <c r="G953" s="20" t="s">
        <v>119</v>
      </c>
      <c r="H953" s="29" t="s">
        <v>120</v>
      </c>
      <c r="I953" s="32" t="s">
        <v>5975</v>
      </c>
      <c r="J953" s="28" t="s">
        <v>5976</v>
      </c>
      <c r="K953" s="29" t="s">
        <v>5977</v>
      </c>
      <c r="L953" s="27" t="s">
        <v>90</v>
      </c>
      <c r="M953" s="28" t="s">
        <v>91</v>
      </c>
      <c r="N953" s="33" t="s">
        <v>75</v>
      </c>
      <c r="O953" s="34" t="s">
        <v>508</v>
      </c>
      <c r="P953" s="34" t="s">
        <v>509</v>
      </c>
      <c r="Q953" s="35" t="s">
        <v>78</v>
      </c>
      <c r="R953" s="35" t="s">
        <v>79</v>
      </c>
      <c r="S953" s="35" t="s">
        <v>61</v>
      </c>
      <c r="T953" s="35" t="s">
        <v>62</v>
      </c>
      <c r="U953" s="36" t="s">
        <v>80</v>
      </c>
    </row>
    <row r="954" spans="1:21" ht="15.75" customHeight="1" x14ac:dyDescent="0.25">
      <c r="A954" s="9" t="s">
        <v>5978</v>
      </c>
      <c r="B954" s="10" t="s">
        <v>5979</v>
      </c>
      <c r="C954" s="11" t="s">
        <v>5980</v>
      </c>
      <c r="D954" s="12" t="s">
        <v>5981</v>
      </c>
      <c r="E954" s="11" t="s">
        <v>98</v>
      </c>
      <c r="F954" s="11"/>
      <c r="G954" s="20" t="s">
        <v>119</v>
      </c>
      <c r="H954" s="11" t="s">
        <v>100</v>
      </c>
      <c r="I954" s="15" t="s">
        <v>5982</v>
      </c>
      <c r="J954" s="10" t="s">
        <v>5983</v>
      </c>
      <c r="K954" s="11" t="s">
        <v>5984</v>
      </c>
      <c r="L954" s="9" t="s">
        <v>90</v>
      </c>
      <c r="M954" s="10" t="s">
        <v>91</v>
      </c>
      <c r="N954" s="16" t="s">
        <v>75</v>
      </c>
      <c r="O954" s="17" t="s">
        <v>92</v>
      </c>
      <c r="P954" s="17" t="s">
        <v>93</v>
      </c>
      <c r="Q954" s="18" t="s">
        <v>78</v>
      </c>
      <c r="R954" s="18" t="s">
        <v>79</v>
      </c>
      <c r="S954" s="18" t="s">
        <v>61</v>
      </c>
      <c r="T954" s="18" t="s">
        <v>62</v>
      </c>
      <c r="U954" s="19" t="s">
        <v>80</v>
      </c>
    </row>
    <row r="955" spans="1:21" ht="15.75" customHeight="1" x14ac:dyDescent="0.25">
      <c r="A955" s="27" t="s">
        <v>5985</v>
      </c>
      <c r="B955" s="28" t="s">
        <v>5986</v>
      </c>
      <c r="C955" s="29" t="s">
        <v>5987</v>
      </c>
      <c r="D955" s="30" t="s">
        <v>5988</v>
      </c>
      <c r="E955" s="29" t="s">
        <v>98</v>
      </c>
      <c r="F955" s="29" t="s">
        <v>1283</v>
      </c>
      <c r="G955" s="20" t="s">
        <v>119</v>
      </c>
      <c r="H955" s="29" t="s">
        <v>100</v>
      </c>
      <c r="I955" s="32" t="s">
        <v>5989</v>
      </c>
      <c r="J955" s="28" t="s">
        <v>5990</v>
      </c>
      <c r="K955" s="29" t="s">
        <v>5991</v>
      </c>
      <c r="L955" s="27" t="s">
        <v>90</v>
      </c>
      <c r="M955" s="28" t="s">
        <v>91</v>
      </c>
      <c r="N955" s="33" t="s">
        <v>75</v>
      </c>
      <c r="O955" s="34" t="s">
        <v>124</v>
      </c>
      <c r="P955" s="34" t="s">
        <v>125</v>
      </c>
      <c r="Q955" s="35" t="s">
        <v>78</v>
      </c>
      <c r="R955" s="35" t="s">
        <v>79</v>
      </c>
      <c r="S955" s="35" t="s">
        <v>61</v>
      </c>
      <c r="T955" s="35" t="s">
        <v>62</v>
      </c>
      <c r="U955" s="36" t="s">
        <v>80</v>
      </c>
    </row>
    <row r="956" spans="1:21" ht="15.75" customHeight="1" x14ac:dyDescent="0.25">
      <c r="A956" s="9" t="s">
        <v>5992</v>
      </c>
      <c r="B956" s="10" t="s">
        <v>5993</v>
      </c>
      <c r="C956" s="11" t="s">
        <v>5994</v>
      </c>
      <c r="D956" s="12" t="s">
        <v>5995</v>
      </c>
      <c r="E956" s="11" t="s">
        <v>98</v>
      </c>
      <c r="F956" s="13">
        <v>302</v>
      </c>
      <c r="G956" s="20" t="s">
        <v>85</v>
      </c>
      <c r="H956" s="11" t="s">
        <v>129</v>
      </c>
      <c r="I956" s="15" t="s">
        <v>5996</v>
      </c>
      <c r="J956" s="10" t="s">
        <v>5997</v>
      </c>
      <c r="K956" s="11" t="s">
        <v>5998</v>
      </c>
      <c r="L956" s="9" t="s">
        <v>90</v>
      </c>
      <c r="M956" s="10" t="s">
        <v>91</v>
      </c>
      <c r="N956" s="16" t="s">
        <v>75</v>
      </c>
      <c r="O956" s="17" t="s">
        <v>1663</v>
      </c>
      <c r="P956" s="17" t="s">
        <v>1664</v>
      </c>
      <c r="Q956" s="18" t="s">
        <v>78</v>
      </c>
      <c r="R956" s="18" t="s">
        <v>79</v>
      </c>
      <c r="S956" s="18" t="s">
        <v>61</v>
      </c>
      <c r="T956" s="18" t="s">
        <v>62</v>
      </c>
      <c r="U956" s="19" t="s">
        <v>80</v>
      </c>
    </row>
    <row r="957" spans="1:21" ht="15.75" customHeight="1" x14ac:dyDescent="0.25">
      <c r="A957" s="27" t="s">
        <v>5999</v>
      </c>
      <c r="B957" s="28" t="s">
        <v>6000</v>
      </c>
      <c r="C957" s="29" t="s">
        <v>6001</v>
      </c>
      <c r="D957" s="30" t="s">
        <v>6002</v>
      </c>
      <c r="E957" s="29" t="s">
        <v>98</v>
      </c>
      <c r="F957" s="29"/>
      <c r="G957" s="20" t="s">
        <v>119</v>
      </c>
      <c r="H957" s="29" t="s">
        <v>100</v>
      </c>
      <c r="I957" s="32" t="s">
        <v>6003</v>
      </c>
      <c r="J957" s="28" t="s">
        <v>6004</v>
      </c>
      <c r="K957" s="29" t="s">
        <v>6005</v>
      </c>
      <c r="L957" s="27" t="s">
        <v>90</v>
      </c>
      <c r="M957" s="28" t="s">
        <v>91</v>
      </c>
      <c r="N957" s="33" t="s">
        <v>75</v>
      </c>
      <c r="O957" s="34" t="s">
        <v>124</v>
      </c>
      <c r="P957" s="34" t="s">
        <v>125</v>
      </c>
      <c r="Q957" s="35" t="s">
        <v>78</v>
      </c>
      <c r="R957" s="35" t="s">
        <v>79</v>
      </c>
      <c r="S957" s="35" t="s">
        <v>61</v>
      </c>
      <c r="T957" s="35" t="s">
        <v>62</v>
      </c>
      <c r="U957" s="36" t="s">
        <v>80</v>
      </c>
    </row>
    <row r="958" spans="1:21" ht="15.75" customHeight="1" x14ac:dyDescent="0.25">
      <c r="A958" s="9" t="s">
        <v>6006</v>
      </c>
      <c r="B958" s="10" t="s">
        <v>6007</v>
      </c>
      <c r="C958" s="11" t="s">
        <v>6008</v>
      </c>
      <c r="D958" s="12" t="s">
        <v>6009</v>
      </c>
      <c r="E958" s="11" t="s">
        <v>98</v>
      </c>
      <c r="F958" s="11"/>
      <c r="G958" s="20" t="s">
        <v>119</v>
      </c>
      <c r="H958" s="11" t="s">
        <v>120</v>
      </c>
      <c r="I958" s="15" t="s">
        <v>6010</v>
      </c>
      <c r="J958" s="10" t="s">
        <v>6011</v>
      </c>
      <c r="K958" s="11" t="s">
        <v>6012</v>
      </c>
      <c r="L958" s="9" t="s">
        <v>90</v>
      </c>
      <c r="M958" s="10" t="s">
        <v>91</v>
      </c>
      <c r="N958" s="16" t="s">
        <v>75</v>
      </c>
      <c r="O958" s="17" t="s">
        <v>124</v>
      </c>
      <c r="P958" s="17" t="s">
        <v>125</v>
      </c>
      <c r="Q958" s="18" t="s">
        <v>78</v>
      </c>
      <c r="R958" s="18" t="s">
        <v>79</v>
      </c>
      <c r="S958" s="18" t="s">
        <v>61</v>
      </c>
      <c r="T958" s="18" t="s">
        <v>62</v>
      </c>
      <c r="U958" s="19" t="s">
        <v>80</v>
      </c>
    </row>
    <row r="959" spans="1:21" ht="15.75" customHeight="1" x14ac:dyDescent="0.25">
      <c r="A959" s="27" t="s">
        <v>6013</v>
      </c>
      <c r="B959" s="28" t="s">
        <v>6014</v>
      </c>
      <c r="C959" s="29" t="s">
        <v>6015</v>
      </c>
      <c r="D959" s="30" t="s">
        <v>6016</v>
      </c>
      <c r="E959" s="29" t="s">
        <v>98</v>
      </c>
      <c r="F959" s="29"/>
      <c r="G959" s="20" t="s">
        <v>119</v>
      </c>
      <c r="H959" s="29" t="s">
        <v>100</v>
      </c>
      <c r="I959" s="32" t="s">
        <v>6017</v>
      </c>
      <c r="J959" s="28" t="s">
        <v>6018</v>
      </c>
      <c r="K959" s="29" t="s">
        <v>6019</v>
      </c>
      <c r="L959" s="27" t="s">
        <v>90</v>
      </c>
      <c r="M959" s="28" t="s">
        <v>91</v>
      </c>
      <c r="N959" s="33" t="s">
        <v>75</v>
      </c>
      <c r="O959" s="34" t="s">
        <v>124</v>
      </c>
      <c r="P959" s="34" t="s">
        <v>125</v>
      </c>
      <c r="Q959" s="35" t="s">
        <v>78</v>
      </c>
      <c r="R959" s="35" t="s">
        <v>79</v>
      </c>
      <c r="S959" s="35" t="s">
        <v>61</v>
      </c>
      <c r="T959" s="35" t="s">
        <v>62</v>
      </c>
      <c r="U959" s="36" t="s">
        <v>80</v>
      </c>
    </row>
    <row r="960" spans="1:21" ht="15.75" customHeight="1" x14ac:dyDescent="0.25">
      <c r="A960" s="9" t="s">
        <v>6020</v>
      </c>
      <c r="B960" s="10" t="s">
        <v>6021</v>
      </c>
      <c r="C960" s="11" t="s">
        <v>6022</v>
      </c>
      <c r="D960" s="21" t="s">
        <v>109</v>
      </c>
      <c r="E960" s="11" t="s">
        <v>98</v>
      </c>
      <c r="F960" s="11"/>
      <c r="G960" s="24" t="s">
        <v>85</v>
      </c>
      <c r="H960" s="11" t="s">
        <v>120</v>
      </c>
      <c r="I960" s="15" t="s">
        <v>6023</v>
      </c>
      <c r="J960" s="10" t="s">
        <v>6024</v>
      </c>
      <c r="K960" s="11"/>
      <c r="L960" s="9"/>
      <c r="M960" s="10"/>
      <c r="N960" s="22"/>
      <c r="O960" s="17"/>
      <c r="P960" s="17"/>
      <c r="Q960" s="18" t="s">
        <v>78</v>
      </c>
      <c r="R960" s="18" t="s">
        <v>79</v>
      </c>
      <c r="S960" s="18" t="s">
        <v>61</v>
      </c>
      <c r="T960" s="18" t="s">
        <v>62</v>
      </c>
      <c r="U960" s="19" t="s">
        <v>80</v>
      </c>
    </row>
    <row r="961" spans="1:21" ht="15.75" customHeight="1" x14ac:dyDescent="0.25">
      <c r="A961" s="27" t="s">
        <v>6025</v>
      </c>
      <c r="B961" s="28" t="s">
        <v>5993</v>
      </c>
      <c r="C961" s="29" t="s">
        <v>6026</v>
      </c>
      <c r="D961" s="30" t="s">
        <v>6027</v>
      </c>
      <c r="E961" s="29" t="s">
        <v>98</v>
      </c>
      <c r="F961" s="29"/>
      <c r="G961" s="20" t="s">
        <v>119</v>
      </c>
      <c r="H961" s="29" t="s">
        <v>100</v>
      </c>
      <c r="I961" s="32" t="s">
        <v>6028</v>
      </c>
      <c r="J961" s="28" t="s">
        <v>6029</v>
      </c>
      <c r="K961" s="29" t="s">
        <v>6030</v>
      </c>
      <c r="L961" s="27" t="s">
        <v>90</v>
      </c>
      <c r="M961" s="28" t="s">
        <v>91</v>
      </c>
      <c r="N961" s="33" t="s">
        <v>75</v>
      </c>
      <c r="O961" s="34" t="s">
        <v>124</v>
      </c>
      <c r="P961" s="34" t="s">
        <v>125</v>
      </c>
      <c r="Q961" s="35" t="s">
        <v>78</v>
      </c>
      <c r="R961" s="35" t="s">
        <v>79</v>
      </c>
      <c r="S961" s="35" t="s">
        <v>61</v>
      </c>
      <c r="T961" s="35" t="s">
        <v>62</v>
      </c>
      <c r="U961" s="36" t="s">
        <v>80</v>
      </c>
    </row>
    <row r="962" spans="1:21" ht="15.75" customHeight="1" x14ac:dyDescent="0.25">
      <c r="A962" s="9" t="s">
        <v>6031</v>
      </c>
      <c r="B962" s="10" t="s">
        <v>6032</v>
      </c>
      <c r="C962" s="11" t="s">
        <v>6033</v>
      </c>
      <c r="D962" s="21" t="s">
        <v>109</v>
      </c>
      <c r="E962" s="11" t="s">
        <v>47</v>
      </c>
      <c r="F962" s="13">
        <v>136</v>
      </c>
      <c r="G962" s="25" t="s">
        <v>110</v>
      </c>
      <c r="H962" s="11" t="s">
        <v>330</v>
      </c>
      <c r="I962" s="15" t="s">
        <v>6034</v>
      </c>
      <c r="J962" s="10" t="s">
        <v>6035</v>
      </c>
      <c r="K962" s="11" t="s">
        <v>6036</v>
      </c>
      <c r="L962" s="9" t="s">
        <v>90</v>
      </c>
      <c r="M962" s="10" t="s">
        <v>91</v>
      </c>
      <c r="N962" s="22"/>
      <c r="O962" s="17"/>
      <c r="P962" s="17"/>
      <c r="Q962" s="18" t="s">
        <v>78</v>
      </c>
      <c r="R962" s="18" t="s">
        <v>79</v>
      </c>
      <c r="S962" s="18" t="s">
        <v>61</v>
      </c>
      <c r="T962" s="18" t="s">
        <v>62</v>
      </c>
      <c r="U962" s="19" t="s">
        <v>80</v>
      </c>
    </row>
    <row r="963" spans="1:21" ht="15.75" customHeight="1" x14ac:dyDescent="0.25">
      <c r="A963" s="27" t="s">
        <v>6037</v>
      </c>
      <c r="B963" s="28" t="s">
        <v>6038</v>
      </c>
      <c r="C963" s="29" t="s">
        <v>6039</v>
      </c>
      <c r="D963" s="37" t="s">
        <v>109</v>
      </c>
      <c r="E963" s="29" t="s">
        <v>98</v>
      </c>
      <c r="F963" s="31">
        <v>989.8</v>
      </c>
      <c r="G963" s="24" t="s">
        <v>85</v>
      </c>
      <c r="H963" s="29" t="s">
        <v>129</v>
      </c>
      <c r="I963" s="32" t="s">
        <v>6040</v>
      </c>
      <c r="J963" s="28" t="s">
        <v>6041</v>
      </c>
      <c r="K963" s="29"/>
      <c r="L963" s="27"/>
      <c r="M963" s="28"/>
      <c r="N963" s="38"/>
      <c r="O963" s="34"/>
      <c r="P963" s="34"/>
      <c r="Q963" s="35" t="s">
        <v>78</v>
      </c>
      <c r="R963" s="35" t="s">
        <v>79</v>
      </c>
      <c r="S963" s="35" t="s">
        <v>61</v>
      </c>
      <c r="T963" s="35" t="s">
        <v>62</v>
      </c>
      <c r="U963" s="36" t="s">
        <v>80</v>
      </c>
    </row>
    <row r="964" spans="1:21" ht="15.75" customHeight="1" x14ac:dyDescent="0.25">
      <c r="A964" s="9" t="s">
        <v>6042</v>
      </c>
      <c r="B964" s="10" t="s">
        <v>6043</v>
      </c>
      <c r="C964" s="11" t="s">
        <v>6044</v>
      </c>
      <c r="D964" s="21" t="s">
        <v>109</v>
      </c>
      <c r="E964" s="11" t="s">
        <v>98</v>
      </c>
      <c r="F964" s="11"/>
      <c r="G964" s="24" t="s">
        <v>85</v>
      </c>
      <c r="H964" s="11" t="s">
        <v>120</v>
      </c>
      <c r="I964" s="15" t="s">
        <v>6045</v>
      </c>
      <c r="J964" s="10" t="s">
        <v>6046</v>
      </c>
      <c r="K964" s="11"/>
      <c r="L964" s="9"/>
      <c r="M964" s="10"/>
      <c r="N964" s="22"/>
      <c r="O964" s="17"/>
      <c r="P964" s="17"/>
      <c r="Q964" s="18" t="s">
        <v>78</v>
      </c>
      <c r="R964" s="18" t="s">
        <v>79</v>
      </c>
      <c r="S964" s="18" t="s">
        <v>61</v>
      </c>
      <c r="T964" s="18" t="s">
        <v>62</v>
      </c>
      <c r="U964" s="19" t="s">
        <v>80</v>
      </c>
    </row>
    <row r="965" spans="1:21" ht="15.75" customHeight="1" x14ac:dyDescent="0.25">
      <c r="A965" s="27" t="s">
        <v>6047</v>
      </c>
      <c r="B965" s="28" t="s">
        <v>6048</v>
      </c>
      <c r="C965" s="29" t="s">
        <v>6049</v>
      </c>
      <c r="D965" s="30" t="s">
        <v>2001</v>
      </c>
      <c r="E965" s="29" t="s">
        <v>98</v>
      </c>
      <c r="F965" s="31">
        <v>2327</v>
      </c>
      <c r="G965" s="14" t="s">
        <v>68</v>
      </c>
      <c r="H965" s="29" t="s">
        <v>129</v>
      </c>
      <c r="I965" s="32" t="s">
        <v>6050</v>
      </c>
      <c r="J965" s="28" t="s">
        <v>6051</v>
      </c>
      <c r="K965" s="29" t="s">
        <v>6052</v>
      </c>
      <c r="L965" s="27" t="s">
        <v>2005</v>
      </c>
      <c r="M965" s="28" t="s">
        <v>2006</v>
      </c>
      <c r="N965" s="33" t="s">
        <v>75</v>
      </c>
      <c r="O965" s="34" t="s">
        <v>2007</v>
      </c>
      <c r="P965" s="34" t="s">
        <v>2008</v>
      </c>
      <c r="Q965" s="35" t="s">
        <v>78</v>
      </c>
      <c r="R965" s="35" t="s">
        <v>79</v>
      </c>
      <c r="S965" s="35" t="s">
        <v>61</v>
      </c>
      <c r="T965" s="35" t="s">
        <v>62</v>
      </c>
      <c r="U965" s="36" t="s">
        <v>80</v>
      </c>
    </row>
    <row r="966" spans="1:21" ht="15.75" customHeight="1" x14ac:dyDescent="0.25">
      <c r="A966" s="9" t="s">
        <v>6053</v>
      </c>
      <c r="B966" s="10" t="s">
        <v>6054</v>
      </c>
      <c r="C966" s="11" t="s">
        <v>6055</v>
      </c>
      <c r="D966" s="21" t="s">
        <v>109</v>
      </c>
      <c r="E966" s="11" t="s">
        <v>47</v>
      </c>
      <c r="F966" s="11" t="s">
        <v>6056</v>
      </c>
      <c r="G966" s="25" t="s">
        <v>110</v>
      </c>
      <c r="H966" s="11" t="s">
        <v>330</v>
      </c>
      <c r="I966" s="15" t="s">
        <v>6057</v>
      </c>
      <c r="J966" s="10" t="s">
        <v>6058</v>
      </c>
      <c r="K966" s="11" t="s">
        <v>6059</v>
      </c>
      <c r="L966" s="9" t="s">
        <v>481</v>
      </c>
      <c r="M966" s="10" t="s">
        <v>482</v>
      </c>
      <c r="N966" s="22"/>
      <c r="O966" s="17"/>
      <c r="P966" s="17"/>
      <c r="Q966" s="18" t="s">
        <v>78</v>
      </c>
      <c r="R966" s="18" t="s">
        <v>79</v>
      </c>
      <c r="S966" s="18" t="s">
        <v>61</v>
      </c>
      <c r="T966" s="18" t="s">
        <v>62</v>
      </c>
      <c r="U966" s="19" t="s">
        <v>80</v>
      </c>
    </row>
    <row r="967" spans="1:21" ht="15.75" customHeight="1" x14ac:dyDescent="0.25">
      <c r="A967" s="27" t="s">
        <v>6060</v>
      </c>
      <c r="B967" s="28" t="s">
        <v>6061</v>
      </c>
      <c r="C967" s="29" t="s">
        <v>6062</v>
      </c>
      <c r="D967" s="30" t="s">
        <v>5141</v>
      </c>
      <c r="E967" s="29" t="s">
        <v>98</v>
      </c>
      <c r="F967" s="29" t="s">
        <v>6063</v>
      </c>
      <c r="G967" s="20" t="s">
        <v>85</v>
      </c>
      <c r="H967" s="29" t="s">
        <v>100</v>
      </c>
      <c r="I967" s="32" t="s">
        <v>6064</v>
      </c>
      <c r="J967" s="28" t="s">
        <v>6065</v>
      </c>
      <c r="K967" s="29"/>
      <c r="L967" s="27"/>
      <c r="M967" s="28"/>
      <c r="N967" s="33" t="s">
        <v>75</v>
      </c>
      <c r="O967" s="34" t="s">
        <v>180</v>
      </c>
      <c r="P967" s="34" t="s">
        <v>181</v>
      </c>
      <c r="Q967" s="35" t="s">
        <v>78</v>
      </c>
      <c r="R967" s="35" t="s">
        <v>79</v>
      </c>
      <c r="S967" s="35" t="s">
        <v>61</v>
      </c>
      <c r="T967" s="35" t="s">
        <v>62</v>
      </c>
      <c r="U967" s="36" t="s">
        <v>80</v>
      </c>
    </row>
    <row r="968" spans="1:21" ht="15.75" customHeight="1" x14ac:dyDescent="0.25">
      <c r="A968" s="9" t="s">
        <v>6066</v>
      </c>
      <c r="B968" s="10" t="s">
        <v>6067</v>
      </c>
      <c r="C968" s="11" t="s">
        <v>6068</v>
      </c>
      <c r="D968" s="21" t="s">
        <v>109</v>
      </c>
      <c r="E968" s="11" t="s">
        <v>98</v>
      </c>
      <c r="F968" s="11"/>
      <c r="G968" s="24" t="s">
        <v>85</v>
      </c>
      <c r="H968" s="11" t="s">
        <v>100</v>
      </c>
      <c r="I968" s="15" t="s">
        <v>6069</v>
      </c>
      <c r="J968" s="10" t="s">
        <v>6070</v>
      </c>
      <c r="K968" s="11"/>
      <c r="L968" s="9"/>
      <c r="M968" s="10"/>
      <c r="N968" s="22"/>
      <c r="O968" s="17"/>
      <c r="P968" s="17"/>
      <c r="Q968" s="18" t="s">
        <v>78</v>
      </c>
      <c r="R968" s="18" t="s">
        <v>79</v>
      </c>
      <c r="S968" s="18" t="s">
        <v>61</v>
      </c>
      <c r="T968" s="18" t="s">
        <v>62</v>
      </c>
      <c r="U968" s="19" t="s">
        <v>80</v>
      </c>
    </row>
    <row r="969" spans="1:21" ht="15.75" customHeight="1" x14ac:dyDescent="0.25">
      <c r="A969" s="27" t="s">
        <v>6071</v>
      </c>
      <c r="B969" s="28" t="s">
        <v>6072</v>
      </c>
      <c r="C969" s="29" t="s">
        <v>6073</v>
      </c>
      <c r="D969" s="30" t="s">
        <v>6074</v>
      </c>
      <c r="E969" s="29" t="s">
        <v>47</v>
      </c>
      <c r="F969" s="31">
        <v>108</v>
      </c>
      <c r="G969" s="20" t="s">
        <v>85</v>
      </c>
      <c r="H969" s="29" t="s">
        <v>330</v>
      </c>
      <c r="I969" s="32" t="s">
        <v>6075</v>
      </c>
      <c r="J969" s="28" t="s">
        <v>6076</v>
      </c>
      <c r="K969" s="29" t="s">
        <v>6077</v>
      </c>
      <c r="L969" s="27" t="s">
        <v>158</v>
      </c>
      <c r="M969" s="28" t="s">
        <v>159</v>
      </c>
      <c r="N969" s="33" t="s">
        <v>75</v>
      </c>
      <c r="O969" s="34" t="s">
        <v>544</v>
      </c>
      <c r="P969" s="34" t="s">
        <v>545</v>
      </c>
      <c r="Q969" s="35" t="s">
        <v>78</v>
      </c>
      <c r="R969" s="35" t="s">
        <v>79</v>
      </c>
      <c r="S969" s="35" t="s">
        <v>61</v>
      </c>
      <c r="T969" s="35" t="s">
        <v>62</v>
      </c>
      <c r="U969" s="36" t="s">
        <v>80</v>
      </c>
    </row>
    <row r="970" spans="1:21" ht="15.75" customHeight="1" x14ac:dyDescent="0.25">
      <c r="A970" s="9" t="s">
        <v>6078</v>
      </c>
      <c r="B970" s="10" t="s">
        <v>6079</v>
      </c>
      <c r="C970" s="11" t="s">
        <v>6080</v>
      </c>
      <c r="D970" s="21" t="s">
        <v>109</v>
      </c>
      <c r="E970" s="11" t="s">
        <v>47</v>
      </c>
      <c r="F970" s="13">
        <v>163</v>
      </c>
      <c r="G970" s="25" t="s">
        <v>110</v>
      </c>
      <c r="H970" s="11" t="s">
        <v>86</v>
      </c>
      <c r="I970" s="15" t="s">
        <v>6081</v>
      </c>
      <c r="J970" s="10" t="s">
        <v>6082</v>
      </c>
      <c r="K970" s="11" t="s">
        <v>6083</v>
      </c>
      <c r="L970" s="9" t="s">
        <v>481</v>
      </c>
      <c r="M970" s="10" t="s">
        <v>482</v>
      </c>
      <c r="N970" s="22"/>
      <c r="O970" s="17"/>
      <c r="P970" s="17"/>
      <c r="Q970" s="18" t="s">
        <v>78</v>
      </c>
      <c r="R970" s="18" t="s">
        <v>79</v>
      </c>
      <c r="S970" s="18" t="s">
        <v>61</v>
      </c>
      <c r="T970" s="18" t="s">
        <v>62</v>
      </c>
      <c r="U970" s="19" t="s">
        <v>80</v>
      </c>
    </row>
    <row r="971" spans="1:21" ht="15.75" customHeight="1" x14ac:dyDescent="0.25">
      <c r="A971" s="27" t="s">
        <v>6084</v>
      </c>
      <c r="B971" s="28" t="s">
        <v>6085</v>
      </c>
      <c r="C971" s="29" t="s">
        <v>6086</v>
      </c>
      <c r="D971" s="37" t="s">
        <v>109</v>
      </c>
      <c r="E971" s="29" t="s">
        <v>98</v>
      </c>
      <c r="F971" s="31">
        <v>344</v>
      </c>
      <c r="G971" s="24" t="s">
        <v>85</v>
      </c>
      <c r="H971" s="29" t="s">
        <v>129</v>
      </c>
      <c r="I971" s="32" t="s">
        <v>6087</v>
      </c>
      <c r="J971" s="28" t="s">
        <v>6088</v>
      </c>
      <c r="K971" s="29"/>
      <c r="L971" s="27"/>
      <c r="M971" s="28"/>
      <c r="N971" s="38"/>
      <c r="O971" s="34"/>
      <c r="P971" s="34"/>
      <c r="Q971" s="35" t="s">
        <v>78</v>
      </c>
      <c r="R971" s="35" t="s">
        <v>79</v>
      </c>
      <c r="S971" s="35" t="s">
        <v>61</v>
      </c>
      <c r="T971" s="35" t="s">
        <v>62</v>
      </c>
      <c r="U971" s="36" t="s">
        <v>80</v>
      </c>
    </row>
    <row r="972" spans="1:21" ht="15.75" customHeight="1" x14ac:dyDescent="0.25">
      <c r="A972" s="9" t="s">
        <v>6089</v>
      </c>
      <c r="B972" s="10" t="s">
        <v>6090</v>
      </c>
      <c r="C972" s="11" t="s">
        <v>6091</v>
      </c>
      <c r="D972" s="21" t="s">
        <v>109</v>
      </c>
      <c r="E972" s="11" t="s">
        <v>98</v>
      </c>
      <c r="F972" s="11"/>
      <c r="G972" s="24" t="s">
        <v>85</v>
      </c>
      <c r="H972" s="11" t="s">
        <v>100</v>
      </c>
      <c r="I972" s="15" t="s">
        <v>6092</v>
      </c>
      <c r="J972" s="10" t="s">
        <v>6093</v>
      </c>
      <c r="K972" s="11"/>
      <c r="L972" s="9"/>
      <c r="M972" s="10"/>
      <c r="N972" s="22"/>
      <c r="O972" s="17"/>
      <c r="P972" s="17"/>
      <c r="Q972" s="18" t="s">
        <v>78</v>
      </c>
      <c r="R972" s="18" t="s">
        <v>79</v>
      </c>
      <c r="S972" s="18" t="s">
        <v>61</v>
      </c>
      <c r="T972" s="18" t="s">
        <v>62</v>
      </c>
      <c r="U972" s="19" t="s">
        <v>80</v>
      </c>
    </row>
    <row r="973" spans="1:21" ht="15.75" customHeight="1" x14ac:dyDescent="0.25">
      <c r="A973" s="27" t="s">
        <v>6094</v>
      </c>
      <c r="B973" s="28" t="s">
        <v>6095</v>
      </c>
      <c r="C973" s="29" t="s">
        <v>6096</v>
      </c>
      <c r="D973" s="37" t="s">
        <v>109</v>
      </c>
      <c r="E973" s="29" t="s">
        <v>98</v>
      </c>
      <c r="F973" s="29"/>
      <c r="G973" s="14" t="s">
        <v>119</v>
      </c>
      <c r="H973" s="29" t="s">
        <v>100</v>
      </c>
      <c r="I973" s="32" t="s">
        <v>6097</v>
      </c>
      <c r="J973" s="28" t="s">
        <v>6098</v>
      </c>
      <c r="K973" s="29" t="s">
        <v>6099</v>
      </c>
      <c r="L973" s="27" t="s">
        <v>1203</v>
      </c>
      <c r="M973" s="28" t="s">
        <v>1204</v>
      </c>
      <c r="N973" s="38"/>
      <c r="O973" s="34"/>
      <c r="P973" s="34"/>
      <c r="Q973" s="35" t="s">
        <v>78</v>
      </c>
      <c r="R973" s="35" t="s">
        <v>79</v>
      </c>
      <c r="S973" s="35" t="s">
        <v>61</v>
      </c>
      <c r="T973" s="35" t="s">
        <v>62</v>
      </c>
      <c r="U973" s="36" t="s">
        <v>80</v>
      </c>
    </row>
    <row r="974" spans="1:21" ht="15.75" customHeight="1" x14ac:dyDescent="0.25">
      <c r="A974" s="9" t="s">
        <v>6100</v>
      </c>
      <c r="B974" s="10" t="s">
        <v>6101</v>
      </c>
      <c r="C974" s="11" t="s">
        <v>6102</v>
      </c>
      <c r="D974" s="21" t="s">
        <v>109</v>
      </c>
      <c r="E974" s="11" t="s">
        <v>98</v>
      </c>
      <c r="F974" s="11"/>
      <c r="G974" s="14" t="s">
        <v>119</v>
      </c>
      <c r="H974" s="11" t="s">
        <v>100</v>
      </c>
      <c r="I974" s="15" t="s">
        <v>727</v>
      </c>
      <c r="J974" s="10" t="s">
        <v>6103</v>
      </c>
      <c r="K974" s="11" t="s">
        <v>6104</v>
      </c>
      <c r="L974" s="9" t="s">
        <v>1203</v>
      </c>
      <c r="M974" s="10" t="s">
        <v>1204</v>
      </c>
      <c r="N974" s="22"/>
      <c r="O974" s="17"/>
      <c r="P974" s="17"/>
      <c r="Q974" s="18" t="s">
        <v>78</v>
      </c>
      <c r="R974" s="18" t="s">
        <v>79</v>
      </c>
      <c r="S974" s="18" t="s">
        <v>61</v>
      </c>
      <c r="T974" s="18" t="s">
        <v>62</v>
      </c>
      <c r="U974" s="19" t="s">
        <v>80</v>
      </c>
    </row>
    <row r="975" spans="1:21" ht="15.75" customHeight="1" x14ac:dyDescent="0.25">
      <c r="A975" s="27" t="s">
        <v>6105</v>
      </c>
      <c r="B975" s="28" t="s">
        <v>6106</v>
      </c>
      <c r="C975" s="29" t="s">
        <v>6107</v>
      </c>
      <c r="D975" s="37" t="s">
        <v>109</v>
      </c>
      <c r="E975" s="29"/>
      <c r="F975" s="29"/>
      <c r="G975" s="24" t="s">
        <v>85</v>
      </c>
      <c r="H975" s="29" t="s">
        <v>120</v>
      </c>
      <c r="I975" s="32" t="s">
        <v>6108</v>
      </c>
      <c r="J975" s="28" t="s">
        <v>6109</v>
      </c>
      <c r="K975" s="29"/>
      <c r="L975" s="27"/>
      <c r="M975" s="28"/>
      <c r="N975" s="38"/>
      <c r="O975" s="34"/>
      <c r="P975" s="34"/>
      <c r="Q975" s="35" t="s">
        <v>78</v>
      </c>
      <c r="R975" s="35" t="s">
        <v>79</v>
      </c>
      <c r="S975" s="35" t="s">
        <v>61</v>
      </c>
      <c r="T975" s="35" t="s">
        <v>62</v>
      </c>
      <c r="U975" s="36" t="s">
        <v>80</v>
      </c>
    </row>
    <row r="976" spans="1:21" ht="15.75" customHeight="1" x14ac:dyDescent="0.25">
      <c r="A976" s="9" t="s">
        <v>6110</v>
      </c>
      <c r="B976" s="10" t="s">
        <v>6111</v>
      </c>
      <c r="C976" s="11" t="s">
        <v>6112</v>
      </c>
      <c r="D976" s="21" t="s">
        <v>109</v>
      </c>
      <c r="E976" s="11" t="s">
        <v>98</v>
      </c>
      <c r="F976" s="13">
        <v>4612</v>
      </c>
      <c r="G976" s="14" t="s">
        <v>119</v>
      </c>
      <c r="H976" s="11" t="s">
        <v>129</v>
      </c>
      <c r="I976" s="15" t="s">
        <v>6113</v>
      </c>
      <c r="J976" s="10" t="s">
        <v>6114</v>
      </c>
      <c r="K976" s="11" t="s">
        <v>1697</v>
      </c>
      <c r="L976" s="9" t="s">
        <v>1698</v>
      </c>
      <c r="M976" s="10" t="s">
        <v>1699</v>
      </c>
      <c r="N976" s="22"/>
      <c r="O976" s="17"/>
      <c r="P976" s="17"/>
      <c r="Q976" s="18" t="s">
        <v>78</v>
      </c>
      <c r="R976" s="18" t="s">
        <v>79</v>
      </c>
      <c r="S976" s="18" t="s">
        <v>61</v>
      </c>
      <c r="T976" s="18" t="s">
        <v>62</v>
      </c>
      <c r="U976" s="19" t="s">
        <v>80</v>
      </c>
    </row>
    <row r="977" spans="1:21" ht="15.75" customHeight="1" x14ac:dyDescent="0.25">
      <c r="A977" s="27" t="s">
        <v>6115</v>
      </c>
      <c r="B977" s="28" t="s">
        <v>6116</v>
      </c>
      <c r="C977" s="29" t="s">
        <v>6117</v>
      </c>
      <c r="D977" s="37" t="s">
        <v>109</v>
      </c>
      <c r="E977" s="29" t="s">
        <v>47</v>
      </c>
      <c r="F977" s="29" t="s">
        <v>6118</v>
      </c>
      <c r="G977" s="24" t="s">
        <v>85</v>
      </c>
      <c r="H977" s="29" t="s">
        <v>330</v>
      </c>
      <c r="I977" s="32" t="s">
        <v>2745</v>
      </c>
      <c r="J977" s="28" t="s">
        <v>6119</v>
      </c>
      <c r="K977" s="29"/>
      <c r="L977" s="27"/>
      <c r="M977" s="28"/>
      <c r="N977" s="38"/>
      <c r="O977" s="34"/>
      <c r="P977" s="34"/>
      <c r="Q977" s="35" t="s">
        <v>78</v>
      </c>
      <c r="R977" s="35" t="s">
        <v>79</v>
      </c>
      <c r="S977" s="35" t="s">
        <v>61</v>
      </c>
      <c r="T977" s="35" t="s">
        <v>62</v>
      </c>
      <c r="U977" s="36" t="s">
        <v>80</v>
      </c>
    </row>
    <row r="978" spans="1:21" ht="15.75" customHeight="1" x14ac:dyDescent="0.25">
      <c r="A978" s="9" t="s">
        <v>6120</v>
      </c>
      <c r="B978" s="10" t="s">
        <v>6121</v>
      </c>
      <c r="C978" s="11" t="s">
        <v>6122</v>
      </c>
      <c r="D978" s="21" t="s">
        <v>109</v>
      </c>
      <c r="E978" s="11" t="s">
        <v>47</v>
      </c>
      <c r="F978" s="11" t="s">
        <v>6123</v>
      </c>
      <c r="G978" s="14" t="s">
        <v>119</v>
      </c>
      <c r="H978" s="11" t="s">
        <v>330</v>
      </c>
      <c r="I978" s="15" t="s">
        <v>6124</v>
      </c>
      <c r="J978" s="10" t="s">
        <v>6125</v>
      </c>
      <c r="K978" s="11" t="s">
        <v>6126</v>
      </c>
      <c r="L978" s="9" t="s">
        <v>1203</v>
      </c>
      <c r="M978" s="10" t="s">
        <v>1204</v>
      </c>
      <c r="N978" s="22"/>
      <c r="O978" s="17"/>
      <c r="P978" s="17"/>
      <c r="Q978" s="18" t="s">
        <v>78</v>
      </c>
      <c r="R978" s="18" t="s">
        <v>79</v>
      </c>
      <c r="S978" s="18" t="s">
        <v>61</v>
      </c>
      <c r="T978" s="18" t="s">
        <v>62</v>
      </c>
      <c r="U978" s="19" t="s">
        <v>80</v>
      </c>
    </row>
    <row r="979" spans="1:21" ht="15.75" customHeight="1" x14ac:dyDescent="0.25">
      <c r="A979" s="27" t="s">
        <v>6127</v>
      </c>
      <c r="B979" s="28" t="s">
        <v>6128</v>
      </c>
      <c r="C979" s="29" t="s">
        <v>6129</v>
      </c>
      <c r="D979" s="30" t="s">
        <v>6130</v>
      </c>
      <c r="E979" s="29" t="s">
        <v>47</v>
      </c>
      <c r="F979" s="31">
        <v>188</v>
      </c>
      <c r="G979" s="20" t="s">
        <v>119</v>
      </c>
      <c r="H979" s="29" t="s">
        <v>86</v>
      </c>
      <c r="I979" s="32" t="s">
        <v>6131</v>
      </c>
      <c r="J979" s="28" t="s">
        <v>6132</v>
      </c>
      <c r="K979" s="29" t="s">
        <v>6133</v>
      </c>
      <c r="L979" s="27" t="s">
        <v>90</v>
      </c>
      <c r="M979" s="28" t="s">
        <v>91</v>
      </c>
      <c r="N979" s="33" t="s">
        <v>75</v>
      </c>
      <c r="O979" s="34" t="s">
        <v>1905</v>
      </c>
      <c r="P979" s="34" t="s">
        <v>1906</v>
      </c>
      <c r="Q979" s="35" t="s">
        <v>78</v>
      </c>
      <c r="R979" s="35" t="s">
        <v>79</v>
      </c>
      <c r="S979" s="35" t="s">
        <v>61</v>
      </c>
      <c r="T979" s="35" t="s">
        <v>62</v>
      </c>
      <c r="U979" s="36" t="s">
        <v>80</v>
      </c>
    </row>
    <row r="980" spans="1:21" ht="15.75" customHeight="1" x14ac:dyDescent="0.25">
      <c r="A980" s="9" t="s">
        <v>6134</v>
      </c>
      <c r="B980" s="10" t="s">
        <v>6135</v>
      </c>
      <c r="C980" s="11" t="s">
        <v>6136</v>
      </c>
      <c r="D980" s="12" t="s">
        <v>6137</v>
      </c>
      <c r="E980" s="11" t="s">
        <v>98</v>
      </c>
      <c r="F980" s="11" t="s">
        <v>6138</v>
      </c>
      <c r="G980" s="25" t="s">
        <v>708</v>
      </c>
      <c r="H980" s="11" t="s">
        <v>100</v>
      </c>
      <c r="I980" s="15" t="s">
        <v>1634</v>
      </c>
      <c r="J980" s="10" t="s">
        <v>6139</v>
      </c>
      <c r="K980" s="11" t="s">
        <v>6140</v>
      </c>
      <c r="L980" s="9" t="s">
        <v>481</v>
      </c>
      <c r="M980" s="10" t="s">
        <v>482</v>
      </c>
      <c r="N980" s="16" t="s">
        <v>75</v>
      </c>
      <c r="O980" s="17" t="s">
        <v>1127</v>
      </c>
      <c r="P980" s="17" t="s">
        <v>1128</v>
      </c>
      <c r="Q980" s="18" t="s">
        <v>78</v>
      </c>
      <c r="R980" s="18" t="s">
        <v>79</v>
      </c>
      <c r="S980" s="18" t="s">
        <v>61</v>
      </c>
      <c r="T980" s="18" t="s">
        <v>62</v>
      </c>
      <c r="U980" s="19" t="s">
        <v>80</v>
      </c>
    </row>
    <row r="981" spans="1:21" ht="15.75" customHeight="1" x14ac:dyDescent="0.25">
      <c r="A981" s="27" t="s">
        <v>6141</v>
      </c>
      <c r="B981" s="28" t="s">
        <v>6142</v>
      </c>
      <c r="C981" s="29" t="s">
        <v>6143</v>
      </c>
      <c r="D981" s="37" t="s">
        <v>109</v>
      </c>
      <c r="E981" s="29" t="s">
        <v>1264</v>
      </c>
      <c r="F981" s="31">
        <v>1304</v>
      </c>
      <c r="G981" s="24" t="s">
        <v>85</v>
      </c>
      <c r="H981" s="29" t="s">
        <v>129</v>
      </c>
      <c r="I981" s="32" t="s">
        <v>5181</v>
      </c>
      <c r="J981" s="28" t="s">
        <v>6144</v>
      </c>
      <c r="K981" s="29"/>
      <c r="L981" s="27"/>
      <c r="M981" s="28"/>
      <c r="N981" s="38"/>
      <c r="O981" s="34"/>
      <c r="P981" s="34"/>
      <c r="Q981" s="35" t="s">
        <v>78</v>
      </c>
      <c r="R981" s="35" t="s">
        <v>79</v>
      </c>
      <c r="S981" s="35" t="s">
        <v>61</v>
      </c>
      <c r="T981" s="35" t="s">
        <v>62</v>
      </c>
      <c r="U981" s="36" t="s">
        <v>80</v>
      </c>
    </row>
    <row r="982" spans="1:21" ht="15.75" customHeight="1" x14ac:dyDescent="0.25">
      <c r="A982" s="9" t="s">
        <v>6145</v>
      </c>
      <c r="B982" s="10" t="s">
        <v>6146</v>
      </c>
      <c r="C982" s="11" t="s">
        <v>6147</v>
      </c>
      <c r="D982" s="21" t="s">
        <v>109</v>
      </c>
      <c r="E982" s="11" t="s">
        <v>1264</v>
      </c>
      <c r="F982" s="11"/>
      <c r="G982" s="24" t="s">
        <v>85</v>
      </c>
      <c r="H982" s="11" t="s">
        <v>100</v>
      </c>
      <c r="I982" s="15" t="s">
        <v>220</v>
      </c>
      <c r="J982" s="10" t="s">
        <v>6148</v>
      </c>
      <c r="K982" s="11"/>
      <c r="L982" s="9"/>
      <c r="M982" s="10"/>
      <c r="N982" s="22"/>
      <c r="O982" s="17"/>
      <c r="P982" s="17"/>
      <c r="Q982" s="18" t="s">
        <v>78</v>
      </c>
      <c r="R982" s="18" t="s">
        <v>79</v>
      </c>
      <c r="S982" s="18" t="s">
        <v>61</v>
      </c>
      <c r="T982" s="18" t="s">
        <v>62</v>
      </c>
      <c r="U982" s="19" t="s">
        <v>80</v>
      </c>
    </row>
    <row r="983" spans="1:21" ht="15.75" customHeight="1" x14ac:dyDescent="0.25">
      <c r="A983" s="27" t="s">
        <v>6149</v>
      </c>
      <c r="B983" s="28" t="s">
        <v>6150</v>
      </c>
      <c r="C983" s="29" t="s">
        <v>6151</v>
      </c>
      <c r="D983" s="37" t="s">
        <v>109</v>
      </c>
      <c r="E983" s="29" t="s">
        <v>47</v>
      </c>
      <c r="F983" s="31">
        <v>97</v>
      </c>
      <c r="G983" s="14" t="s">
        <v>119</v>
      </c>
      <c r="H983" s="29" t="s">
        <v>48</v>
      </c>
      <c r="I983" s="32" t="s">
        <v>2641</v>
      </c>
      <c r="J983" s="28" t="s">
        <v>6152</v>
      </c>
      <c r="K983" s="29" t="s">
        <v>6153</v>
      </c>
      <c r="L983" s="27" t="s">
        <v>158</v>
      </c>
      <c r="M983" s="28" t="s">
        <v>159</v>
      </c>
      <c r="N983" s="38"/>
      <c r="O983" s="34"/>
      <c r="P983" s="34"/>
      <c r="Q983" s="35" t="s">
        <v>78</v>
      </c>
      <c r="R983" s="35" t="s">
        <v>79</v>
      </c>
      <c r="S983" s="35" t="s">
        <v>61</v>
      </c>
      <c r="T983" s="35" t="s">
        <v>62</v>
      </c>
      <c r="U983" s="36" t="s">
        <v>80</v>
      </c>
    </row>
    <row r="984" spans="1:21" ht="15.75" customHeight="1" x14ac:dyDescent="0.25">
      <c r="A984" s="9" t="s">
        <v>6154</v>
      </c>
      <c r="B984" s="10" t="s">
        <v>6155</v>
      </c>
      <c r="C984" s="11" t="s">
        <v>6156</v>
      </c>
      <c r="D984" s="21" t="s">
        <v>109</v>
      </c>
      <c r="E984" s="11" t="s">
        <v>98</v>
      </c>
      <c r="F984" s="13">
        <v>245</v>
      </c>
      <c r="G984" s="25" t="s">
        <v>110</v>
      </c>
      <c r="H984" s="11" t="s">
        <v>129</v>
      </c>
      <c r="I984" s="15" t="s">
        <v>247</v>
      </c>
      <c r="J984" s="10" t="s">
        <v>6157</v>
      </c>
      <c r="K984" s="11" t="s">
        <v>6158</v>
      </c>
      <c r="L984" s="9" t="s">
        <v>90</v>
      </c>
      <c r="M984" s="10" t="s">
        <v>91</v>
      </c>
      <c r="N984" s="22"/>
      <c r="O984" s="17"/>
      <c r="P984" s="17"/>
      <c r="Q984" s="18" t="s">
        <v>78</v>
      </c>
      <c r="R984" s="18" t="s">
        <v>79</v>
      </c>
      <c r="S984" s="18" t="s">
        <v>61</v>
      </c>
      <c r="T984" s="18" t="s">
        <v>62</v>
      </c>
      <c r="U984" s="19" t="s">
        <v>80</v>
      </c>
    </row>
    <row r="985" spans="1:21" ht="15.75" customHeight="1" x14ac:dyDescent="0.25">
      <c r="A985" s="27" t="s">
        <v>6159</v>
      </c>
      <c r="B985" s="28" t="s">
        <v>6160</v>
      </c>
      <c r="C985" s="29" t="s">
        <v>6161</v>
      </c>
      <c r="D985" s="37" t="s">
        <v>109</v>
      </c>
      <c r="E985" s="29" t="s">
        <v>47</v>
      </c>
      <c r="F985" s="31">
        <v>155</v>
      </c>
      <c r="G985" s="14" t="s">
        <v>119</v>
      </c>
      <c r="H985" s="29" t="s">
        <v>86</v>
      </c>
      <c r="I985" s="32" t="s">
        <v>6162</v>
      </c>
      <c r="J985" s="28" t="s">
        <v>6163</v>
      </c>
      <c r="K985" s="29" t="s">
        <v>6164</v>
      </c>
      <c r="L985" s="27" t="s">
        <v>158</v>
      </c>
      <c r="M985" s="28" t="s">
        <v>159</v>
      </c>
      <c r="N985" s="38"/>
      <c r="O985" s="34"/>
      <c r="P985" s="34"/>
      <c r="Q985" s="35" t="s">
        <v>78</v>
      </c>
      <c r="R985" s="35" t="s">
        <v>79</v>
      </c>
      <c r="S985" s="35" t="s">
        <v>61</v>
      </c>
      <c r="T985" s="35" t="s">
        <v>62</v>
      </c>
      <c r="U985" s="36" t="s">
        <v>80</v>
      </c>
    </row>
    <row r="986" spans="1:21" ht="15.75" customHeight="1" x14ac:dyDescent="0.25">
      <c r="A986" s="9" t="s">
        <v>6165</v>
      </c>
      <c r="B986" s="10" t="s">
        <v>6166</v>
      </c>
      <c r="C986" s="11" t="s">
        <v>6167</v>
      </c>
      <c r="D986" s="21" t="s">
        <v>109</v>
      </c>
      <c r="E986" s="11" t="s">
        <v>47</v>
      </c>
      <c r="F986" s="13">
        <v>197.2</v>
      </c>
      <c r="G986" s="25" t="s">
        <v>110</v>
      </c>
      <c r="H986" s="11" t="s">
        <v>86</v>
      </c>
      <c r="I986" s="15" t="s">
        <v>6168</v>
      </c>
      <c r="J986" s="10" t="s">
        <v>6169</v>
      </c>
      <c r="K986" s="11" t="s">
        <v>6170</v>
      </c>
      <c r="L986" s="9" t="s">
        <v>481</v>
      </c>
      <c r="M986" s="10" t="s">
        <v>482</v>
      </c>
      <c r="N986" s="22"/>
      <c r="O986" s="17"/>
      <c r="P986" s="17"/>
      <c r="Q986" s="18" t="s">
        <v>78</v>
      </c>
      <c r="R986" s="18" t="s">
        <v>79</v>
      </c>
      <c r="S986" s="18" t="s">
        <v>61</v>
      </c>
      <c r="T986" s="18" t="s">
        <v>62</v>
      </c>
      <c r="U986" s="19" t="s">
        <v>80</v>
      </c>
    </row>
    <row r="987" spans="1:21" ht="15.75" customHeight="1" x14ac:dyDescent="0.25">
      <c r="A987" s="27" t="s">
        <v>6171</v>
      </c>
      <c r="B987" s="28" t="s">
        <v>6172</v>
      </c>
      <c r="C987" s="29" t="s">
        <v>6173</v>
      </c>
      <c r="D987" s="37" t="s">
        <v>109</v>
      </c>
      <c r="E987" s="29" t="s">
        <v>47</v>
      </c>
      <c r="F987" s="31">
        <v>156.19999999999999</v>
      </c>
      <c r="G987" s="14" t="s">
        <v>119</v>
      </c>
      <c r="H987" s="29" t="s">
        <v>86</v>
      </c>
      <c r="I987" s="32" t="s">
        <v>264</v>
      </c>
      <c r="J987" s="28" t="s">
        <v>6174</v>
      </c>
      <c r="K987" s="29" t="s">
        <v>6175</v>
      </c>
      <c r="L987" s="27" t="s">
        <v>158</v>
      </c>
      <c r="M987" s="28" t="s">
        <v>159</v>
      </c>
      <c r="N987" s="38"/>
      <c r="O987" s="34"/>
      <c r="P987" s="34"/>
      <c r="Q987" s="35" t="s">
        <v>78</v>
      </c>
      <c r="R987" s="35" t="s">
        <v>79</v>
      </c>
      <c r="S987" s="35" t="s">
        <v>61</v>
      </c>
      <c r="T987" s="35" t="s">
        <v>62</v>
      </c>
      <c r="U987" s="36" t="s">
        <v>80</v>
      </c>
    </row>
    <row r="988" spans="1:21" ht="15.75" customHeight="1" x14ac:dyDescent="0.25">
      <c r="A988" s="9" t="s">
        <v>6176</v>
      </c>
      <c r="B988" s="10" t="s">
        <v>6177</v>
      </c>
      <c r="C988" s="11" t="s">
        <v>6178</v>
      </c>
      <c r="D988" s="21" t="s">
        <v>109</v>
      </c>
      <c r="E988" s="11" t="s">
        <v>98</v>
      </c>
      <c r="F988" s="13">
        <v>470</v>
      </c>
      <c r="G988" s="25" t="s">
        <v>110</v>
      </c>
      <c r="H988" s="11" t="s">
        <v>129</v>
      </c>
      <c r="I988" s="15" t="s">
        <v>969</v>
      </c>
      <c r="J988" s="10" t="s">
        <v>6179</v>
      </c>
      <c r="K988" s="11" t="s">
        <v>6180</v>
      </c>
      <c r="L988" s="9" t="s">
        <v>90</v>
      </c>
      <c r="M988" s="10" t="s">
        <v>91</v>
      </c>
      <c r="N988" s="22"/>
      <c r="O988" s="17"/>
      <c r="P988" s="17"/>
      <c r="Q988" s="18" t="s">
        <v>78</v>
      </c>
      <c r="R988" s="18" t="s">
        <v>79</v>
      </c>
      <c r="S988" s="18" t="s">
        <v>61</v>
      </c>
      <c r="T988" s="18" t="s">
        <v>62</v>
      </c>
      <c r="U988" s="19" t="s">
        <v>80</v>
      </c>
    </row>
    <row r="989" spans="1:21" ht="15.75" customHeight="1" x14ac:dyDescent="0.25">
      <c r="A989" s="27" t="s">
        <v>6181</v>
      </c>
      <c r="B989" s="28" t="s">
        <v>6182</v>
      </c>
      <c r="C989" s="29" t="s">
        <v>6183</v>
      </c>
      <c r="D989" s="30" t="s">
        <v>6184</v>
      </c>
      <c r="E989" s="29" t="s">
        <v>47</v>
      </c>
      <c r="F989" s="31">
        <v>163</v>
      </c>
      <c r="G989" s="20" t="s">
        <v>119</v>
      </c>
      <c r="H989" s="29" t="s">
        <v>86</v>
      </c>
      <c r="I989" s="32" t="s">
        <v>435</v>
      </c>
      <c r="J989" s="28" t="s">
        <v>6185</v>
      </c>
      <c r="K989" s="29" t="s">
        <v>6186</v>
      </c>
      <c r="L989" s="27" t="s">
        <v>158</v>
      </c>
      <c r="M989" s="28" t="s">
        <v>159</v>
      </c>
      <c r="N989" s="39" t="s">
        <v>179</v>
      </c>
      <c r="O989" s="34" t="s">
        <v>382</v>
      </c>
      <c r="P989" s="34" t="s">
        <v>383</v>
      </c>
      <c r="Q989" s="35" t="s">
        <v>78</v>
      </c>
      <c r="R989" s="35" t="s">
        <v>79</v>
      </c>
      <c r="S989" s="35" t="s">
        <v>61</v>
      </c>
      <c r="T989" s="35" t="s">
        <v>62</v>
      </c>
      <c r="U989" s="36" t="s">
        <v>80</v>
      </c>
    </row>
    <row r="990" spans="1:21" ht="15.75" customHeight="1" x14ac:dyDescent="0.25">
      <c r="A990" s="9" t="s">
        <v>6187</v>
      </c>
      <c r="B990" s="10" t="s">
        <v>6188</v>
      </c>
      <c r="C990" s="11" t="s">
        <v>6189</v>
      </c>
      <c r="D990" s="21" t="s">
        <v>109</v>
      </c>
      <c r="E990" s="11" t="s">
        <v>47</v>
      </c>
      <c r="F990" s="11" t="s">
        <v>6190</v>
      </c>
      <c r="G990" s="14" t="s">
        <v>119</v>
      </c>
      <c r="H990" s="11" t="s">
        <v>330</v>
      </c>
      <c r="I990" s="15" t="s">
        <v>6191</v>
      </c>
      <c r="J990" s="10" t="s">
        <v>6192</v>
      </c>
      <c r="K990" s="11" t="s">
        <v>4752</v>
      </c>
      <c r="L990" s="9" t="s">
        <v>1598</v>
      </c>
      <c r="M990" s="10" t="s">
        <v>1599</v>
      </c>
      <c r="N990" s="22"/>
      <c r="O990" s="17"/>
      <c r="P990" s="17"/>
      <c r="Q990" s="18" t="s">
        <v>78</v>
      </c>
      <c r="R990" s="18" t="s">
        <v>79</v>
      </c>
      <c r="S990" s="18" t="s">
        <v>61</v>
      </c>
      <c r="T990" s="18" t="s">
        <v>62</v>
      </c>
      <c r="U990" s="19" t="s">
        <v>80</v>
      </c>
    </row>
    <row r="991" spans="1:21" ht="15.75" customHeight="1" x14ac:dyDescent="0.25">
      <c r="A991" s="27" t="s">
        <v>6193</v>
      </c>
      <c r="B991" s="28" t="s">
        <v>6194</v>
      </c>
      <c r="C991" s="29" t="s">
        <v>6195</v>
      </c>
      <c r="D991" s="30" t="s">
        <v>6196</v>
      </c>
      <c r="E991" s="29" t="s">
        <v>47</v>
      </c>
      <c r="F991" s="31">
        <v>204</v>
      </c>
      <c r="G991" s="25" t="s">
        <v>119</v>
      </c>
      <c r="H991" s="29" t="s">
        <v>129</v>
      </c>
      <c r="I991" s="32" t="s">
        <v>5238</v>
      </c>
      <c r="J991" s="28" t="s">
        <v>6197</v>
      </c>
      <c r="K991" s="29"/>
      <c r="L991" s="27"/>
      <c r="M991" s="28"/>
      <c r="N991" s="33" t="s">
        <v>75</v>
      </c>
      <c r="O991" s="34" t="s">
        <v>1127</v>
      </c>
      <c r="P991" s="34" t="s">
        <v>1128</v>
      </c>
      <c r="Q991" s="35" t="s">
        <v>78</v>
      </c>
      <c r="R991" s="35" t="s">
        <v>79</v>
      </c>
      <c r="S991" s="35" t="s">
        <v>61</v>
      </c>
      <c r="T991" s="35" t="s">
        <v>62</v>
      </c>
      <c r="U991" s="36" t="s">
        <v>80</v>
      </c>
    </row>
    <row r="992" spans="1:21" ht="15.75" customHeight="1" x14ac:dyDescent="0.25">
      <c r="A992" s="9" t="s">
        <v>6198</v>
      </c>
      <c r="B992" s="10" t="s">
        <v>6199</v>
      </c>
      <c r="C992" s="11" t="s">
        <v>6200</v>
      </c>
      <c r="D992" s="21" t="s">
        <v>109</v>
      </c>
      <c r="E992" s="11" t="s">
        <v>98</v>
      </c>
      <c r="F992" s="13">
        <v>204</v>
      </c>
      <c r="G992" s="14" t="s">
        <v>119</v>
      </c>
      <c r="H992" s="11" t="s">
        <v>129</v>
      </c>
      <c r="I992" s="15" t="s">
        <v>6201</v>
      </c>
      <c r="J992" s="10" t="s">
        <v>6202</v>
      </c>
      <c r="K992" s="11" t="s">
        <v>6203</v>
      </c>
      <c r="L992" s="9" t="s">
        <v>1698</v>
      </c>
      <c r="M992" s="10" t="s">
        <v>1699</v>
      </c>
      <c r="N992" s="22"/>
      <c r="O992" s="17"/>
      <c r="P992" s="17"/>
      <c r="Q992" s="18" t="s">
        <v>78</v>
      </c>
      <c r="R992" s="18" t="s">
        <v>79</v>
      </c>
      <c r="S992" s="18" t="s">
        <v>61</v>
      </c>
      <c r="T992" s="18" t="s">
        <v>62</v>
      </c>
      <c r="U992" s="19" t="s">
        <v>80</v>
      </c>
    </row>
    <row r="993" spans="1:21" ht="15.75" customHeight="1" x14ac:dyDescent="0.25">
      <c r="A993" s="27" t="s">
        <v>6204</v>
      </c>
      <c r="B993" s="28" t="s">
        <v>6205</v>
      </c>
      <c r="C993" s="29" t="s">
        <v>6206</v>
      </c>
      <c r="D993" s="37" t="s">
        <v>109</v>
      </c>
      <c r="E993" s="29" t="s">
        <v>47</v>
      </c>
      <c r="F993" s="31">
        <v>126</v>
      </c>
      <c r="G993" s="14" t="s">
        <v>119</v>
      </c>
      <c r="H993" s="29" t="s">
        <v>330</v>
      </c>
      <c r="I993" s="32" t="s">
        <v>2790</v>
      </c>
      <c r="J993" s="28" t="s">
        <v>6207</v>
      </c>
      <c r="K993" s="29" t="s">
        <v>6208</v>
      </c>
      <c r="L993" s="27" t="s">
        <v>158</v>
      </c>
      <c r="M993" s="28" t="s">
        <v>159</v>
      </c>
      <c r="N993" s="38"/>
      <c r="O993" s="34"/>
      <c r="P993" s="34"/>
      <c r="Q993" s="35" t="s">
        <v>78</v>
      </c>
      <c r="R993" s="35" t="s">
        <v>79</v>
      </c>
      <c r="S993" s="35" t="s">
        <v>61</v>
      </c>
      <c r="T993" s="35" t="s">
        <v>62</v>
      </c>
      <c r="U993" s="36" t="s">
        <v>80</v>
      </c>
    </row>
    <row r="994" spans="1:21" ht="15.75" customHeight="1" x14ac:dyDescent="0.25">
      <c r="A994" s="9" t="s">
        <v>6209</v>
      </c>
      <c r="B994" s="10" t="s">
        <v>6210</v>
      </c>
      <c r="C994" s="11" t="s">
        <v>6211</v>
      </c>
      <c r="D994" s="21" t="s">
        <v>109</v>
      </c>
      <c r="E994" s="11" t="s">
        <v>98</v>
      </c>
      <c r="F994" s="11" t="s">
        <v>99</v>
      </c>
      <c r="G994" s="25" t="s">
        <v>110</v>
      </c>
      <c r="H994" s="11" t="s">
        <v>100</v>
      </c>
      <c r="I994" s="15" t="s">
        <v>6212</v>
      </c>
      <c r="J994" s="10" t="s">
        <v>6213</v>
      </c>
      <c r="K994" s="11" t="s">
        <v>337</v>
      </c>
      <c r="L994" s="9" t="s">
        <v>90</v>
      </c>
      <c r="M994" s="10" t="s">
        <v>91</v>
      </c>
      <c r="N994" s="22"/>
      <c r="O994" s="17"/>
      <c r="P994" s="17"/>
      <c r="Q994" s="18" t="s">
        <v>78</v>
      </c>
      <c r="R994" s="18" t="s">
        <v>79</v>
      </c>
      <c r="S994" s="18" t="s">
        <v>61</v>
      </c>
      <c r="T994" s="18" t="s">
        <v>62</v>
      </c>
      <c r="U994" s="19" t="s">
        <v>80</v>
      </c>
    </row>
    <row r="995" spans="1:21" ht="15.75" customHeight="1" x14ac:dyDescent="0.25">
      <c r="A995" s="27" t="s">
        <v>6214</v>
      </c>
      <c r="B995" s="28" t="s">
        <v>6215</v>
      </c>
      <c r="C995" s="29" t="s">
        <v>6216</v>
      </c>
      <c r="D995" s="37" t="s">
        <v>109</v>
      </c>
      <c r="E995" s="29" t="s">
        <v>47</v>
      </c>
      <c r="F995" s="31">
        <v>180.8</v>
      </c>
      <c r="G995" s="24" t="s">
        <v>85</v>
      </c>
      <c r="H995" s="29" t="s">
        <v>86</v>
      </c>
      <c r="I995" s="32" t="s">
        <v>6217</v>
      </c>
      <c r="J995" s="28" t="s">
        <v>6218</v>
      </c>
      <c r="K995" s="29"/>
      <c r="L995" s="27"/>
      <c r="M995" s="28"/>
      <c r="N995" s="38"/>
      <c r="O995" s="34"/>
      <c r="P995" s="34"/>
      <c r="Q995" s="35" t="s">
        <v>78</v>
      </c>
      <c r="R995" s="35" t="s">
        <v>79</v>
      </c>
      <c r="S995" s="35" t="s">
        <v>61</v>
      </c>
      <c r="T995" s="35" t="s">
        <v>62</v>
      </c>
      <c r="U995" s="36" t="s">
        <v>80</v>
      </c>
    </row>
    <row r="996" spans="1:21" ht="15.75" customHeight="1" x14ac:dyDescent="0.25">
      <c r="A996" s="9" t="s">
        <v>6219</v>
      </c>
      <c r="B996" s="10" t="s">
        <v>6220</v>
      </c>
      <c r="C996" s="11" t="s">
        <v>6221</v>
      </c>
      <c r="D996" s="21" t="s">
        <v>109</v>
      </c>
      <c r="E996" s="11" t="s">
        <v>47</v>
      </c>
      <c r="F996" s="13">
        <v>95</v>
      </c>
      <c r="G996" s="25" t="s">
        <v>110</v>
      </c>
      <c r="H996" s="11" t="s">
        <v>48</v>
      </c>
      <c r="I996" s="15" t="s">
        <v>6222</v>
      </c>
      <c r="J996" s="10" t="s">
        <v>6223</v>
      </c>
      <c r="K996" s="11" t="s">
        <v>6224</v>
      </c>
      <c r="L996" s="9" t="s">
        <v>90</v>
      </c>
      <c r="M996" s="10" t="s">
        <v>91</v>
      </c>
      <c r="N996" s="22"/>
      <c r="O996" s="17"/>
      <c r="P996" s="17"/>
      <c r="Q996" s="18" t="s">
        <v>78</v>
      </c>
      <c r="R996" s="18" t="s">
        <v>79</v>
      </c>
      <c r="S996" s="18" t="s">
        <v>61</v>
      </c>
      <c r="T996" s="18" t="s">
        <v>62</v>
      </c>
      <c r="U996" s="19" t="s">
        <v>80</v>
      </c>
    </row>
    <row r="997" spans="1:21" ht="15.75" customHeight="1" x14ac:dyDescent="0.25">
      <c r="A997" s="27" t="s">
        <v>6225</v>
      </c>
      <c r="B997" s="28" t="s">
        <v>6226</v>
      </c>
      <c r="C997" s="29" t="s">
        <v>6227</v>
      </c>
      <c r="D997" s="37" t="s">
        <v>109</v>
      </c>
      <c r="E997" s="29" t="s">
        <v>47</v>
      </c>
      <c r="F997" s="29" t="s">
        <v>6228</v>
      </c>
      <c r="G997" s="24" t="s">
        <v>85</v>
      </c>
      <c r="H997" s="29" t="s">
        <v>330</v>
      </c>
      <c r="I997" s="32" t="s">
        <v>6229</v>
      </c>
      <c r="J997" s="28" t="s">
        <v>6230</v>
      </c>
      <c r="K997" s="29"/>
      <c r="L997" s="27"/>
      <c r="M997" s="28"/>
      <c r="N997" s="38"/>
      <c r="O997" s="34"/>
      <c r="P997" s="34"/>
      <c r="Q997" s="35" t="s">
        <v>78</v>
      </c>
      <c r="R997" s="35" t="s">
        <v>79</v>
      </c>
      <c r="S997" s="35" t="s">
        <v>61</v>
      </c>
      <c r="T997" s="35" t="s">
        <v>62</v>
      </c>
      <c r="U997" s="36" t="s">
        <v>80</v>
      </c>
    </row>
    <row r="998" spans="1:21" ht="15.75" customHeight="1" x14ac:dyDescent="0.25">
      <c r="A998" s="9" t="s">
        <v>6231</v>
      </c>
      <c r="B998" s="10" t="s">
        <v>6232</v>
      </c>
      <c r="C998" s="11" t="s">
        <v>6233</v>
      </c>
      <c r="D998" s="21" t="s">
        <v>109</v>
      </c>
      <c r="E998" s="11" t="s">
        <v>67</v>
      </c>
      <c r="F998" s="13">
        <v>-6.9</v>
      </c>
      <c r="G998" s="14" t="s">
        <v>119</v>
      </c>
      <c r="H998" s="11" t="s">
        <v>69</v>
      </c>
      <c r="I998" s="15" t="s">
        <v>6234</v>
      </c>
      <c r="J998" s="10" t="s">
        <v>6235</v>
      </c>
      <c r="K998" s="11" t="s">
        <v>6236</v>
      </c>
      <c r="L998" s="9" t="s">
        <v>73</v>
      </c>
      <c r="M998" s="10" t="s">
        <v>74</v>
      </c>
      <c r="N998" s="22"/>
      <c r="O998" s="17"/>
      <c r="P998" s="17"/>
      <c r="Q998" s="18" t="s">
        <v>78</v>
      </c>
      <c r="R998" s="18" t="s">
        <v>79</v>
      </c>
      <c r="S998" s="18" t="s">
        <v>61</v>
      </c>
      <c r="T998" s="18" t="s">
        <v>62</v>
      </c>
      <c r="U998" s="19" t="s">
        <v>80</v>
      </c>
    </row>
    <row r="999" spans="1:21" ht="15.75" customHeight="1" x14ac:dyDescent="0.25">
      <c r="A999" s="27" t="s">
        <v>6237</v>
      </c>
      <c r="B999" s="28" t="s">
        <v>6238</v>
      </c>
      <c r="C999" s="29" t="s">
        <v>6239</v>
      </c>
      <c r="D999" s="37" t="s">
        <v>109</v>
      </c>
      <c r="E999" s="29" t="s">
        <v>47</v>
      </c>
      <c r="F999" s="29" t="s">
        <v>6240</v>
      </c>
      <c r="G999" s="14" t="s">
        <v>119</v>
      </c>
      <c r="H999" s="29" t="s">
        <v>330</v>
      </c>
      <c r="I999" s="32" t="s">
        <v>429</v>
      </c>
      <c r="J999" s="28" t="s">
        <v>6241</v>
      </c>
      <c r="K999" s="29" t="s">
        <v>6242</v>
      </c>
      <c r="L999" s="27" t="s">
        <v>1598</v>
      </c>
      <c r="M999" s="28" t="s">
        <v>1599</v>
      </c>
      <c r="N999" s="38"/>
      <c r="O999" s="34"/>
      <c r="P999" s="34"/>
      <c r="Q999" s="35" t="s">
        <v>78</v>
      </c>
      <c r="R999" s="35" t="s">
        <v>79</v>
      </c>
      <c r="S999" s="35" t="s">
        <v>61</v>
      </c>
      <c r="T999" s="35" t="s">
        <v>62</v>
      </c>
      <c r="U999" s="36" t="s">
        <v>80</v>
      </c>
    </row>
    <row r="1000" spans="1:21" ht="15.75" customHeight="1" x14ac:dyDescent="0.25">
      <c r="A1000" s="9" t="s">
        <v>6243</v>
      </c>
      <c r="B1000" s="10" t="s">
        <v>6244</v>
      </c>
      <c r="C1000" s="11" t="s">
        <v>6245</v>
      </c>
      <c r="D1000" s="21" t="s">
        <v>109</v>
      </c>
      <c r="E1000" s="11" t="s">
        <v>47</v>
      </c>
      <c r="F1000" s="13">
        <v>80</v>
      </c>
      <c r="G1000" s="14" t="s">
        <v>119</v>
      </c>
      <c r="H1000" s="11" t="s">
        <v>48</v>
      </c>
      <c r="I1000" s="15" t="s">
        <v>6246</v>
      </c>
      <c r="J1000" s="10" t="s">
        <v>6247</v>
      </c>
      <c r="K1000" s="11" t="s">
        <v>6248</v>
      </c>
      <c r="L1000" s="9" t="s">
        <v>158</v>
      </c>
      <c r="M1000" s="10" t="s">
        <v>159</v>
      </c>
      <c r="N1000" s="22"/>
      <c r="O1000" s="17"/>
      <c r="P1000" s="17"/>
      <c r="Q1000" s="18" t="s">
        <v>78</v>
      </c>
      <c r="R1000" s="18" t="s">
        <v>79</v>
      </c>
      <c r="S1000" s="18" t="s">
        <v>61</v>
      </c>
      <c r="T1000" s="18" t="s">
        <v>62</v>
      </c>
      <c r="U1000" s="19" t="s">
        <v>80</v>
      </c>
    </row>
    <row r="1001" spans="1:21" ht="15.75" customHeight="1" x14ac:dyDescent="0.25">
      <c r="A1001" s="27" t="s">
        <v>6249</v>
      </c>
      <c r="B1001" s="28" t="s">
        <v>6250</v>
      </c>
      <c r="C1001" s="29" t="s">
        <v>6251</v>
      </c>
      <c r="D1001" s="37" t="s">
        <v>109</v>
      </c>
      <c r="E1001" s="29" t="s">
        <v>47</v>
      </c>
      <c r="F1001" s="31">
        <v>194</v>
      </c>
      <c r="G1001" s="24" t="s">
        <v>85</v>
      </c>
      <c r="H1001" s="29" t="s">
        <v>86</v>
      </c>
      <c r="I1001" s="32" t="s">
        <v>6252</v>
      </c>
      <c r="J1001" s="28" t="s">
        <v>6253</v>
      </c>
      <c r="K1001" s="29"/>
      <c r="L1001" s="27"/>
      <c r="M1001" s="28"/>
      <c r="N1001" s="38"/>
      <c r="O1001" s="34"/>
      <c r="P1001" s="34"/>
      <c r="Q1001" s="35" t="s">
        <v>78</v>
      </c>
      <c r="R1001" s="35" t="s">
        <v>79</v>
      </c>
      <c r="S1001" s="35" t="s">
        <v>61</v>
      </c>
      <c r="T1001" s="35" t="s">
        <v>62</v>
      </c>
      <c r="U1001" s="36" t="s">
        <v>80</v>
      </c>
    </row>
    <row r="1002" spans="1:21" ht="15.75" customHeight="1" x14ac:dyDescent="0.25">
      <c r="A1002" s="9" t="s">
        <v>6254</v>
      </c>
      <c r="B1002" s="10" t="s">
        <v>6255</v>
      </c>
      <c r="C1002" s="11" t="s">
        <v>6256</v>
      </c>
      <c r="D1002" s="12" t="s">
        <v>6257</v>
      </c>
      <c r="E1002" s="11" t="s">
        <v>47</v>
      </c>
      <c r="F1002" s="11" t="s">
        <v>6258</v>
      </c>
      <c r="G1002" s="20" t="s">
        <v>119</v>
      </c>
      <c r="H1002" s="11" t="s">
        <v>330</v>
      </c>
      <c r="I1002" s="15" t="s">
        <v>6259</v>
      </c>
      <c r="J1002" s="10" t="s">
        <v>6260</v>
      </c>
      <c r="K1002" s="11" t="s">
        <v>6261</v>
      </c>
      <c r="L1002" s="9" t="s">
        <v>1598</v>
      </c>
      <c r="M1002" s="10" t="s">
        <v>1599</v>
      </c>
      <c r="N1002" s="16" t="s">
        <v>75</v>
      </c>
      <c r="O1002" s="17" t="s">
        <v>6262</v>
      </c>
      <c r="P1002" s="17" t="s">
        <v>6263</v>
      </c>
      <c r="Q1002" s="18" t="s">
        <v>78</v>
      </c>
      <c r="R1002" s="18" t="s">
        <v>79</v>
      </c>
      <c r="S1002" s="18" t="s">
        <v>61</v>
      </c>
      <c r="T1002" s="18" t="s">
        <v>62</v>
      </c>
      <c r="U1002" s="19" t="s">
        <v>80</v>
      </c>
    </row>
    <row r="1003" spans="1:21" ht="15.75" customHeight="1" x14ac:dyDescent="0.25">
      <c r="A1003" s="27" t="s">
        <v>6264</v>
      </c>
      <c r="B1003" s="28" t="s">
        <v>6265</v>
      </c>
      <c r="C1003" s="29" t="s">
        <v>6266</v>
      </c>
      <c r="D1003" s="37" t="s">
        <v>109</v>
      </c>
      <c r="E1003" s="29" t="s">
        <v>98</v>
      </c>
      <c r="F1003" s="31">
        <v>146</v>
      </c>
      <c r="G1003" s="25" t="s">
        <v>110</v>
      </c>
      <c r="H1003" s="29" t="s">
        <v>330</v>
      </c>
      <c r="I1003" s="32" t="s">
        <v>1819</v>
      </c>
      <c r="J1003" s="28" t="s">
        <v>6267</v>
      </c>
      <c r="K1003" s="29" t="s">
        <v>6268</v>
      </c>
      <c r="L1003" s="27" t="s">
        <v>481</v>
      </c>
      <c r="M1003" s="28" t="s">
        <v>482</v>
      </c>
      <c r="N1003" s="38"/>
      <c r="O1003" s="34"/>
      <c r="P1003" s="34"/>
      <c r="Q1003" s="35" t="s">
        <v>78</v>
      </c>
      <c r="R1003" s="35" t="s">
        <v>79</v>
      </c>
      <c r="S1003" s="35" t="s">
        <v>61</v>
      </c>
      <c r="T1003" s="35" t="s">
        <v>62</v>
      </c>
      <c r="U1003" s="36" t="s">
        <v>80</v>
      </c>
    </row>
    <row r="1004" spans="1:21" ht="15.75" customHeight="1" x14ac:dyDescent="0.25">
      <c r="A1004" s="9" t="s">
        <v>6269</v>
      </c>
      <c r="B1004" s="10" t="s">
        <v>6270</v>
      </c>
      <c r="C1004" s="11" t="s">
        <v>6271</v>
      </c>
      <c r="D1004" s="21" t="s">
        <v>109</v>
      </c>
      <c r="E1004" s="11" t="s">
        <v>98</v>
      </c>
      <c r="F1004" s="13">
        <v>280</v>
      </c>
      <c r="G1004" s="25" t="s">
        <v>110</v>
      </c>
      <c r="H1004" s="11" t="s">
        <v>129</v>
      </c>
      <c r="I1004" s="15" t="s">
        <v>3014</v>
      </c>
      <c r="J1004" s="10" t="s">
        <v>6272</v>
      </c>
      <c r="K1004" s="11" t="s">
        <v>6273</v>
      </c>
      <c r="L1004" s="9" t="s">
        <v>90</v>
      </c>
      <c r="M1004" s="10" t="s">
        <v>91</v>
      </c>
      <c r="N1004" s="22"/>
      <c r="O1004" s="17"/>
      <c r="P1004" s="17"/>
      <c r="Q1004" s="18" t="s">
        <v>78</v>
      </c>
      <c r="R1004" s="18" t="s">
        <v>79</v>
      </c>
      <c r="S1004" s="18" t="s">
        <v>61</v>
      </c>
      <c r="T1004" s="18" t="s">
        <v>62</v>
      </c>
      <c r="U1004" s="19" t="s">
        <v>80</v>
      </c>
    </row>
    <row r="1005" spans="1:21" ht="15.75" customHeight="1" x14ac:dyDescent="0.25">
      <c r="A1005" s="27" t="s">
        <v>6274</v>
      </c>
      <c r="B1005" s="28" t="s">
        <v>6275</v>
      </c>
      <c r="C1005" s="29" t="s">
        <v>6276</v>
      </c>
      <c r="D1005" s="37" t="s">
        <v>109</v>
      </c>
      <c r="E1005" s="29" t="s">
        <v>47</v>
      </c>
      <c r="F1005" s="31">
        <v>335.4</v>
      </c>
      <c r="G1005" s="24" t="s">
        <v>85</v>
      </c>
      <c r="H1005" s="29" t="s">
        <v>129</v>
      </c>
      <c r="I1005" s="32" t="s">
        <v>6277</v>
      </c>
      <c r="J1005" s="28" t="s">
        <v>6278</v>
      </c>
      <c r="K1005" s="29"/>
      <c r="L1005" s="27"/>
      <c r="M1005" s="28"/>
      <c r="N1005" s="38"/>
      <c r="O1005" s="34"/>
      <c r="P1005" s="34"/>
      <c r="Q1005" s="35" t="s">
        <v>78</v>
      </c>
      <c r="R1005" s="35" t="s">
        <v>79</v>
      </c>
      <c r="S1005" s="35" t="s">
        <v>61</v>
      </c>
      <c r="T1005" s="35" t="s">
        <v>62</v>
      </c>
      <c r="U1005" s="36" t="s">
        <v>80</v>
      </c>
    </row>
    <row r="1006" spans="1:21" ht="15.75" customHeight="1" x14ac:dyDescent="0.25">
      <c r="A1006" s="9" t="s">
        <v>6279</v>
      </c>
      <c r="B1006" s="10" t="s">
        <v>6280</v>
      </c>
      <c r="C1006" s="11" t="s">
        <v>6281</v>
      </c>
      <c r="D1006" s="21" t="s">
        <v>109</v>
      </c>
      <c r="E1006" s="11" t="s">
        <v>98</v>
      </c>
      <c r="F1006" s="11"/>
      <c r="G1006" s="24" t="s">
        <v>85</v>
      </c>
      <c r="H1006" s="11" t="s">
        <v>100</v>
      </c>
      <c r="I1006" s="15" t="s">
        <v>1854</v>
      </c>
      <c r="J1006" s="10" t="s">
        <v>6282</v>
      </c>
      <c r="K1006" s="11"/>
      <c r="L1006" s="9"/>
      <c r="M1006" s="10"/>
      <c r="N1006" s="22"/>
      <c r="O1006" s="17"/>
      <c r="P1006" s="17"/>
      <c r="Q1006" s="18" t="s">
        <v>78</v>
      </c>
      <c r="R1006" s="18" t="s">
        <v>79</v>
      </c>
      <c r="S1006" s="18" t="s">
        <v>61</v>
      </c>
      <c r="T1006" s="18" t="s">
        <v>62</v>
      </c>
      <c r="U1006" s="19" t="s">
        <v>80</v>
      </c>
    </row>
    <row r="1007" spans="1:21" ht="15.75" customHeight="1" x14ac:dyDescent="0.25">
      <c r="A1007" s="27" t="s">
        <v>6283</v>
      </c>
      <c r="B1007" s="28" t="s">
        <v>6284</v>
      </c>
      <c r="C1007" s="29" t="s">
        <v>6285</v>
      </c>
      <c r="D1007" s="30" t="s">
        <v>6286</v>
      </c>
      <c r="E1007" s="29" t="s">
        <v>98</v>
      </c>
      <c r="F1007" s="29"/>
      <c r="G1007" s="14" t="s">
        <v>119</v>
      </c>
      <c r="H1007" s="29" t="s">
        <v>100</v>
      </c>
      <c r="I1007" s="32" t="s">
        <v>1134</v>
      </c>
      <c r="J1007" s="28" t="s">
        <v>6287</v>
      </c>
      <c r="K1007" s="29"/>
      <c r="L1007" s="27"/>
      <c r="M1007" s="28"/>
      <c r="N1007" s="39" t="s">
        <v>179</v>
      </c>
      <c r="O1007" s="34" t="s">
        <v>869</v>
      </c>
      <c r="P1007" s="34" t="s">
        <v>870</v>
      </c>
      <c r="Q1007" s="35" t="s">
        <v>78</v>
      </c>
      <c r="R1007" s="35" t="s">
        <v>79</v>
      </c>
      <c r="S1007" s="35" t="s">
        <v>61</v>
      </c>
      <c r="T1007" s="35" t="s">
        <v>62</v>
      </c>
      <c r="U1007" s="36" t="s">
        <v>80</v>
      </c>
    </row>
    <row r="1008" spans="1:21" ht="15.75" customHeight="1" x14ac:dyDescent="0.25">
      <c r="A1008" s="9" t="s">
        <v>6288</v>
      </c>
      <c r="B1008" s="10" t="s">
        <v>6289</v>
      </c>
      <c r="C1008" s="11" t="s">
        <v>6290</v>
      </c>
      <c r="D1008" s="21" t="s">
        <v>109</v>
      </c>
      <c r="E1008" s="11" t="s">
        <v>98</v>
      </c>
      <c r="F1008" s="11"/>
      <c r="G1008" s="14" t="s">
        <v>119</v>
      </c>
      <c r="H1008" s="11" t="s">
        <v>120</v>
      </c>
      <c r="I1008" s="15" t="s">
        <v>1006</v>
      </c>
      <c r="J1008" s="10" t="s">
        <v>6291</v>
      </c>
      <c r="K1008" s="11" t="s">
        <v>6292</v>
      </c>
      <c r="L1008" s="9" t="s">
        <v>1203</v>
      </c>
      <c r="M1008" s="10" t="s">
        <v>1204</v>
      </c>
      <c r="N1008" s="22"/>
      <c r="O1008" s="17"/>
      <c r="P1008" s="17"/>
      <c r="Q1008" s="18" t="s">
        <v>78</v>
      </c>
      <c r="R1008" s="18" t="s">
        <v>79</v>
      </c>
      <c r="S1008" s="18" t="s">
        <v>61</v>
      </c>
      <c r="T1008" s="18" t="s">
        <v>62</v>
      </c>
      <c r="U1008" s="19" t="s">
        <v>80</v>
      </c>
    </row>
    <row r="1009" spans="1:21" ht="15.75" customHeight="1" x14ac:dyDescent="0.25">
      <c r="A1009" s="27" t="s">
        <v>6293</v>
      </c>
      <c r="B1009" s="28" t="s">
        <v>6294</v>
      </c>
      <c r="C1009" s="29" t="s">
        <v>6295</v>
      </c>
      <c r="D1009" s="37" t="s">
        <v>109</v>
      </c>
      <c r="E1009" s="29" t="s">
        <v>47</v>
      </c>
      <c r="F1009" s="29"/>
      <c r="G1009" s="24" t="s">
        <v>85</v>
      </c>
      <c r="H1009" s="29" t="s">
        <v>120</v>
      </c>
      <c r="I1009" s="32" t="s">
        <v>6296</v>
      </c>
      <c r="J1009" s="28" t="s">
        <v>6297</v>
      </c>
      <c r="K1009" s="29"/>
      <c r="L1009" s="27"/>
      <c r="M1009" s="28"/>
      <c r="N1009" s="38"/>
      <c r="O1009" s="34"/>
      <c r="P1009" s="34"/>
      <c r="Q1009" s="35" t="s">
        <v>78</v>
      </c>
      <c r="R1009" s="35" t="s">
        <v>79</v>
      </c>
      <c r="S1009" s="35" t="s">
        <v>61</v>
      </c>
      <c r="T1009" s="35" t="s">
        <v>62</v>
      </c>
      <c r="U1009" s="36" t="s">
        <v>80</v>
      </c>
    </row>
    <row r="1010" spans="1:21" ht="15.75" customHeight="1" x14ac:dyDescent="0.25">
      <c r="A1010" s="9" t="s">
        <v>6298</v>
      </c>
      <c r="B1010" s="10" t="s">
        <v>6299</v>
      </c>
      <c r="C1010" s="11" t="s">
        <v>6300</v>
      </c>
      <c r="D1010" s="21" t="s">
        <v>109</v>
      </c>
      <c r="E1010" s="11" t="s">
        <v>47</v>
      </c>
      <c r="F1010" s="13">
        <v>151</v>
      </c>
      <c r="G1010" s="25" t="s">
        <v>110</v>
      </c>
      <c r="H1010" s="11" t="s">
        <v>86</v>
      </c>
      <c r="I1010" s="15" t="s">
        <v>6301</v>
      </c>
      <c r="J1010" s="10" t="s">
        <v>6302</v>
      </c>
      <c r="K1010" s="11" t="s">
        <v>6303</v>
      </c>
      <c r="L1010" s="9" t="s">
        <v>481</v>
      </c>
      <c r="M1010" s="10" t="s">
        <v>482</v>
      </c>
      <c r="N1010" s="22"/>
      <c r="O1010" s="17"/>
      <c r="P1010" s="17"/>
      <c r="Q1010" s="18" t="s">
        <v>78</v>
      </c>
      <c r="R1010" s="18" t="s">
        <v>79</v>
      </c>
      <c r="S1010" s="18" t="s">
        <v>61</v>
      </c>
      <c r="T1010" s="18" t="s">
        <v>62</v>
      </c>
      <c r="U1010" s="19" t="s">
        <v>80</v>
      </c>
    </row>
    <row r="1011" spans="1:21" ht="15.75" customHeight="1" x14ac:dyDescent="0.25">
      <c r="A1011" s="27" t="s">
        <v>6304</v>
      </c>
      <c r="B1011" s="28" t="s">
        <v>6305</v>
      </c>
      <c r="C1011" s="29" t="s">
        <v>6306</v>
      </c>
      <c r="D1011" s="30" t="s">
        <v>6307</v>
      </c>
      <c r="E1011" s="29" t="s">
        <v>47</v>
      </c>
      <c r="F1011" s="29" t="s">
        <v>6308</v>
      </c>
      <c r="G1011" s="20" t="s">
        <v>68</v>
      </c>
      <c r="H1011" s="29" t="s">
        <v>330</v>
      </c>
      <c r="I1011" s="32" t="s">
        <v>1146</v>
      </c>
      <c r="J1011" s="28" t="s">
        <v>6309</v>
      </c>
      <c r="K1011" s="29" t="s">
        <v>6310</v>
      </c>
      <c r="L1011" s="27" t="s">
        <v>481</v>
      </c>
      <c r="M1011" s="28" t="s">
        <v>482</v>
      </c>
      <c r="N1011" s="33" t="s">
        <v>75</v>
      </c>
      <c r="O1011" s="34" t="s">
        <v>1560</v>
      </c>
      <c r="P1011" s="34" t="s">
        <v>1561</v>
      </c>
      <c r="Q1011" s="35" t="s">
        <v>78</v>
      </c>
      <c r="R1011" s="35" t="s">
        <v>79</v>
      </c>
      <c r="S1011" s="35" t="s">
        <v>61</v>
      </c>
      <c r="T1011" s="35" t="s">
        <v>62</v>
      </c>
      <c r="U1011" s="36" t="s">
        <v>80</v>
      </c>
    </row>
    <row r="1012" spans="1:21" ht="15.75" customHeight="1" x14ac:dyDescent="0.25">
      <c r="A1012" s="9" t="s">
        <v>6311</v>
      </c>
      <c r="B1012" s="10" t="s">
        <v>6312</v>
      </c>
      <c r="C1012" s="11" t="s">
        <v>6313</v>
      </c>
      <c r="D1012" s="21" t="s">
        <v>109</v>
      </c>
      <c r="E1012" s="11" t="s">
        <v>98</v>
      </c>
      <c r="F1012" s="11" t="s">
        <v>6314</v>
      </c>
      <c r="G1012" s="14" t="s">
        <v>119</v>
      </c>
      <c r="H1012" s="11" t="s">
        <v>100</v>
      </c>
      <c r="I1012" s="15" t="s">
        <v>6315</v>
      </c>
      <c r="J1012" s="10" t="s">
        <v>6316</v>
      </c>
      <c r="K1012" s="11" t="s">
        <v>6317</v>
      </c>
      <c r="L1012" s="9" t="s">
        <v>1203</v>
      </c>
      <c r="M1012" s="10" t="s">
        <v>1204</v>
      </c>
      <c r="N1012" s="22"/>
      <c r="O1012" s="17"/>
      <c r="P1012" s="17"/>
      <c r="Q1012" s="18" t="s">
        <v>78</v>
      </c>
      <c r="R1012" s="18" t="s">
        <v>79</v>
      </c>
      <c r="S1012" s="18" t="s">
        <v>61</v>
      </c>
      <c r="T1012" s="18" t="s">
        <v>62</v>
      </c>
      <c r="U1012" s="19" t="s">
        <v>80</v>
      </c>
    </row>
    <row r="1013" spans="1:21" ht="15.75" customHeight="1" x14ac:dyDescent="0.25">
      <c r="A1013" s="27" t="s">
        <v>6318</v>
      </c>
      <c r="B1013" s="28" t="s">
        <v>6319</v>
      </c>
      <c r="C1013" s="29" t="s">
        <v>6320</v>
      </c>
      <c r="D1013" s="37" t="s">
        <v>109</v>
      </c>
      <c r="E1013" s="29" t="s">
        <v>47</v>
      </c>
      <c r="F1013" s="31">
        <v>124.5</v>
      </c>
      <c r="G1013" s="14" t="s">
        <v>119</v>
      </c>
      <c r="H1013" s="29" t="s">
        <v>330</v>
      </c>
      <c r="I1013" s="32" t="s">
        <v>6321</v>
      </c>
      <c r="J1013" s="28" t="s">
        <v>6322</v>
      </c>
      <c r="K1013" s="29" t="s">
        <v>6323</v>
      </c>
      <c r="L1013" s="27" t="s">
        <v>158</v>
      </c>
      <c r="M1013" s="28" t="s">
        <v>159</v>
      </c>
      <c r="N1013" s="38"/>
      <c r="O1013" s="34"/>
      <c r="P1013" s="34"/>
      <c r="Q1013" s="35" t="s">
        <v>78</v>
      </c>
      <c r="R1013" s="35" t="s">
        <v>79</v>
      </c>
      <c r="S1013" s="35" t="s">
        <v>61</v>
      </c>
      <c r="T1013" s="35" t="s">
        <v>62</v>
      </c>
      <c r="U1013" s="36" t="s">
        <v>80</v>
      </c>
    </row>
    <row r="1014" spans="1:21" ht="15.75" customHeight="1" x14ac:dyDescent="0.25">
      <c r="A1014" s="9" t="s">
        <v>6324</v>
      </c>
      <c r="B1014" s="10" t="s">
        <v>6325</v>
      </c>
      <c r="C1014" s="11" t="s">
        <v>6326</v>
      </c>
      <c r="D1014" s="21" t="s">
        <v>109</v>
      </c>
      <c r="E1014" s="11" t="s">
        <v>98</v>
      </c>
      <c r="F1014" s="11"/>
      <c r="G1014" s="24" t="s">
        <v>85</v>
      </c>
      <c r="H1014" s="11" t="s">
        <v>100</v>
      </c>
      <c r="I1014" s="15" t="s">
        <v>6327</v>
      </c>
      <c r="J1014" s="10" t="s">
        <v>6328</v>
      </c>
      <c r="K1014" s="11"/>
      <c r="L1014" s="9"/>
      <c r="M1014" s="10"/>
      <c r="N1014" s="22"/>
      <c r="O1014" s="17"/>
      <c r="P1014" s="17"/>
      <c r="Q1014" s="18" t="s">
        <v>78</v>
      </c>
      <c r="R1014" s="18" t="s">
        <v>79</v>
      </c>
      <c r="S1014" s="18" t="s">
        <v>61</v>
      </c>
      <c r="T1014" s="18" t="s">
        <v>62</v>
      </c>
      <c r="U1014" s="19" t="s">
        <v>80</v>
      </c>
    </row>
    <row r="1015" spans="1:21" ht="15.75" customHeight="1" x14ac:dyDescent="0.25">
      <c r="A1015" s="27" t="s">
        <v>6329</v>
      </c>
      <c r="B1015" s="28" t="s">
        <v>6330</v>
      </c>
      <c r="C1015" s="29" t="s">
        <v>6331</v>
      </c>
      <c r="D1015" s="37" t="s">
        <v>109</v>
      </c>
      <c r="E1015" s="29" t="s">
        <v>98</v>
      </c>
      <c r="F1015" s="29"/>
      <c r="G1015" s="24" t="s">
        <v>85</v>
      </c>
      <c r="H1015" s="29" t="s">
        <v>100</v>
      </c>
      <c r="I1015" s="32" t="s">
        <v>6332</v>
      </c>
      <c r="J1015" s="28" t="s">
        <v>6333</v>
      </c>
      <c r="K1015" s="29"/>
      <c r="L1015" s="27"/>
      <c r="M1015" s="28"/>
      <c r="N1015" s="38"/>
      <c r="O1015" s="34"/>
      <c r="P1015" s="34"/>
      <c r="Q1015" s="35" t="s">
        <v>78</v>
      </c>
      <c r="R1015" s="35" t="s">
        <v>79</v>
      </c>
      <c r="S1015" s="35" t="s">
        <v>61</v>
      </c>
      <c r="T1015" s="35" t="s">
        <v>62</v>
      </c>
      <c r="U1015" s="36" t="s">
        <v>80</v>
      </c>
    </row>
    <row r="1016" spans="1:21" ht="15.75" customHeight="1" x14ac:dyDescent="0.25">
      <c r="A1016" s="9" t="s">
        <v>6334</v>
      </c>
      <c r="B1016" s="10" t="s">
        <v>6335</v>
      </c>
      <c r="C1016" s="11" t="s">
        <v>6336</v>
      </c>
      <c r="D1016" s="21" t="s">
        <v>109</v>
      </c>
      <c r="E1016" s="11" t="s">
        <v>98</v>
      </c>
      <c r="F1016" s="11"/>
      <c r="G1016" s="14" t="s">
        <v>119</v>
      </c>
      <c r="H1016" s="11" t="s">
        <v>100</v>
      </c>
      <c r="I1016" s="15" t="s">
        <v>417</v>
      </c>
      <c r="J1016" s="10" t="s">
        <v>6337</v>
      </c>
      <c r="K1016" s="11" t="s">
        <v>6338</v>
      </c>
      <c r="L1016" s="9" t="s">
        <v>1203</v>
      </c>
      <c r="M1016" s="10" t="s">
        <v>1204</v>
      </c>
      <c r="N1016" s="22"/>
      <c r="O1016" s="17"/>
      <c r="P1016" s="17"/>
      <c r="Q1016" s="18" t="s">
        <v>78</v>
      </c>
      <c r="R1016" s="18" t="s">
        <v>79</v>
      </c>
      <c r="S1016" s="18" t="s">
        <v>61</v>
      </c>
      <c r="T1016" s="18" t="s">
        <v>62</v>
      </c>
      <c r="U1016" s="19" t="s">
        <v>80</v>
      </c>
    </row>
    <row r="1017" spans="1:21" ht="15.75" customHeight="1" x14ac:dyDescent="0.25">
      <c r="A1017" s="27" t="s">
        <v>6339</v>
      </c>
      <c r="B1017" s="28" t="s">
        <v>6340</v>
      </c>
      <c r="C1017" s="29" t="s">
        <v>6341</v>
      </c>
      <c r="D1017" s="37" t="s">
        <v>109</v>
      </c>
      <c r="E1017" s="29" t="s">
        <v>98</v>
      </c>
      <c r="F1017" s="29"/>
      <c r="G1017" s="14" t="s">
        <v>119</v>
      </c>
      <c r="H1017" s="29" t="s">
        <v>100</v>
      </c>
      <c r="I1017" s="32" t="s">
        <v>6342</v>
      </c>
      <c r="J1017" s="28" t="s">
        <v>6343</v>
      </c>
      <c r="K1017" s="29" t="s">
        <v>6344</v>
      </c>
      <c r="L1017" s="27" t="s">
        <v>1203</v>
      </c>
      <c r="M1017" s="28" t="s">
        <v>1204</v>
      </c>
      <c r="N1017" s="38"/>
      <c r="O1017" s="34"/>
      <c r="P1017" s="34"/>
      <c r="Q1017" s="35" t="s">
        <v>78</v>
      </c>
      <c r="R1017" s="35" t="s">
        <v>79</v>
      </c>
      <c r="S1017" s="35" t="s">
        <v>61</v>
      </c>
      <c r="T1017" s="35" t="s">
        <v>62</v>
      </c>
      <c r="U1017" s="36" t="s">
        <v>80</v>
      </c>
    </row>
    <row r="1018" spans="1:21" ht="15.75" customHeight="1" x14ac:dyDescent="0.25">
      <c r="A1018" s="9" t="s">
        <v>6345</v>
      </c>
      <c r="B1018" s="10" t="s">
        <v>6346</v>
      </c>
      <c r="C1018" s="11" t="s">
        <v>6347</v>
      </c>
      <c r="D1018" s="21" t="s">
        <v>109</v>
      </c>
      <c r="E1018" s="11" t="s">
        <v>67</v>
      </c>
      <c r="F1018" s="11"/>
      <c r="G1018" s="14" t="s">
        <v>119</v>
      </c>
      <c r="H1018" s="11" t="s">
        <v>120</v>
      </c>
      <c r="I1018" s="15" t="s">
        <v>6348</v>
      </c>
      <c r="J1018" s="10" t="s">
        <v>6349</v>
      </c>
      <c r="K1018" s="11" t="s">
        <v>6350</v>
      </c>
      <c r="L1018" s="9" t="s">
        <v>1267</v>
      </c>
      <c r="M1018" s="10" t="s">
        <v>1268</v>
      </c>
      <c r="N1018" s="22"/>
      <c r="O1018" s="17"/>
      <c r="P1018" s="17"/>
      <c r="Q1018" s="18" t="s">
        <v>78</v>
      </c>
      <c r="R1018" s="18" t="s">
        <v>79</v>
      </c>
      <c r="S1018" s="18" t="s">
        <v>61</v>
      </c>
      <c r="T1018" s="18" t="s">
        <v>62</v>
      </c>
      <c r="U1018" s="19" t="s">
        <v>80</v>
      </c>
    </row>
    <row r="1019" spans="1:21" ht="15.75" customHeight="1" x14ac:dyDescent="0.25">
      <c r="A1019" s="27" t="s">
        <v>6351</v>
      </c>
      <c r="B1019" s="28" t="s">
        <v>6352</v>
      </c>
      <c r="C1019" s="29" t="s">
        <v>6353</v>
      </c>
      <c r="D1019" s="37" t="s">
        <v>109</v>
      </c>
      <c r="E1019" s="29" t="s">
        <v>47</v>
      </c>
      <c r="F1019" s="31">
        <v>216</v>
      </c>
      <c r="G1019" s="25" t="s">
        <v>110</v>
      </c>
      <c r="H1019" s="29" t="s">
        <v>129</v>
      </c>
      <c r="I1019" s="32" t="s">
        <v>1958</v>
      </c>
      <c r="J1019" s="28" t="s">
        <v>6354</v>
      </c>
      <c r="K1019" s="29" t="s">
        <v>6355</v>
      </c>
      <c r="L1019" s="27" t="s">
        <v>90</v>
      </c>
      <c r="M1019" s="28" t="s">
        <v>91</v>
      </c>
      <c r="N1019" s="38"/>
      <c r="O1019" s="34"/>
      <c r="P1019" s="34"/>
      <c r="Q1019" s="35" t="s">
        <v>78</v>
      </c>
      <c r="R1019" s="35" t="s">
        <v>79</v>
      </c>
      <c r="S1019" s="35" t="s">
        <v>61</v>
      </c>
      <c r="T1019" s="35" t="s">
        <v>62</v>
      </c>
      <c r="U1019" s="36" t="s">
        <v>80</v>
      </c>
    </row>
    <row r="1020" spans="1:21" ht="15.75" customHeight="1" x14ac:dyDescent="0.25">
      <c r="A1020" s="9" t="s">
        <v>6356</v>
      </c>
      <c r="B1020" s="10" t="s">
        <v>6357</v>
      </c>
      <c r="C1020" s="11" t="s">
        <v>6358</v>
      </c>
      <c r="D1020" s="21" t="s">
        <v>109</v>
      </c>
      <c r="E1020" s="11" t="s">
        <v>47</v>
      </c>
      <c r="F1020" s="13">
        <v>213</v>
      </c>
      <c r="G1020" s="25" t="s">
        <v>110</v>
      </c>
      <c r="H1020" s="11" t="s">
        <v>129</v>
      </c>
      <c r="I1020" s="15" t="s">
        <v>72</v>
      </c>
      <c r="J1020" s="10" t="s">
        <v>6359</v>
      </c>
      <c r="K1020" s="11" t="s">
        <v>6360</v>
      </c>
      <c r="L1020" s="9" t="s">
        <v>90</v>
      </c>
      <c r="M1020" s="10" t="s">
        <v>91</v>
      </c>
      <c r="N1020" s="22"/>
      <c r="O1020" s="17"/>
      <c r="P1020" s="17"/>
      <c r="Q1020" s="18" t="s">
        <v>78</v>
      </c>
      <c r="R1020" s="18" t="s">
        <v>79</v>
      </c>
      <c r="S1020" s="18" t="s">
        <v>61</v>
      </c>
      <c r="T1020" s="18" t="s">
        <v>62</v>
      </c>
      <c r="U1020" s="19" t="s">
        <v>80</v>
      </c>
    </row>
    <row r="1021" spans="1:21" ht="15.75" customHeight="1" x14ac:dyDescent="0.25">
      <c r="A1021" s="27" t="s">
        <v>6361</v>
      </c>
      <c r="B1021" s="28" t="s">
        <v>6362</v>
      </c>
      <c r="C1021" s="29" t="s">
        <v>6363</v>
      </c>
      <c r="D1021" s="37" t="s">
        <v>109</v>
      </c>
      <c r="E1021" s="29" t="s">
        <v>47</v>
      </c>
      <c r="F1021" s="31">
        <v>132</v>
      </c>
      <c r="G1021" s="14" t="s">
        <v>119</v>
      </c>
      <c r="H1021" s="29" t="s">
        <v>330</v>
      </c>
      <c r="I1021" s="32" t="s">
        <v>1193</v>
      </c>
      <c r="J1021" s="28" t="s">
        <v>6364</v>
      </c>
      <c r="K1021" s="29" t="s">
        <v>1360</v>
      </c>
      <c r="L1021" s="27" t="s">
        <v>158</v>
      </c>
      <c r="M1021" s="28" t="s">
        <v>159</v>
      </c>
      <c r="N1021" s="38"/>
      <c r="O1021" s="34"/>
      <c r="P1021" s="34"/>
      <c r="Q1021" s="35" t="s">
        <v>78</v>
      </c>
      <c r="R1021" s="35" t="s">
        <v>79</v>
      </c>
      <c r="S1021" s="35" t="s">
        <v>61</v>
      </c>
      <c r="T1021" s="35" t="s">
        <v>62</v>
      </c>
      <c r="U1021" s="36" t="s">
        <v>80</v>
      </c>
    </row>
    <row r="1022" spans="1:21" ht="15.75" customHeight="1" x14ac:dyDescent="0.25">
      <c r="A1022" s="9" t="s">
        <v>6365</v>
      </c>
      <c r="B1022" s="10" t="s">
        <v>6366</v>
      </c>
      <c r="C1022" s="11" t="s">
        <v>6367</v>
      </c>
      <c r="D1022" s="21" t="s">
        <v>109</v>
      </c>
      <c r="E1022" s="11" t="s">
        <v>98</v>
      </c>
      <c r="F1022" s="13">
        <v>520</v>
      </c>
      <c r="G1022" s="24" t="s">
        <v>85</v>
      </c>
      <c r="H1022" s="11" t="s">
        <v>129</v>
      </c>
      <c r="I1022" s="15" t="s">
        <v>3245</v>
      </c>
      <c r="J1022" s="10" t="s">
        <v>6368</v>
      </c>
      <c r="K1022" s="11"/>
      <c r="L1022" s="9"/>
      <c r="M1022" s="10"/>
      <c r="N1022" s="22"/>
      <c r="O1022" s="17"/>
      <c r="P1022" s="17"/>
      <c r="Q1022" s="18" t="s">
        <v>78</v>
      </c>
      <c r="R1022" s="18" t="s">
        <v>79</v>
      </c>
      <c r="S1022" s="18" t="s">
        <v>61</v>
      </c>
      <c r="T1022" s="18" t="s">
        <v>62</v>
      </c>
      <c r="U1022" s="19" t="s">
        <v>80</v>
      </c>
    </row>
    <row r="1023" spans="1:21" ht="15.75" customHeight="1" x14ac:dyDescent="0.25">
      <c r="A1023" s="27" t="s">
        <v>6369</v>
      </c>
      <c r="B1023" s="28" t="s">
        <v>6370</v>
      </c>
      <c r="C1023" s="29" t="s">
        <v>6371</v>
      </c>
      <c r="D1023" s="37" t="s">
        <v>109</v>
      </c>
      <c r="E1023" s="29" t="s">
        <v>98</v>
      </c>
      <c r="F1023" s="31">
        <v>1640</v>
      </c>
      <c r="G1023" s="14" t="s">
        <v>119</v>
      </c>
      <c r="H1023" s="29" t="s">
        <v>129</v>
      </c>
      <c r="I1023" s="32" t="s">
        <v>1965</v>
      </c>
      <c r="J1023" s="28" t="s">
        <v>6372</v>
      </c>
      <c r="K1023" s="29" t="s">
        <v>6373</v>
      </c>
      <c r="L1023" s="27" t="s">
        <v>2005</v>
      </c>
      <c r="M1023" s="28" t="s">
        <v>2006</v>
      </c>
      <c r="N1023" s="38"/>
      <c r="O1023" s="34"/>
      <c r="P1023" s="34"/>
      <c r="Q1023" s="35" t="s">
        <v>78</v>
      </c>
      <c r="R1023" s="35" t="s">
        <v>79</v>
      </c>
      <c r="S1023" s="35" t="s">
        <v>61</v>
      </c>
      <c r="T1023" s="35" t="s">
        <v>62</v>
      </c>
      <c r="U1023" s="36" t="s">
        <v>80</v>
      </c>
    </row>
    <row r="1024" spans="1:21" ht="15.75" customHeight="1" x14ac:dyDescent="0.25">
      <c r="A1024" s="9" t="s">
        <v>6374</v>
      </c>
      <c r="B1024" s="10" t="s">
        <v>6375</v>
      </c>
      <c r="C1024" s="11" t="s">
        <v>6376</v>
      </c>
      <c r="D1024" s="21" t="s">
        <v>109</v>
      </c>
      <c r="E1024" s="11" t="s">
        <v>67</v>
      </c>
      <c r="F1024" s="13">
        <v>13.8</v>
      </c>
      <c r="G1024" s="20" t="s">
        <v>68</v>
      </c>
      <c r="H1024" s="11" t="s">
        <v>69</v>
      </c>
      <c r="I1024" s="15" t="s">
        <v>1213</v>
      </c>
      <c r="J1024" s="10" t="s">
        <v>6377</v>
      </c>
      <c r="K1024" s="11" t="s">
        <v>6378</v>
      </c>
      <c r="L1024" s="9" t="s">
        <v>140</v>
      </c>
      <c r="M1024" s="10" t="s">
        <v>141</v>
      </c>
      <c r="N1024" s="22"/>
      <c r="O1024" s="17"/>
      <c r="P1024" s="17"/>
      <c r="Q1024" s="18" t="s">
        <v>78</v>
      </c>
      <c r="R1024" s="18" t="s">
        <v>79</v>
      </c>
      <c r="S1024" s="18" t="s">
        <v>61</v>
      </c>
      <c r="T1024" s="18" t="s">
        <v>62</v>
      </c>
      <c r="U1024" s="19" t="s">
        <v>80</v>
      </c>
    </row>
    <row r="1025" spans="1:21" ht="15.75" customHeight="1" x14ac:dyDescent="0.25">
      <c r="A1025" s="27" t="s">
        <v>6379</v>
      </c>
      <c r="B1025" s="28" t="s">
        <v>6380</v>
      </c>
      <c r="C1025" s="29" t="s">
        <v>6381</v>
      </c>
      <c r="D1025" s="37" t="s">
        <v>109</v>
      </c>
      <c r="E1025" s="29" t="s">
        <v>47</v>
      </c>
      <c r="F1025" s="31">
        <v>83</v>
      </c>
      <c r="G1025" s="14" t="s">
        <v>119</v>
      </c>
      <c r="H1025" s="29" t="s">
        <v>48</v>
      </c>
      <c r="I1025" s="32" t="s">
        <v>6382</v>
      </c>
      <c r="J1025" s="28" t="s">
        <v>6383</v>
      </c>
      <c r="K1025" s="29" t="s">
        <v>6384</v>
      </c>
      <c r="L1025" s="27" t="s">
        <v>158</v>
      </c>
      <c r="M1025" s="28" t="s">
        <v>159</v>
      </c>
      <c r="N1025" s="38"/>
      <c r="O1025" s="34"/>
      <c r="P1025" s="34"/>
      <c r="Q1025" s="35" t="s">
        <v>78</v>
      </c>
      <c r="R1025" s="35" t="s">
        <v>79</v>
      </c>
      <c r="S1025" s="35" t="s">
        <v>61</v>
      </c>
      <c r="T1025" s="35" t="s">
        <v>62</v>
      </c>
      <c r="U1025" s="36" t="s">
        <v>80</v>
      </c>
    </row>
    <row r="1026" spans="1:21" ht="15.75" customHeight="1" x14ac:dyDescent="0.25">
      <c r="A1026" s="9" t="s">
        <v>6385</v>
      </c>
      <c r="B1026" s="10" t="s">
        <v>6386</v>
      </c>
      <c r="C1026" s="11" t="s">
        <v>6387</v>
      </c>
      <c r="D1026" s="21" t="s">
        <v>109</v>
      </c>
      <c r="E1026" s="11" t="s">
        <v>47</v>
      </c>
      <c r="F1026" s="13">
        <v>232</v>
      </c>
      <c r="G1026" s="24" t="s">
        <v>85</v>
      </c>
      <c r="H1026" s="11" t="s">
        <v>129</v>
      </c>
      <c r="I1026" s="15" t="s">
        <v>6236</v>
      </c>
      <c r="J1026" s="10" t="s">
        <v>6388</v>
      </c>
      <c r="K1026" s="11"/>
      <c r="L1026" s="9"/>
      <c r="M1026" s="10"/>
      <c r="N1026" s="22"/>
      <c r="O1026" s="17"/>
      <c r="P1026" s="17"/>
      <c r="Q1026" s="18" t="s">
        <v>78</v>
      </c>
      <c r="R1026" s="18" t="s">
        <v>79</v>
      </c>
      <c r="S1026" s="18" t="s">
        <v>61</v>
      </c>
      <c r="T1026" s="18" t="s">
        <v>62</v>
      </c>
      <c r="U1026" s="19" t="s">
        <v>80</v>
      </c>
    </row>
    <row r="1027" spans="1:21" ht="15.75" customHeight="1" x14ac:dyDescent="0.25">
      <c r="A1027" s="27" t="s">
        <v>6389</v>
      </c>
      <c r="B1027" s="28" t="s">
        <v>6390</v>
      </c>
      <c r="C1027" s="29" t="s">
        <v>6391</v>
      </c>
      <c r="D1027" s="37" t="s">
        <v>109</v>
      </c>
      <c r="E1027" s="29" t="s">
        <v>47</v>
      </c>
      <c r="F1027" s="31">
        <v>114</v>
      </c>
      <c r="G1027" s="24" t="s">
        <v>85</v>
      </c>
      <c r="H1027" s="29" t="s">
        <v>330</v>
      </c>
      <c r="I1027" s="32" t="s">
        <v>6392</v>
      </c>
      <c r="J1027" s="28" t="s">
        <v>6393</v>
      </c>
      <c r="K1027" s="29"/>
      <c r="L1027" s="27"/>
      <c r="M1027" s="28"/>
      <c r="N1027" s="38"/>
      <c r="O1027" s="34"/>
      <c r="P1027" s="34"/>
      <c r="Q1027" s="35" t="s">
        <v>78</v>
      </c>
      <c r="R1027" s="35" t="s">
        <v>79</v>
      </c>
      <c r="S1027" s="35" t="s">
        <v>61</v>
      </c>
      <c r="T1027" s="35" t="s">
        <v>62</v>
      </c>
      <c r="U1027" s="36" t="s">
        <v>80</v>
      </c>
    </row>
    <row r="1028" spans="1:21" ht="15.75" customHeight="1" x14ac:dyDescent="0.25">
      <c r="A1028" s="9" t="s">
        <v>6394</v>
      </c>
      <c r="B1028" s="10" t="s">
        <v>6395</v>
      </c>
      <c r="C1028" s="11" t="s">
        <v>6396</v>
      </c>
      <c r="D1028" s="21" t="s">
        <v>109</v>
      </c>
      <c r="E1028" s="11" t="s">
        <v>67</v>
      </c>
      <c r="F1028" s="13">
        <v>-28</v>
      </c>
      <c r="G1028" s="20" t="s">
        <v>68</v>
      </c>
      <c r="H1028" s="11" t="s">
        <v>421</v>
      </c>
      <c r="I1028" s="15" t="s">
        <v>6397</v>
      </c>
      <c r="J1028" s="10" t="s">
        <v>6398</v>
      </c>
      <c r="K1028" s="11" t="s">
        <v>6399</v>
      </c>
      <c r="L1028" s="9" t="s">
        <v>140</v>
      </c>
      <c r="M1028" s="10" t="s">
        <v>141</v>
      </c>
      <c r="N1028" s="22"/>
      <c r="O1028" s="17"/>
      <c r="P1028" s="17"/>
      <c r="Q1028" s="18" t="s">
        <v>78</v>
      </c>
      <c r="R1028" s="18" t="s">
        <v>79</v>
      </c>
      <c r="S1028" s="18" t="s">
        <v>61</v>
      </c>
      <c r="T1028" s="18" t="s">
        <v>62</v>
      </c>
      <c r="U1028" s="19" t="s">
        <v>80</v>
      </c>
    </row>
    <row r="1029" spans="1:21" ht="15.75" customHeight="1" x14ac:dyDescent="0.25">
      <c r="A1029" s="27" t="s">
        <v>6400</v>
      </c>
      <c r="B1029" s="28" t="s">
        <v>6401</v>
      </c>
      <c r="C1029" s="29" t="s">
        <v>6402</v>
      </c>
      <c r="D1029" s="37" t="s">
        <v>109</v>
      </c>
      <c r="E1029" s="29" t="s">
        <v>98</v>
      </c>
      <c r="F1029" s="31">
        <v>440</v>
      </c>
      <c r="G1029" s="24" t="s">
        <v>85</v>
      </c>
      <c r="H1029" s="29" t="s">
        <v>129</v>
      </c>
      <c r="I1029" s="32" t="s">
        <v>6403</v>
      </c>
      <c r="J1029" s="28" t="s">
        <v>6404</v>
      </c>
      <c r="K1029" s="29"/>
      <c r="L1029" s="27"/>
      <c r="M1029" s="28"/>
      <c r="N1029" s="38"/>
      <c r="O1029" s="34"/>
      <c r="P1029" s="34"/>
      <c r="Q1029" s="35" t="s">
        <v>78</v>
      </c>
      <c r="R1029" s="35" t="s">
        <v>79</v>
      </c>
      <c r="S1029" s="35" t="s">
        <v>61</v>
      </c>
      <c r="T1029" s="35" t="s">
        <v>62</v>
      </c>
      <c r="U1029" s="36" t="s">
        <v>80</v>
      </c>
    </row>
    <row r="1030" spans="1:21" ht="15.75" customHeight="1" x14ac:dyDescent="0.25">
      <c r="A1030" s="9" t="s">
        <v>6405</v>
      </c>
      <c r="B1030" s="10" t="s">
        <v>6406</v>
      </c>
      <c r="C1030" s="11" t="s">
        <v>6407</v>
      </c>
      <c r="D1030" s="12" t="s">
        <v>759</v>
      </c>
      <c r="E1030" s="11" t="s">
        <v>47</v>
      </c>
      <c r="F1030" s="11" t="s">
        <v>6408</v>
      </c>
      <c r="G1030" s="20" t="s">
        <v>119</v>
      </c>
      <c r="H1030" s="11" t="s">
        <v>330</v>
      </c>
      <c r="I1030" s="15" t="s">
        <v>6409</v>
      </c>
      <c r="J1030" s="10" t="s">
        <v>6410</v>
      </c>
      <c r="K1030" s="11" t="s">
        <v>132</v>
      </c>
      <c r="L1030" s="9" t="s">
        <v>90</v>
      </c>
      <c r="M1030" s="10" t="s">
        <v>91</v>
      </c>
      <c r="N1030" s="16" t="s">
        <v>75</v>
      </c>
      <c r="O1030" s="17" t="s">
        <v>124</v>
      </c>
      <c r="P1030" s="17" t="s">
        <v>125</v>
      </c>
      <c r="Q1030" s="18" t="s">
        <v>78</v>
      </c>
      <c r="R1030" s="18" t="s">
        <v>79</v>
      </c>
      <c r="S1030" s="18" t="s">
        <v>61</v>
      </c>
      <c r="T1030" s="18" t="s">
        <v>62</v>
      </c>
      <c r="U1030" s="19" t="s">
        <v>80</v>
      </c>
    </row>
    <row r="1031" spans="1:21" ht="15.75" customHeight="1" x14ac:dyDescent="0.25">
      <c r="A1031" s="27" t="s">
        <v>6411</v>
      </c>
      <c r="B1031" s="28" t="s">
        <v>6412</v>
      </c>
      <c r="C1031" s="29" t="s">
        <v>6413</v>
      </c>
      <c r="D1031" s="37" t="s">
        <v>109</v>
      </c>
      <c r="E1031" s="29" t="s">
        <v>98</v>
      </c>
      <c r="F1031" s="29" t="s">
        <v>244</v>
      </c>
      <c r="G1031" s="24" t="s">
        <v>85</v>
      </c>
      <c r="H1031" s="29" t="s">
        <v>100</v>
      </c>
      <c r="I1031" s="32" t="s">
        <v>1297</v>
      </c>
      <c r="J1031" s="28" t="s">
        <v>6414</v>
      </c>
      <c r="K1031" s="29"/>
      <c r="L1031" s="27"/>
      <c r="M1031" s="28"/>
      <c r="N1031" s="38"/>
      <c r="O1031" s="34"/>
      <c r="P1031" s="34"/>
      <c r="Q1031" s="35" t="s">
        <v>78</v>
      </c>
      <c r="R1031" s="35" t="s">
        <v>79</v>
      </c>
      <c r="S1031" s="35" t="s">
        <v>61</v>
      </c>
      <c r="T1031" s="35" t="s">
        <v>62</v>
      </c>
      <c r="U1031" s="36" t="s">
        <v>80</v>
      </c>
    </row>
    <row r="1032" spans="1:21" ht="15.75" customHeight="1" x14ac:dyDescent="0.25">
      <c r="A1032" s="9" t="s">
        <v>6415</v>
      </c>
      <c r="B1032" s="10" t="s">
        <v>6416</v>
      </c>
      <c r="C1032" s="11" t="s">
        <v>6417</v>
      </c>
      <c r="D1032" s="21" t="s">
        <v>109</v>
      </c>
      <c r="E1032" s="11" t="s">
        <v>98</v>
      </c>
      <c r="F1032" s="13">
        <v>370</v>
      </c>
      <c r="G1032" s="24" t="s">
        <v>85</v>
      </c>
      <c r="H1032" s="11" t="s">
        <v>129</v>
      </c>
      <c r="I1032" s="15" t="s">
        <v>862</v>
      </c>
      <c r="J1032" s="10" t="s">
        <v>6418</v>
      </c>
      <c r="K1032" s="11"/>
      <c r="L1032" s="9"/>
      <c r="M1032" s="10"/>
      <c r="N1032" s="22"/>
      <c r="O1032" s="17"/>
      <c r="P1032" s="17"/>
      <c r="Q1032" s="18" t="s">
        <v>78</v>
      </c>
      <c r="R1032" s="18" t="s">
        <v>79</v>
      </c>
      <c r="S1032" s="18" t="s">
        <v>61</v>
      </c>
      <c r="T1032" s="18" t="s">
        <v>62</v>
      </c>
      <c r="U1032" s="19" t="s">
        <v>80</v>
      </c>
    </row>
    <row r="1033" spans="1:21" ht="15.75" customHeight="1" x14ac:dyDescent="0.25">
      <c r="A1033" s="27" t="s">
        <v>6419</v>
      </c>
      <c r="B1033" s="28" t="s">
        <v>6420</v>
      </c>
      <c r="C1033" s="29" t="s">
        <v>6421</v>
      </c>
      <c r="D1033" s="37" t="s">
        <v>109</v>
      </c>
      <c r="E1033" s="29" t="s">
        <v>47</v>
      </c>
      <c r="F1033" s="31">
        <v>149</v>
      </c>
      <c r="G1033" s="14" t="s">
        <v>119</v>
      </c>
      <c r="H1033" s="29" t="s">
        <v>330</v>
      </c>
      <c r="I1033" s="32" t="s">
        <v>2782</v>
      </c>
      <c r="J1033" s="28" t="s">
        <v>6422</v>
      </c>
      <c r="K1033" s="29" t="s">
        <v>6423</v>
      </c>
      <c r="L1033" s="27" t="s">
        <v>158</v>
      </c>
      <c r="M1033" s="28" t="s">
        <v>159</v>
      </c>
      <c r="N1033" s="38"/>
      <c r="O1033" s="34"/>
      <c r="P1033" s="34"/>
      <c r="Q1033" s="35" t="s">
        <v>78</v>
      </c>
      <c r="R1033" s="35" t="s">
        <v>79</v>
      </c>
      <c r="S1033" s="35" t="s">
        <v>61</v>
      </c>
      <c r="T1033" s="35" t="s">
        <v>62</v>
      </c>
      <c r="U1033" s="36" t="s">
        <v>80</v>
      </c>
    </row>
    <row r="1034" spans="1:21" ht="15.75" customHeight="1" x14ac:dyDescent="0.25">
      <c r="A1034" s="9" t="s">
        <v>6424</v>
      </c>
      <c r="B1034" s="10" t="s">
        <v>6425</v>
      </c>
      <c r="C1034" s="11" t="s">
        <v>6426</v>
      </c>
      <c r="D1034" s="12" t="s">
        <v>6427</v>
      </c>
      <c r="E1034" s="11" t="s">
        <v>98</v>
      </c>
      <c r="F1034" s="13">
        <v>732</v>
      </c>
      <c r="G1034" s="26" t="s">
        <v>119</v>
      </c>
      <c r="H1034" s="11" t="s">
        <v>129</v>
      </c>
      <c r="I1034" s="15" t="s">
        <v>2063</v>
      </c>
      <c r="J1034" s="10" t="s">
        <v>6428</v>
      </c>
      <c r="K1034" s="11" t="s">
        <v>6429</v>
      </c>
      <c r="L1034" s="9" t="s">
        <v>481</v>
      </c>
      <c r="M1034" s="10" t="s">
        <v>482</v>
      </c>
      <c r="N1034" s="16" t="s">
        <v>75</v>
      </c>
      <c r="O1034" s="17" t="s">
        <v>467</v>
      </c>
      <c r="P1034" s="17" t="s">
        <v>468</v>
      </c>
      <c r="Q1034" s="18" t="s">
        <v>78</v>
      </c>
      <c r="R1034" s="18" t="s">
        <v>79</v>
      </c>
      <c r="S1034" s="18" t="s">
        <v>61</v>
      </c>
      <c r="T1034" s="18" t="s">
        <v>62</v>
      </c>
      <c r="U1034" s="19" t="s">
        <v>80</v>
      </c>
    </row>
    <row r="1035" spans="1:21" ht="15.75" customHeight="1" x14ac:dyDescent="0.25">
      <c r="A1035" s="27" t="s">
        <v>6430</v>
      </c>
      <c r="B1035" s="28" t="s">
        <v>6431</v>
      </c>
      <c r="C1035" s="29" t="s">
        <v>6432</v>
      </c>
      <c r="D1035" s="37" t="s">
        <v>109</v>
      </c>
      <c r="E1035" s="29" t="s">
        <v>98</v>
      </c>
      <c r="F1035" s="31">
        <v>310</v>
      </c>
      <c r="G1035" s="25" t="s">
        <v>110</v>
      </c>
      <c r="H1035" s="29" t="s">
        <v>129</v>
      </c>
      <c r="I1035" s="32" t="s">
        <v>4005</v>
      </c>
      <c r="J1035" s="28" t="s">
        <v>6433</v>
      </c>
      <c r="K1035" s="29" t="s">
        <v>4252</v>
      </c>
      <c r="L1035" s="27" t="s">
        <v>90</v>
      </c>
      <c r="M1035" s="28" t="s">
        <v>91</v>
      </c>
      <c r="N1035" s="38"/>
      <c r="O1035" s="34"/>
      <c r="P1035" s="34"/>
      <c r="Q1035" s="35" t="s">
        <v>78</v>
      </c>
      <c r="R1035" s="35" t="s">
        <v>79</v>
      </c>
      <c r="S1035" s="35" t="s">
        <v>61</v>
      </c>
      <c r="T1035" s="35" t="s">
        <v>62</v>
      </c>
      <c r="U1035" s="36" t="s">
        <v>80</v>
      </c>
    </row>
    <row r="1036" spans="1:21" ht="15.75" customHeight="1" x14ac:dyDescent="0.25">
      <c r="A1036" s="9" t="s">
        <v>6434</v>
      </c>
      <c r="B1036" s="10" t="s">
        <v>6435</v>
      </c>
      <c r="C1036" s="11" t="s">
        <v>6436</v>
      </c>
      <c r="D1036" s="21" t="s">
        <v>109</v>
      </c>
      <c r="E1036" s="11" t="s">
        <v>47</v>
      </c>
      <c r="F1036" s="13">
        <v>180</v>
      </c>
      <c r="G1036" s="25" t="s">
        <v>110</v>
      </c>
      <c r="H1036" s="11" t="s">
        <v>86</v>
      </c>
      <c r="I1036" s="15" t="s">
        <v>6437</v>
      </c>
      <c r="J1036" s="10" t="s">
        <v>6438</v>
      </c>
      <c r="K1036" s="11" t="s">
        <v>6439</v>
      </c>
      <c r="L1036" s="9" t="s">
        <v>90</v>
      </c>
      <c r="M1036" s="10" t="s">
        <v>91</v>
      </c>
      <c r="N1036" s="22"/>
      <c r="O1036" s="17"/>
      <c r="P1036" s="17"/>
      <c r="Q1036" s="18" t="s">
        <v>78</v>
      </c>
      <c r="R1036" s="18" t="s">
        <v>79</v>
      </c>
      <c r="S1036" s="18" t="s">
        <v>61</v>
      </c>
      <c r="T1036" s="18" t="s">
        <v>62</v>
      </c>
      <c r="U1036" s="19" t="s">
        <v>80</v>
      </c>
    </row>
    <row r="1037" spans="1:21" ht="15.75" customHeight="1" x14ac:dyDescent="0.25">
      <c r="A1037" s="27" t="s">
        <v>6440</v>
      </c>
      <c r="B1037" s="28" t="s">
        <v>6441</v>
      </c>
      <c r="C1037" s="29" t="s">
        <v>6442</v>
      </c>
      <c r="D1037" s="30" t="s">
        <v>6443</v>
      </c>
      <c r="E1037" s="29" t="s">
        <v>47</v>
      </c>
      <c r="F1037" s="31">
        <v>193</v>
      </c>
      <c r="G1037" s="20" t="s">
        <v>119</v>
      </c>
      <c r="H1037" s="29" t="s">
        <v>86</v>
      </c>
      <c r="I1037" s="32" t="s">
        <v>6444</v>
      </c>
      <c r="J1037" s="28" t="s">
        <v>6445</v>
      </c>
      <c r="K1037" s="29" t="s">
        <v>6446</v>
      </c>
      <c r="L1037" s="27" t="s">
        <v>90</v>
      </c>
      <c r="M1037" s="28" t="s">
        <v>91</v>
      </c>
      <c r="N1037" s="33" t="s">
        <v>75</v>
      </c>
      <c r="O1037" s="34" t="s">
        <v>92</v>
      </c>
      <c r="P1037" s="34" t="s">
        <v>93</v>
      </c>
      <c r="Q1037" s="35" t="s">
        <v>78</v>
      </c>
      <c r="R1037" s="35" t="s">
        <v>79</v>
      </c>
      <c r="S1037" s="35" t="s">
        <v>61</v>
      </c>
      <c r="T1037" s="35" t="s">
        <v>62</v>
      </c>
      <c r="U1037" s="36" t="s">
        <v>80</v>
      </c>
    </row>
    <row r="1038" spans="1:21" ht="15.75" customHeight="1" x14ac:dyDescent="0.25">
      <c r="A1038" s="9" t="s">
        <v>6447</v>
      </c>
      <c r="B1038" s="10" t="s">
        <v>6448</v>
      </c>
      <c r="C1038" s="11" t="s">
        <v>6449</v>
      </c>
      <c r="D1038" s="21" t="s">
        <v>109</v>
      </c>
      <c r="E1038" s="11" t="s">
        <v>98</v>
      </c>
      <c r="F1038" s="11" t="s">
        <v>6450</v>
      </c>
      <c r="G1038" s="14" t="s">
        <v>119</v>
      </c>
      <c r="H1038" s="11" t="s">
        <v>120</v>
      </c>
      <c r="I1038" s="15" t="s">
        <v>6451</v>
      </c>
      <c r="J1038" s="10" t="s">
        <v>6452</v>
      </c>
      <c r="K1038" s="11" t="s">
        <v>6453</v>
      </c>
      <c r="L1038" s="9" t="s">
        <v>1203</v>
      </c>
      <c r="M1038" s="10" t="s">
        <v>1204</v>
      </c>
      <c r="N1038" s="22"/>
      <c r="O1038" s="17"/>
      <c r="P1038" s="17"/>
      <c r="Q1038" s="18" t="s">
        <v>78</v>
      </c>
      <c r="R1038" s="18" t="s">
        <v>79</v>
      </c>
      <c r="S1038" s="18" t="s">
        <v>61</v>
      </c>
      <c r="T1038" s="18" t="s">
        <v>62</v>
      </c>
      <c r="U1038" s="19" t="s">
        <v>80</v>
      </c>
    </row>
    <row r="1039" spans="1:21" ht="15.75" customHeight="1" x14ac:dyDescent="0.25">
      <c r="A1039" s="27" t="s">
        <v>6454</v>
      </c>
      <c r="B1039" s="28" t="s">
        <v>6455</v>
      </c>
      <c r="C1039" s="29" t="s">
        <v>6456</v>
      </c>
      <c r="D1039" s="37" t="s">
        <v>109</v>
      </c>
      <c r="E1039" s="29" t="s">
        <v>47</v>
      </c>
      <c r="F1039" s="31">
        <v>103</v>
      </c>
      <c r="G1039" s="14" t="s">
        <v>119</v>
      </c>
      <c r="H1039" s="29" t="s">
        <v>330</v>
      </c>
      <c r="I1039" s="32" t="s">
        <v>566</v>
      </c>
      <c r="J1039" s="28" t="s">
        <v>6457</v>
      </c>
      <c r="K1039" s="29" t="s">
        <v>6458</v>
      </c>
      <c r="L1039" s="27" t="s">
        <v>158</v>
      </c>
      <c r="M1039" s="28" t="s">
        <v>159</v>
      </c>
      <c r="N1039" s="38"/>
      <c r="O1039" s="34"/>
      <c r="P1039" s="34"/>
      <c r="Q1039" s="35" t="s">
        <v>78</v>
      </c>
      <c r="R1039" s="35" t="s">
        <v>79</v>
      </c>
      <c r="S1039" s="35" t="s">
        <v>61</v>
      </c>
      <c r="T1039" s="35" t="s">
        <v>62</v>
      </c>
      <c r="U1039" s="36" t="s">
        <v>80</v>
      </c>
    </row>
    <row r="1040" spans="1:21" ht="15.75" customHeight="1" x14ac:dyDescent="0.25">
      <c r="A1040" s="9" t="s">
        <v>6459</v>
      </c>
      <c r="B1040" s="10" t="s">
        <v>6460</v>
      </c>
      <c r="C1040" s="11" t="s">
        <v>6461</v>
      </c>
      <c r="D1040" s="21" t="s">
        <v>109</v>
      </c>
      <c r="E1040" s="11" t="s">
        <v>47</v>
      </c>
      <c r="F1040" s="13">
        <v>94</v>
      </c>
      <c r="G1040" s="14" t="s">
        <v>119</v>
      </c>
      <c r="H1040" s="11" t="s">
        <v>48</v>
      </c>
      <c r="I1040" s="15" t="s">
        <v>6462</v>
      </c>
      <c r="J1040" s="10" t="s">
        <v>6463</v>
      </c>
      <c r="K1040" s="11" t="s">
        <v>6464</v>
      </c>
      <c r="L1040" s="9" t="s">
        <v>158</v>
      </c>
      <c r="M1040" s="10" t="s">
        <v>159</v>
      </c>
      <c r="N1040" s="22"/>
      <c r="O1040" s="17"/>
      <c r="P1040" s="17"/>
      <c r="Q1040" s="18" t="s">
        <v>78</v>
      </c>
      <c r="R1040" s="18" t="s">
        <v>79</v>
      </c>
      <c r="S1040" s="18" t="s">
        <v>61</v>
      </c>
      <c r="T1040" s="18" t="s">
        <v>62</v>
      </c>
      <c r="U1040" s="19" t="s">
        <v>80</v>
      </c>
    </row>
    <row r="1041" spans="1:21" ht="15.75" customHeight="1" x14ac:dyDescent="0.25">
      <c r="A1041" s="27" t="s">
        <v>6465</v>
      </c>
      <c r="B1041" s="28" t="s">
        <v>6466</v>
      </c>
      <c r="C1041" s="29" t="s">
        <v>6467</v>
      </c>
      <c r="D1041" s="37" t="s">
        <v>109</v>
      </c>
      <c r="E1041" s="29" t="s">
        <v>98</v>
      </c>
      <c r="F1041" s="29"/>
      <c r="G1041" s="25" t="s">
        <v>110</v>
      </c>
      <c r="H1041" s="29" t="s">
        <v>100</v>
      </c>
      <c r="I1041" s="32" t="s">
        <v>5412</v>
      </c>
      <c r="J1041" s="28" t="s">
        <v>6468</v>
      </c>
      <c r="K1041" s="29" t="s">
        <v>3931</v>
      </c>
      <c r="L1041" s="27" t="s">
        <v>90</v>
      </c>
      <c r="M1041" s="28" t="s">
        <v>91</v>
      </c>
      <c r="N1041" s="38"/>
      <c r="O1041" s="34"/>
      <c r="P1041" s="34"/>
      <c r="Q1041" s="35" t="s">
        <v>78</v>
      </c>
      <c r="R1041" s="35" t="s">
        <v>79</v>
      </c>
      <c r="S1041" s="35" t="s">
        <v>61</v>
      </c>
      <c r="T1041" s="35" t="s">
        <v>62</v>
      </c>
      <c r="U1041" s="36" t="s">
        <v>80</v>
      </c>
    </row>
    <row r="1042" spans="1:21" ht="15.75" customHeight="1" x14ac:dyDescent="0.25">
      <c r="A1042" s="9" t="s">
        <v>6469</v>
      </c>
      <c r="B1042" s="10" t="s">
        <v>6470</v>
      </c>
      <c r="C1042" s="11" t="s">
        <v>6471</v>
      </c>
      <c r="D1042" s="21" t="s">
        <v>109</v>
      </c>
      <c r="E1042" s="11" t="s">
        <v>47</v>
      </c>
      <c r="F1042" s="13">
        <v>137</v>
      </c>
      <c r="G1042" s="25" t="s">
        <v>110</v>
      </c>
      <c r="H1042" s="11" t="s">
        <v>330</v>
      </c>
      <c r="I1042" s="15" t="s">
        <v>6472</v>
      </c>
      <c r="J1042" s="10" t="s">
        <v>6473</v>
      </c>
      <c r="K1042" s="11" t="s">
        <v>6474</v>
      </c>
      <c r="L1042" s="9" t="s">
        <v>90</v>
      </c>
      <c r="M1042" s="10" t="s">
        <v>91</v>
      </c>
      <c r="N1042" s="22"/>
      <c r="O1042" s="17"/>
      <c r="P1042" s="17"/>
      <c r="Q1042" s="18" t="s">
        <v>78</v>
      </c>
      <c r="R1042" s="18" t="s">
        <v>79</v>
      </c>
      <c r="S1042" s="18" t="s">
        <v>61</v>
      </c>
      <c r="T1042" s="18" t="s">
        <v>62</v>
      </c>
      <c r="U1042" s="19" t="s">
        <v>80</v>
      </c>
    </row>
    <row r="1043" spans="1:21" ht="15.75" customHeight="1" x14ac:dyDescent="0.25">
      <c r="A1043" s="27" t="s">
        <v>6475</v>
      </c>
      <c r="B1043" s="28" t="s">
        <v>6476</v>
      </c>
      <c r="C1043" s="29" t="s">
        <v>6477</v>
      </c>
      <c r="D1043" s="30" t="s">
        <v>6478</v>
      </c>
      <c r="E1043" s="29" t="s">
        <v>98</v>
      </c>
      <c r="F1043" s="29"/>
      <c r="G1043" s="20" t="s">
        <v>85</v>
      </c>
      <c r="H1043" s="29" t="s">
        <v>100</v>
      </c>
      <c r="I1043" s="32" t="s">
        <v>6479</v>
      </c>
      <c r="J1043" s="28" t="s">
        <v>6480</v>
      </c>
      <c r="K1043" s="29" t="s">
        <v>239</v>
      </c>
      <c r="L1043" s="27" t="s">
        <v>90</v>
      </c>
      <c r="M1043" s="28" t="s">
        <v>91</v>
      </c>
      <c r="N1043" s="33" t="s">
        <v>75</v>
      </c>
      <c r="O1043" s="34" t="s">
        <v>355</v>
      </c>
      <c r="P1043" s="34" t="s">
        <v>356</v>
      </c>
      <c r="Q1043" s="35" t="s">
        <v>78</v>
      </c>
      <c r="R1043" s="35" t="s">
        <v>79</v>
      </c>
      <c r="S1043" s="35" t="s">
        <v>61</v>
      </c>
      <c r="T1043" s="35" t="s">
        <v>62</v>
      </c>
      <c r="U1043" s="36" t="s">
        <v>80</v>
      </c>
    </row>
    <row r="1044" spans="1:21" ht="15.75" customHeight="1" x14ac:dyDescent="0.25">
      <c r="A1044" s="9" t="s">
        <v>6481</v>
      </c>
      <c r="B1044" s="10" t="s">
        <v>6482</v>
      </c>
      <c r="C1044" s="11" t="s">
        <v>6483</v>
      </c>
      <c r="D1044" s="21" t="s">
        <v>109</v>
      </c>
      <c r="E1044" s="11" t="s">
        <v>98</v>
      </c>
      <c r="F1044" s="11"/>
      <c r="G1044" s="25" t="s">
        <v>110</v>
      </c>
      <c r="H1044" s="11" t="s">
        <v>120</v>
      </c>
      <c r="I1044" s="15" t="s">
        <v>139</v>
      </c>
      <c r="J1044" s="10" t="s">
        <v>6484</v>
      </c>
      <c r="K1044" s="11" t="s">
        <v>6485</v>
      </c>
      <c r="L1044" s="9" t="s">
        <v>90</v>
      </c>
      <c r="M1044" s="10" t="s">
        <v>91</v>
      </c>
      <c r="N1044" s="22"/>
      <c r="O1044" s="17"/>
      <c r="P1044" s="17"/>
      <c r="Q1044" s="18" t="s">
        <v>78</v>
      </c>
      <c r="R1044" s="18" t="s">
        <v>79</v>
      </c>
      <c r="S1044" s="18" t="s">
        <v>61</v>
      </c>
      <c r="T1044" s="18" t="s">
        <v>62</v>
      </c>
      <c r="U1044" s="19" t="s">
        <v>80</v>
      </c>
    </row>
    <row r="1045" spans="1:21" ht="15.75" customHeight="1" x14ac:dyDescent="0.25">
      <c r="A1045" s="27" t="s">
        <v>6486</v>
      </c>
      <c r="B1045" s="28" t="s">
        <v>6487</v>
      </c>
      <c r="C1045" s="29" t="s">
        <v>6488</v>
      </c>
      <c r="D1045" s="37" t="s">
        <v>109</v>
      </c>
      <c r="E1045" s="29" t="s">
        <v>47</v>
      </c>
      <c r="F1045" s="31">
        <v>142</v>
      </c>
      <c r="G1045" s="14" t="s">
        <v>119</v>
      </c>
      <c r="H1045" s="29" t="s">
        <v>330</v>
      </c>
      <c r="I1045" s="32" t="s">
        <v>6489</v>
      </c>
      <c r="J1045" s="28" t="s">
        <v>6490</v>
      </c>
      <c r="K1045" s="29" t="s">
        <v>6491</v>
      </c>
      <c r="L1045" s="27" t="s">
        <v>158</v>
      </c>
      <c r="M1045" s="28" t="s">
        <v>159</v>
      </c>
      <c r="N1045" s="38"/>
      <c r="O1045" s="34"/>
      <c r="P1045" s="34"/>
      <c r="Q1045" s="35" t="s">
        <v>78</v>
      </c>
      <c r="R1045" s="35" t="s">
        <v>79</v>
      </c>
      <c r="S1045" s="35" t="s">
        <v>61</v>
      </c>
      <c r="T1045" s="35" t="s">
        <v>62</v>
      </c>
      <c r="U1045" s="36" t="s">
        <v>80</v>
      </c>
    </row>
    <row r="1046" spans="1:21" ht="15.75" customHeight="1" x14ac:dyDescent="0.25">
      <c r="A1046" s="9" t="s">
        <v>6492</v>
      </c>
      <c r="B1046" s="10" t="s">
        <v>6493</v>
      </c>
      <c r="C1046" s="11" t="s">
        <v>6494</v>
      </c>
      <c r="D1046" s="21" t="s">
        <v>109</v>
      </c>
      <c r="E1046" s="11" t="s">
        <v>47</v>
      </c>
      <c r="F1046" s="13">
        <v>217</v>
      </c>
      <c r="G1046" s="24" t="s">
        <v>85</v>
      </c>
      <c r="H1046" s="11" t="s">
        <v>129</v>
      </c>
      <c r="I1046" s="15" t="s">
        <v>620</v>
      </c>
      <c r="J1046" s="10" t="s">
        <v>6495</v>
      </c>
      <c r="K1046" s="11"/>
      <c r="L1046" s="9"/>
      <c r="M1046" s="10"/>
      <c r="N1046" s="22"/>
      <c r="O1046" s="17"/>
      <c r="P1046" s="17"/>
      <c r="Q1046" s="18" t="s">
        <v>78</v>
      </c>
      <c r="R1046" s="18" t="s">
        <v>79</v>
      </c>
      <c r="S1046" s="18" t="s">
        <v>61</v>
      </c>
      <c r="T1046" s="18" t="s">
        <v>62</v>
      </c>
      <c r="U1046" s="19" t="s">
        <v>80</v>
      </c>
    </row>
    <row r="1047" spans="1:21" ht="15.75" customHeight="1" x14ac:dyDescent="0.25">
      <c r="A1047" s="27" t="s">
        <v>6496</v>
      </c>
      <c r="B1047" s="28" t="s">
        <v>6497</v>
      </c>
      <c r="C1047" s="29" t="s">
        <v>6498</v>
      </c>
      <c r="D1047" s="37" t="s">
        <v>109</v>
      </c>
      <c r="E1047" s="29" t="s">
        <v>47</v>
      </c>
      <c r="F1047" s="31">
        <v>90</v>
      </c>
      <c r="G1047" s="14" t="s">
        <v>119</v>
      </c>
      <c r="H1047" s="29" t="s">
        <v>48</v>
      </c>
      <c r="I1047" s="32" t="s">
        <v>3689</v>
      </c>
      <c r="J1047" s="28" t="s">
        <v>6499</v>
      </c>
      <c r="K1047" s="29" t="s">
        <v>6500</v>
      </c>
      <c r="L1047" s="27" t="s">
        <v>158</v>
      </c>
      <c r="M1047" s="28" t="s">
        <v>159</v>
      </c>
      <c r="N1047" s="38"/>
      <c r="O1047" s="34"/>
      <c r="P1047" s="34"/>
      <c r="Q1047" s="35" t="s">
        <v>78</v>
      </c>
      <c r="R1047" s="35" t="s">
        <v>79</v>
      </c>
      <c r="S1047" s="35" t="s">
        <v>61</v>
      </c>
      <c r="T1047" s="35" t="s">
        <v>62</v>
      </c>
      <c r="U1047" s="36" t="s">
        <v>80</v>
      </c>
    </row>
    <row r="1048" spans="1:21" ht="15.75" customHeight="1" x14ac:dyDescent="0.25">
      <c r="A1048" s="9" t="s">
        <v>6501</v>
      </c>
      <c r="B1048" s="10" t="s">
        <v>6502</v>
      </c>
      <c r="C1048" s="11" t="s">
        <v>6503</v>
      </c>
      <c r="D1048" s="21" t="s">
        <v>109</v>
      </c>
      <c r="E1048" s="11" t="s">
        <v>47</v>
      </c>
      <c r="F1048" s="13">
        <v>144.19999999999999</v>
      </c>
      <c r="G1048" s="25" t="s">
        <v>110</v>
      </c>
      <c r="H1048" s="11" t="s">
        <v>330</v>
      </c>
      <c r="I1048" s="15" t="s">
        <v>6504</v>
      </c>
      <c r="J1048" s="10" t="s">
        <v>6505</v>
      </c>
      <c r="K1048" s="11" t="s">
        <v>6506</v>
      </c>
      <c r="L1048" s="9" t="s">
        <v>90</v>
      </c>
      <c r="M1048" s="10" t="s">
        <v>91</v>
      </c>
      <c r="N1048" s="22"/>
      <c r="O1048" s="17"/>
      <c r="P1048" s="17"/>
      <c r="Q1048" s="18" t="s">
        <v>78</v>
      </c>
      <c r="R1048" s="18" t="s">
        <v>79</v>
      </c>
      <c r="S1048" s="18" t="s">
        <v>61</v>
      </c>
      <c r="T1048" s="18" t="s">
        <v>62</v>
      </c>
      <c r="U1048" s="19" t="s">
        <v>80</v>
      </c>
    </row>
    <row r="1049" spans="1:21" ht="15.75" customHeight="1" x14ac:dyDescent="0.25">
      <c r="A1049" s="27" t="s">
        <v>6507</v>
      </c>
      <c r="B1049" s="28" t="s">
        <v>6508</v>
      </c>
      <c r="C1049" s="29" t="s">
        <v>6509</v>
      </c>
      <c r="D1049" s="37" t="s">
        <v>109</v>
      </c>
      <c r="E1049" s="29" t="s">
        <v>47</v>
      </c>
      <c r="F1049" s="31">
        <v>175</v>
      </c>
      <c r="G1049" s="25" t="s">
        <v>110</v>
      </c>
      <c r="H1049" s="29" t="s">
        <v>86</v>
      </c>
      <c r="I1049" s="32" t="s">
        <v>4330</v>
      </c>
      <c r="J1049" s="28" t="s">
        <v>6508</v>
      </c>
      <c r="K1049" s="29" t="s">
        <v>507</v>
      </c>
      <c r="L1049" s="27" t="s">
        <v>90</v>
      </c>
      <c r="M1049" s="28" t="s">
        <v>91</v>
      </c>
      <c r="N1049" s="38"/>
      <c r="O1049" s="34"/>
      <c r="P1049" s="34"/>
      <c r="Q1049" s="35" t="s">
        <v>78</v>
      </c>
      <c r="R1049" s="35" t="s">
        <v>79</v>
      </c>
      <c r="S1049" s="35" t="s">
        <v>61</v>
      </c>
      <c r="T1049" s="35" t="s">
        <v>62</v>
      </c>
      <c r="U1049" s="36" t="s">
        <v>80</v>
      </c>
    </row>
    <row r="1050" spans="1:21" ht="15.75" customHeight="1" x14ac:dyDescent="0.25">
      <c r="A1050" s="9" t="s">
        <v>6510</v>
      </c>
      <c r="B1050" s="10" t="s">
        <v>6511</v>
      </c>
      <c r="C1050" s="11" t="s">
        <v>6512</v>
      </c>
      <c r="D1050" s="21" t="s">
        <v>109</v>
      </c>
      <c r="E1050" s="11" t="s">
        <v>47</v>
      </c>
      <c r="F1050" s="13">
        <v>158</v>
      </c>
      <c r="G1050" s="24" t="s">
        <v>85</v>
      </c>
      <c r="H1050" s="11" t="s">
        <v>86</v>
      </c>
      <c r="I1050" s="15" t="s">
        <v>1472</v>
      </c>
      <c r="J1050" s="10" t="s">
        <v>6511</v>
      </c>
      <c r="K1050" s="11"/>
      <c r="L1050" s="9"/>
      <c r="M1050" s="10"/>
      <c r="N1050" s="22"/>
      <c r="O1050" s="17"/>
      <c r="P1050" s="17"/>
      <c r="Q1050" s="18" t="s">
        <v>78</v>
      </c>
      <c r="R1050" s="18" t="s">
        <v>79</v>
      </c>
      <c r="S1050" s="18" t="s">
        <v>61</v>
      </c>
      <c r="T1050" s="18" t="s">
        <v>62</v>
      </c>
      <c r="U1050" s="19" t="s">
        <v>80</v>
      </c>
    </row>
    <row r="1051" spans="1:21" ht="15.75" customHeight="1" x14ac:dyDescent="0.25">
      <c r="A1051" s="27" t="s">
        <v>6513</v>
      </c>
      <c r="B1051" s="28" t="s">
        <v>6514</v>
      </c>
      <c r="C1051" s="29" t="s">
        <v>6515</v>
      </c>
      <c r="D1051" s="37" t="s">
        <v>109</v>
      </c>
      <c r="E1051" s="29" t="s">
        <v>47</v>
      </c>
      <c r="F1051" s="31">
        <v>157</v>
      </c>
      <c r="G1051" s="24" t="s">
        <v>85</v>
      </c>
      <c r="H1051" s="29" t="s">
        <v>86</v>
      </c>
      <c r="I1051" s="32" t="s">
        <v>6516</v>
      </c>
      <c r="J1051" s="28" t="s">
        <v>6517</v>
      </c>
      <c r="K1051" s="29"/>
      <c r="L1051" s="27"/>
      <c r="M1051" s="28"/>
      <c r="N1051" s="38"/>
      <c r="O1051" s="34"/>
      <c r="P1051" s="34"/>
      <c r="Q1051" s="35" t="s">
        <v>78</v>
      </c>
      <c r="R1051" s="35" t="s">
        <v>79</v>
      </c>
      <c r="S1051" s="35" t="s">
        <v>61</v>
      </c>
      <c r="T1051" s="35" t="s">
        <v>62</v>
      </c>
      <c r="U1051" s="36" t="s">
        <v>80</v>
      </c>
    </row>
    <row r="1052" spans="1:21" ht="15.75" customHeight="1" x14ac:dyDescent="0.25">
      <c r="A1052" s="9" t="s">
        <v>6518</v>
      </c>
      <c r="B1052" s="10" t="s">
        <v>6519</v>
      </c>
      <c r="C1052" s="11" t="s">
        <v>6520</v>
      </c>
      <c r="D1052" s="21" t="s">
        <v>109</v>
      </c>
      <c r="E1052" s="11" t="s">
        <v>98</v>
      </c>
      <c r="F1052" s="11" t="s">
        <v>5099</v>
      </c>
      <c r="G1052" s="24" t="s">
        <v>85</v>
      </c>
      <c r="H1052" s="11" t="s">
        <v>100</v>
      </c>
      <c r="I1052" s="15" t="s">
        <v>3842</v>
      </c>
      <c r="J1052" s="10" t="s">
        <v>6521</v>
      </c>
      <c r="K1052" s="11"/>
      <c r="L1052" s="9"/>
      <c r="M1052" s="10"/>
      <c r="N1052" s="22"/>
      <c r="O1052" s="17"/>
      <c r="P1052" s="17"/>
      <c r="Q1052" s="18" t="s">
        <v>78</v>
      </c>
      <c r="R1052" s="18" t="s">
        <v>79</v>
      </c>
      <c r="S1052" s="18" t="s">
        <v>61</v>
      </c>
      <c r="T1052" s="18" t="s">
        <v>62</v>
      </c>
      <c r="U1052" s="19" t="s">
        <v>80</v>
      </c>
    </row>
    <row r="1053" spans="1:21" ht="15.75" customHeight="1" x14ac:dyDescent="0.25">
      <c r="A1053" s="27" t="s">
        <v>6522</v>
      </c>
      <c r="B1053" s="28" t="s">
        <v>6523</v>
      </c>
      <c r="C1053" s="29" t="s">
        <v>6524</v>
      </c>
      <c r="D1053" s="37" t="s">
        <v>109</v>
      </c>
      <c r="E1053" s="29" t="s">
        <v>47</v>
      </c>
      <c r="F1053" s="31">
        <v>171.7</v>
      </c>
      <c r="G1053" s="24" t="s">
        <v>85</v>
      </c>
      <c r="H1053" s="29" t="s">
        <v>86</v>
      </c>
      <c r="I1053" s="32" t="s">
        <v>678</v>
      </c>
      <c r="J1053" s="28" t="s">
        <v>6525</v>
      </c>
      <c r="K1053" s="29"/>
      <c r="L1053" s="27"/>
      <c r="M1053" s="28"/>
      <c r="N1053" s="38"/>
      <c r="O1053" s="34"/>
      <c r="P1053" s="34"/>
      <c r="Q1053" s="35" t="s">
        <v>78</v>
      </c>
      <c r="R1053" s="35" t="s">
        <v>79</v>
      </c>
      <c r="S1053" s="35" t="s">
        <v>61</v>
      </c>
      <c r="T1053" s="35" t="s">
        <v>62</v>
      </c>
      <c r="U1053" s="36" t="s">
        <v>80</v>
      </c>
    </row>
    <row r="1054" spans="1:21" ht="15.75" customHeight="1" x14ac:dyDescent="0.25">
      <c r="A1054" s="9" t="s">
        <v>6526</v>
      </c>
      <c r="B1054" s="10" t="s">
        <v>6527</v>
      </c>
      <c r="C1054" s="11" t="s">
        <v>6528</v>
      </c>
      <c r="D1054" s="21" t="s">
        <v>109</v>
      </c>
      <c r="E1054" s="11" t="s">
        <v>47</v>
      </c>
      <c r="F1054" s="13">
        <v>182.5</v>
      </c>
      <c r="G1054" s="24" t="s">
        <v>85</v>
      </c>
      <c r="H1054" s="11" t="s">
        <v>86</v>
      </c>
      <c r="I1054" s="15" t="s">
        <v>6529</v>
      </c>
      <c r="J1054" s="10" t="s">
        <v>6530</v>
      </c>
      <c r="K1054" s="11"/>
      <c r="L1054" s="9"/>
      <c r="M1054" s="10"/>
      <c r="N1054" s="22"/>
      <c r="O1054" s="17"/>
      <c r="P1054" s="17"/>
      <c r="Q1054" s="18" t="s">
        <v>78</v>
      </c>
      <c r="R1054" s="18" t="s">
        <v>79</v>
      </c>
      <c r="S1054" s="18" t="s">
        <v>61</v>
      </c>
      <c r="T1054" s="18" t="s">
        <v>62</v>
      </c>
      <c r="U1054" s="19" t="s">
        <v>80</v>
      </c>
    </row>
    <row r="1055" spans="1:21" ht="15.75" customHeight="1" x14ac:dyDescent="0.25">
      <c r="A1055" s="27" t="s">
        <v>6531</v>
      </c>
      <c r="B1055" s="28" t="s">
        <v>6532</v>
      </c>
      <c r="C1055" s="29" t="s">
        <v>6533</v>
      </c>
      <c r="D1055" s="37" t="s">
        <v>109</v>
      </c>
      <c r="E1055" s="29" t="s">
        <v>98</v>
      </c>
      <c r="F1055" s="29"/>
      <c r="G1055" s="24" t="s">
        <v>85</v>
      </c>
      <c r="H1055" s="29" t="s">
        <v>120</v>
      </c>
      <c r="I1055" s="32" t="s">
        <v>6458</v>
      </c>
      <c r="J1055" s="28" t="s">
        <v>6534</v>
      </c>
      <c r="K1055" s="29"/>
      <c r="L1055" s="27"/>
      <c r="M1055" s="28"/>
      <c r="N1055" s="38"/>
      <c r="O1055" s="34"/>
      <c r="P1055" s="34"/>
      <c r="Q1055" s="35" t="s">
        <v>78</v>
      </c>
      <c r="R1055" s="35" t="s">
        <v>79</v>
      </c>
      <c r="S1055" s="35" t="s">
        <v>61</v>
      </c>
      <c r="T1055" s="35" t="s">
        <v>62</v>
      </c>
      <c r="U1055" s="36" t="s">
        <v>80</v>
      </c>
    </row>
    <row r="1056" spans="1:21" ht="15.75" customHeight="1" x14ac:dyDescent="0.25">
      <c r="A1056" s="9" t="s">
        <v>6535</v>
      </c>
      <c r="B1056" s="10" t="s">
        <v>6536</v>
      </c>
      <c r="C1056" s="11" t="s">
        <v>6537</v>
      </c>
      <c r="D1056" s="21" t="s">
        <v>109</v>
      </c>
      <c r="E1056" s="11" t="s">
        <v>98</v>
      </c>
      <c r="F1056" s="11" t="s">
        <v>6538</v>
      </c>
      <c r="G1056" s="25" t="s">
        <v>110</v>
      </c>
      <c r="H1056" s="11" t="s">
        <v>100</v>
      </c>
      <c r="I1056" s="15" t="s">
        <v>157</v>
      </c>
      <c r="J1056" s="10" t="s">
        <v>6539</v>
      </c>
      <c r="K1056" s="11" t="s">
        <v>1114</v>
      </c>
      <c r="L1056" s="9" t="s">
        <v>90</v>
      </c>
      <c r="M1056" s="10" t="s">
        <v>91</v>
      </c>
      <c r="N1056" s="22"/>
      <c r="O1056" s="17"/>
      <c r="P1056" s="17"/>
      <c r="Q1056" s="18" t="s">
        <v>78</v>
      </c>
      <c r="R1056" s="18" t="s">
        <v>79</v>
      </c>
      <c r="S1056" s="18" t="s">
        <v>61</v>
      </c>
      <c r="T1056" s="18" t="s">
        <v>62</v>
      </c>
      <c r="U1056" s="19" t="s">
        <v>80</v>
      </c>
    </row>
    <row r="1057" spans="1:21" ht="15.75" customHeight="1" x14ac:dyDescent="0.25">
      <c r="A1057" s="27" t="s">
        <v>6540</v>
      </c>
      <c r="B1057" s="28" t="s">
        <v>6541</v>
      </c>
      <c r="C1057" s="29" t="s">
        <v>6542</v>
      </c>
      <c r="D1057" s="37" t="s">
        <v>109</v>
      </c>
      <c r="E1057" s="29" t="s">
        <v>1264</v>
      </c>
      <c r="F1057" s="29"/>
      <c r="G1057" s="14" t="s">
        <v>119</v>
      </c>
      <c r="H1057" s="29" t="s">
        <v>100</v>
      </c>
      <c r="I1057" s="32" t="s">
        <v>711</v>
      </c>
      <c r="J1057" s="28" t="s">
        <v>6543</v>
      </c>
      <c r="K1057" s="29" t="s">
        <v>6544</v>
      </c>
      <c r="L1057" s="27" t="s">
        <v>1698</v>
      </c>
      <c r="M1057" s="28" t="s">
        <v>1699</v>
      </c>
      <c r="N1057" s="38"/>
      <c r="O1057" s="34"/>
      <c r="P1057" s="34"/>
      <c r="Q1057" s="35" t="s">
        <v>78</v>
      </c>
      <c r="R1057" s="35" t="s">
        <v>79</v>
      </c>
      <c r="S1057" s="35" t="s">
        <v>61</v>
      </c>
      <c r="T1057" s="35" t="s">
        <v>62</v>
      </c>
      <c r="U1057" s="36" t="s">
        <v>80</v>
      </c>
    </row>
    <row r="1058" spans="1:21" ht="15.75" customHeight="1" x14ac:dyDescent="0.25">
      <c r="A1058" s="9" t="s">
        <v>6545</v>
      </c>
      <c r="B1058" s="10" t="s">
        <v>6546</v>
      </c>
      <c r="C1058" s="11" t="s">
        <v>6547</v>
      </c>
      <c r="D1058" s="21" t="s">
        <v>109</v>
      </c>
      <c r="E1058" s="11" t="s">
        <v>98</v>
      </c>
      <c r="F1058" s="13">
        <v>204</v>
      </c>
      <c r="G1058" s="24" t="s">
        <v>85</v>
      </c>
      <c r="H1058" s="11" t="s">
        <v>129</v>
      </c>
      <c r="I1058" s="15" t="s">
        <v>6548</v>
      </c>
      <c r="J1058" s="10" t="s">
        <v>6549</v>
      </c>
      <c r="K1058" s="11"/>
      <c r="L1058" s="9"/>
      <c r="M1058" s="10"/>
      <c r="N1058" s="22"/>
      <c r="O1058" s="17"/>
      <c r="P1058" s="17"/>
      <c r="Q1058" s="18" t="s">
        <v>78</v>
      </c>
      <c r="R1058" s="18" t="s">
        <v>79</v>
      </c>
      <c r="S1058" s="18" t="s">
        <v>61</v>
      </c>
      <c r="T1058" s="18" t="s">
        <v>62</v>
      </c>
      <c r="U1058" s="19" t="s">
        <v>80</v>
      </c>
    </row>
    <row r="1059" spans="1:21" ht="15.75" customHeight="1" x14ac:dyDescent="0.25">
      <c r="A1059" s="27" t="s">
        <v>6550</v>
      </c>
      <c r="B1059" s="28" t="s">
        <v>6551</v>
      </c>
      <c r="C1059" s="29" t="s">
        <v>6552</v>
      </c>
      <c r="D1059" s="37" t="s">
        <v>109</v>
      </c>
      <c r="E1059" s="29" t="s">
        <v>98</v>
      </c>
      <c r="F1059" s="29"/>
      <c r="G1059" s="24" t="s">
        <v>85</v>
      </c>
      <c r="H1059" s="29" t="s">
        <v>120</v>
      </c>
      <c r="I1059" s="32" t="s">
        <v>734</v>
      </c>
      <c r="J1059" s="28" t="s">
        <v>6553</v>
      </c>
      <c r="K1059" s="29"/>
      <c r="L1059" s="27"/>
      <c r="M1059" s="28"/>
      <c r="N1059" s="38"/>
      <c r="O1059" s="34"/>
      <c r="P1059" s="34"/>
      <c r="Q1059" s="35" t="s">
        <v>78</v>
      </c>
      <c r="R1059" s="35" t="s">
        <v>79</v>
      </c>
      <c r="S1059" s="35" t="s">
        <v>61</v>
      </c>
      <c r="T1059" s="35" t="s">
        <v>62</v>
      </c>
      <c r="U1059" s="36" t="s">
        <v>80</v>
      </c>
    </row>
    <row r="1060" spans="1:21" ht="15.75" customHeight="1" x14ac:dyDescent="0.25">
      <c r="A1060" s="9" t="s">
        <v>6554</v>
      </c>
      <c r="B1060" s="10" t="s">
        <v>6555</v>
      </c>
      <c r="C1060" s="11" t="s">
        <v>6556</v>
      </c>
      <c r="D1060" s="21" t="s">
        <v>109</v>
      </c>
      <c r="E1060" s="11"/>
      <c r="F1060" s="11"/>
      <c r="G1060" s="14" t="s">
        <v>119</v>
      </c>
      <c r="H1060" s="11" t="s">
        <v>120</v>
      </c>
      <c r="I1060" s="15" t="s">
        <v>750</v>
      </c>
      <c r="J1060" s="10" t="s">
        <v>6557</v>
      </c>
      <c r="K1060" s="11" t="s">
        <v>6558</v>
      </c>
      <c r="L1060" s="9" t="s">
        <v>1698</v>
      </c>
      <c r="M1060" s="10" t="s">
        <v>1699</v>
      </c>
      <c r="N1060" s="22"/>
      <c r="O1060" s="17"/>
      <c r="P1060" s="17"/>
      <c r="Q1060" s="18" t="s">
        <v>78</v>
      </c>
      <c r="R1060" s="18" t="s">
        <v>79</v>
      </c>
      <c r="S1060" s="18" t="s">
        <v>61</v>
      </c>
      <c r="T1060" s="18" t="s">
        <v>62</v>
      </c>
      <c r="U1060" s="19" t="s">
        <v>80</v>
      </c>
    </row>
    <row r="1061" spans="1:21" ht="15.75" customHeight="1" x14ac:dyDescent="0.25">
      <c r="A1061" s="27" t="s">
        <v>6559</v>
      </c>
      <c r="B1061" s="28" t="s">
        <v>6560</v>
      </c>
      <c r="C1061" s="29" t="s">
        <v>6561</v>
      </c>
      <c r="D1061" s="37" t="s">
        <v>109</v>
      </c>
      <c r="E1061" s="29" t="s">
        <v>47</v>
      </c>
      <c r="F1061" s="31">
        <v>173</v>
      </c>
      <c r="G1061" s="25" t="s">
        <v>110</v>
      </c>
      <c r="H1061" s="29" t="s">
        <v>86</v>
      </c>
      <c r="I1061" s="32" t="s">
        <v>6562</v>
      </c>
      <c r="J1061" s="28" t="s">
        <v>6563</v>
      </c>
      <c r="K1061" s="29" t="s">
        <v>507</v>
      </c>
      <c r="L1061" s="27" t="s">
        <v>90</v>
      </c>
      <c r="M1061" s="28" t="s">
        <v>91</v>
      </c>
      <c r="N1061" s="38"/>
      <c r="O1061" s="34"/>
      <c r="P1061" s="34"/>
      <c r="Q1061" s="35" t="s">
        <v>78</v>
      </c>
      <c r="R1061" s="35" t="s">
        <v>79</v>
      </c>
      <c r="S1061" s="35" t="s">
        <v>61</v>
      </c>
      <c r="T1061" s="35" t="s">
        <v>62</v>
      </c>
      <c r="U1061" s="36" t="s">
        <v>80</v>
      </c>
    </row>
    <row r="1062" spans="1:21" ht="15.75" customHeight="1" x14ac:dyDescent="0.25">
      <c r="A1062" s="9" t="s">
        <v>6564</v>
      </c>
      <c r="B1062" s="10" t="s">
        <v>6565</v>
      </c>
      <c r="C1062" s="11" t="s">
        <v>6566</v>
      </c>
      <c r="D1062" s="21" t="s">
        <v>109</v>
      </c>
      <c r="E1062" s="11" t="s">
        <v>47</v>
      </c>
      <c r="F1062" s="13">
        <v>239</v>
      </c>
      <c r="G1062" s="25" t="s">
        <v>110</v>
      </c>
      <c r="H1062" s="11" t="s">
        <v>129</v>
      </c>
      <c r="I1062" s="15" t="s">
        <v>6567</v>
      </c>
      <c r="J1062" s="10" t="s">
        <v>6568</v>
      </c>
      <c r="K1062" s="11" t="s">
        <v>6569</v>
      </c>
      <c r="L1062" s="9" t="s">
        <v>90</v>
      </c>
      <c r="M1062" s="10" t="s">
        <v>91</v>
      </c>
      <c r="N1062" s="22"/>
      <c r="O1062" s="17"/>
      <c r="P1062" s="17"/>
      <c r="Q1062" s="18" t="s">
        <v>78</v>
      </c>
      <c r="R1062" s="18" t="s">
        <v>79</v>
      </c>
      <c r="S1062" s="18" t="s">
        <v>61</v>
      </c>
      <c r="T1062" s="18" t="s">
        <v>62</v>
      </c>
      <c r="U1062" s="19" t="s">
        <v>80</v>
      </c>
    </row>
    <row r="1063" spans="1:21" ht="15.75" customHeight="1" x14ac:dyDescent="0.25">
      <c r="A1063" s="27" t="s">
        <v>6570</v>
      </c>
      <c r="B1063" s="28" t="s">
        <v>6571</v>
      </c>
      <c r="C1063" s="29" t="s">
        <v>6572</v>
      </c>
      <c r="D1063" s="37" t="s">
        <v>109</v>
      </c>
      <c r="E1063" s="29" t="s">
        <v>98</v>
      </c>
      <c r="F1063" s="31">
        <v>243</v>
      </c>
      <c r="G1063" s="24" t="s">
        <v>85</v>
      </c>
      <c r="H1063" s="29" t="s">
        <v>129</v>
      </c>
      <c r="I1063" s="32" t="s">
        <v>6573</v>
      </c>
      <c r="J1063" s="28" t="s">
        <v>6574</v>
      </c>
      <c r="K1063" s="29"/>
      <c r="L1063" s="27"/>
      <c r="M1063" s="28"/>
      <c r="N1063" s="38"/>
      <c r="O1063" s="34"/>
      <c r="P1063" s="34"/>
      <c r="Q1063" s="35" t="s">
        <v>78</v>
      </c>
      <c r="R1063" s="35" t="s">
        <v>79</v>
      </c>
      <c r="S1063" s="35" t="s">
        <v>61</v>
      </c>
      <c r="T1063" s="35" t="s">
        <v>62</v>
      </c>
      <c r="U1063" s="36" t="s">
        <v>80</v>
      </c>
    </row>
    <row r="1064" spans="1:21" ht="15.75" customHeight="1" x14ac:dyDescent="0.25">
      <c r="A1064" s="9" t="s">
        <v>6575</v>
      </c>
      <c r="B1064" s="10" t="s">
        <v>6576</v>
      </c>
      <c r="C1064" s="11" t="s">
        <v>6577</v>
      </c>
      <c r="D1064" s="21" t="s">
        <v>109</v>
      </c>
      <c r="E1064" s="11" t="s">
        <v>47</v>
      </c>
      <c r="F1064" s="13">
        <v>160</v>
      </c>
      <c r="G1064" s="14" t="s">
        <v>119</v>
      </c>
      <c r="H1064" s="11" t="s">
        <v>86</v>
      </c>
      <c r="I1064" s="15" t="s">
        <v>769</v>
      </c>
      <c r="J1064" s="10" t="s">
        <v>6578</v>
      </c>
      <c r="K1064" s="11" t="s">
        <v>6579</v>
      </c>
      <c r="L1064" s="9" t="s">
        <v>158</v>
      </c>
      <c r="M1064" s="10" t="s">
        <v>159</v>
      </c>
      <c r="N1064" s="22"/>
      <c r="O1064" s="17"/>
      <c r="P1064" s="17"/>
      <c r="Q1064" s="18" t="s">
        <v>78</v>
      </c>
      <c r="R1064" s="18" t="s">
        <v>79</v>
      </c>
      <c r="S1064" s="18" t="s">
        <v>61</v>
      </c>
      <c r="T1064" s="18" t="s">
        <v>62</v>
      </c>
      <c r="U1064" s="19" t="s">
        <v>80</v>
      </c>
    </row>
    <row r="1065" spans="1:21" ht="15.75" customHeight="1" x14ac:dyDescent="0.25">
      <c r="A1065" s="27" t="s">
        <v>6580</v>
      </c>
      <c r="B1065" s="28" t="s">
        <v>6581</v>
      </c>
      <c r="C1065" s="29" t="s">
        <v>6582</v>
      </c>
      <c r="D1065" s="37" t="s">
        <v>109</v>
      </c>
      <c r="E1065" s="29" t="s">
        <v>98</v>
      </c>
      <c r="F1065" s="29"/>
      <c r="G1065" s="25" t="s">
        <v>110</v>
      </c>
      <c r="H1065" s="29" t="s">
        <v>100</v>
      </c>
      <c r="I1065" s="32" t="s">
        <v>6583</v>
      </c>
      <c r="J1065" s="28" t="s">
        <v>6584</v>
      </c>
      <c r="K1065" s="29" t="s">
        <v>1655</v>
      </c>
      <c r="L1065" s="27" t="s">
        <v>90</v>
      </c>
      <c r="M1065" s="28" t="s">
        <v>91</v>
      </c>
      <c r="N1065" s="38"/>
      <c r="O1065" s="34"/>
      <c r="P1065" s="34"/>
      <c r="Q1065" s="35" t="s">
        <v>78</v>
      </c>
      <c r="R1065" s="35" t="s">
        <v>79</v>
      </c>
      <c r="S1065" s="35" t="s">
        <v>61</v>
      </c>
      <c r="T1065" s="35" t="s">
        <v>62</v>
      </c>
      <c r="U1065" s="36" t="s">
        <v>80</v>
      </c>
    </row>
    <row r="1066" spans="1:21" ht="15.75" customHeight="1" x14ac:dyDescent="0.25">
      <c r="A1066" s="9" t="s">
        <v>6585</v>
      </c>
      <c r="B1066" s="10" t="s">
        <v>6586</v>
      </c>
      <c r="C1066" s="11" t="s">
        <v>6587</v>
      </c>
      <c r="D1066" s="21" t="s">
        <v>109</v>
      </c>
      <c r="E1066" s="11" t="s">
        <v>98</v>
      </c>
      <c r="F1066" s="11" t="s">
        <v>6588</v>
      </c>
      <c r="G1066" s="24" t="s">
        <v>85</v>
      </c>
      <c r="H1066" s="11" t="s">
        <v>120</v>
      </c>
      <c r="I1066" s="15" t="s">
        <v>165</v>
      </c>
      <c r="J1066" s="10" t="s">
        <v>6589</v>
      </c>
      <c r="K1066" s="11"/>
      <c r="L1066" s="9"/>
      <c r="M1066" s="10"/>
      <c r="N1066" s="22"/>
      <c r="O1066" s="17"/>
      <c r="P1066" s="17"/>
      <c r="Q1066" s="18" t="s">
        <v>78</v>
      </c>
      <c r="R1066" s="18" t="s">
        <v>79</v>
      </c>
      <c r="S1066" s="18" t="s">
        <v>61</v>
      </c>
      <c r="T1066" s="18" t="s">
        <v>62</v>
      </c>
      <c r="U1066" s="19" t="s">
        <v>80</v>
      </c>
    </row>
    <row r="1067" spans="1:21" ht="15.75" customHeight="1" x14ac:dyDescent="0.25">
      <c r="A1067" s="27" t="s">
        <v>6590</v>
      </c>
      <c r="B1067" s="28" t="s">
        <v>6591</v>
      </c>
      <c r="C1067" s="29" t="s">
        <v>6592</v>
      </c>
      <c r="D1067" s="37" t="s">
        <v>109</v>
      </c>
      <c r="E1067" s="29" t="s">
        <v>47</v>
      </c>
      <c r="F1067" s="31">
        <v>190.7</v>
      </c>
      <c r="G1067" s="25" t="s">
        <v>110</v>
      </c>
      <c r="H1067" s="29" t="s">
        <v>86</v>
      </c>
      <c r="I1067" s="32" t="s">
        <v>6593</v>
      </c>
      <c r="J1067" s="28" t="s">
        <v>6594</v>
      </c>
      <c r="K1067" s="29" t="s">
        <v>6595</v>
      </c>
      <c r="L1067" s="27" t="s">
        <v>90</v>
      </c>
      <c r="M1067" s="28" t="s">
        <v>91</v>
      </c>
      <c r="N1067" s="38"/>
      <c r="O1067" s="34"/>
      <c r="P1067" s="34"/>
      <c r="Q1067" s="35" t="s">
        <v>78</v>
      </c>
      <c r="R1067" s="35" t="s">
        <v>79</v>
      </c>
      <c r="S1067" s="35" t="s">
        <v>61</v>
      </c>
      <c r="T1067" s="35" t="s">
        <v>62</v>
      </c>
      <c r="U1067" s="36" t="s">
        <v>80</v>
      </c>
    </row>
    <row r="1068" spans="1:21" ht="15.75" customHeight="1" x14ac:dyDescent="0.25">
      <c r="A1068" s="9" t="s">
        <v>6596</v>
      </c>
      <c r="B1068" s="10" t="s">
        <v>6597</v>
      </c>
      <c r="C1068" s="11" t="s">
        <v>6598</v>
      </c>
      <c r="D1068" s="21" t="s">
        <v>109</v>
      </c>
      <c r="E1068" s="11" t="s">
        <v>47</v>
      </c>
      <c r="F1068" s="13">
        <v>228</v>
      </c>
      <c r="G1068" s="24" t="s">
        <v>85</v>
      </c>
      <c r="H1068" s="11" t="s">
        <v>129</v>
      </c>
      <c r="I1068" s="15" t="s">
        <v>1547</v>
      </c>
      <c r="J1068" s="10" t="s">
        <v>6599</v>
      </c>
      <c r="K1068" s="11"/>
      <c r="L1068" s="9"/>
      <c r="M1068" s="10"/>
      <c r="N1068" s="22"/>
      <c r="O1068" s="17"/>
      <c r="P1068" s="17"/>
      <c r="Q1068" s="18" t="s">
        <v>78</v>
      </c>
      <c r="R1068" s="18" t="s">
        <v>79</v>
      </c>
      <c r="S1068" s="18" t="s">
        <v>61</v>
      </c>
      <c r="T1068" s="18" t="s">
        <v>62</v>
      </c>
      <c r="U1068" s="19" t="s">
        <v>80</v>
      </c>
    </row>
    <row r="1069" spans="1:21" ht="15.75" customHeight="1" x14ac:dyDescent="0.25">
      <c r="A1069" s="27" t="s">
        <v>6600</v>
      </c>
      <c r="B1069" s="28" t="s">
        <v>6601</v>
      </c>
      <c r="C1069" s="29" t="s">
        <v>6602</v>
      </c>
      <c r="D1069" s="37" t="s">
        <v>109</v>
      </c>
      <c r="E1069" s="29" t="s">
        <v>98</v>
      </c>
      <c r="F1069" s="31">
        <v>297</v>
      </c>
      <c r="G1069" s="25" t="s">
        <v>110</v>
      </c>
      <c r="H1069" s="29" t="s">
        <v>129</v>
      </c>
      <c r="I1069" s="32" t="s">
        <v>3326</v>
      </c>
      <c r="J1069" s="28" t="s">
        <v>6603</v>
      </c>
      <c r="K1069" s="29" t="s">
        <v>1655</v>
      </c>
      <c r="L1069" s="27" t="s">
        <v>90</v>
      </c>
      <c r="M1069" s="28" t="s">
        <v>91</v>
      </c>
      <c r="N1069" s="38"/>
      <c r="O1069" s="34"/>
      <c r="P1069" s="34"/>
      <c r="Q1069" s="35" t="s">
        <v>78</v>
      </c>
      <c r="R1069" s="35" t="s">
        <v>79</v>
      </c>
      <c r="S1069" s="35" t="s">
        <v>61</v>
      </c>
      <c r="T1069" s="35" t="s">
        <v>62</v>
      </c>
      <c r="U1069" s="36" t="s">
        <v>80</v>
      </c>
    </row>
    <row r="1070" spans="1:21" ht="15.75" customHeight="1" x14ac:dyDescent="0.25">
      <c r="A1070" s="9" t="s">
        <v>6604</v>
      </c>
      <c r="B1070" s="10" t="s">
        <v>6605</v>
      </c>
      <c r="C1070" s="11" t="s">
        <v>6606</v>
      </c>
      <c r="D1070" s="21" t="s">
        <v>109</v>
      </c>
      <c r="E1070" s="11" t="s">
        <v>67</v>
      </c>
      <c r="F1070" s="13">
        <v>8.9</v>
      </c>
      <c r="G1070" s="24" t="s">
        <v>85</v>
      </c>
      <c r="H1070" s="11" t="s">
        <v>421</v>
      </c>
      <c r="I1070" s="15" t="s">
        <v>6607</v>
      </c>
      <c r="J1070" s="10" t="s">
        <v>6608</v>
      </c>
      <c r="K1070" s="11" t="s">
        <v>6246</v>
      </c>
      <c r="L1070" s="9" t="s">
        <v>248</v>
      </c>
      <c r="M1070" s="10" t="s">
        <v>249</v>
      </c>
      <c r="N1070" s="22"/>
      <c r="O1070" s="17"/>
      <c r="P1070" s="17"/>
      <c r="Q1070" s="18" t="s">
        <v>78</v>
      </c>
      <c r="R1070" s="18" t="s">
        <v>79</v>
      </c>
      <c r="S1070" s="18" t="s">
        <v>61</v>
      </c>
      <c r="T1070" s="18" t="s">
        <v>62</v>
      </c>
      <c r="U1070" s="19" t="s">
        <v>80</v>
      </c>
    </row>
    <row r="1071" spans="1:21" ht="15.75" customHeight="1" x14ac:dyDescent="0.25">
      <c r="A1071" s="27" t="s">
        <v>6609</v>
      </c>
      <c r="B1071" s="28" t="s">
        <v>6610</v>
      </c>
      <c r="C1071" s="29" t="s">
        <v>6611</v>
      </c>
      <c r="D1071" s="37" t="s">
        <v>109</v>
      </c>
      <c r="E1071" s="29" t="s">
        <v>98</v>
      </c>
      <c r="F1071" s="29">
        <v>56.7</v>
      </c>
      <c r="G1071" s="25" t="s">
        <v>110</v>
      </c>
      <c r="H1071" s="29" t="s">
        <v>100</v>
      </c>
      <c r="I1071" s="32" t="s">
        <v>6612</v>
      </c>
      <c r="J1071" s="28" t="s">
        <v>6613</v>
      </c>
      <c r="K1071" s="29" t="s">
        <v>6614</v>
      </c>
      <c r="L1071" s="27" t="s">
        <v>90</v>
      </c>
      <c r="M1071" s="28" t="s">
        <v>91</v>
      </c>
      <c r="N1071" s="38"/>
      <c r="O1071" s="34"/>
      <c r="P1071" s="34"/>
      <c r="Q1071" s="35" t="s">
        <v>78</v>
      </c>
      <c r="R1071" s="35" t="s">
        <v>79</v>
      </c>
      <c r="S1071" s="35" t="s">
        <v>61</v>
      </c>
      <c r="T1071" s="35" t="s">
        <v>62</v>
      </c>
      <c r="U1071" s="36" t="s">
        <v>80</v>
      </c>
    </row>
    <row r="1072" spans="1:21" ht="15.75" customHeight="1" x14ac:dyDescent="0.25">
      <c r="A1072" s="9" t="s">
        <v>6615</v>
      </c>
      <c r="B1072" s="10" t="s">
        <v>6616</v>
      </c>
      <c r="C1072" s="11" t="s">
        <v>6617</v>
      </c>
      <c r="D1072" s="21" t="s">
        <v>109</v>
      </c>
      <c r="E1072" s="11" t="s">
        <v>98</v>
      </c>
      <c r="F1072" s="11" t="s">
        <v>6618</v>
      </c>
      <c r="G1072" s="24" t="s">
        <v>85</v>
      </c>
      <c r="H1072" s="11" t="s">
        <v>120</v>
      </c>
      <c r="I1072" s="15" t="s">
        <v>6619</v>
      </c>
      <c r="J1072" s="10" t="s">
        <v>6620</v>
      </c>
      <c r="K1072" s="11"/>
      <c r="L1072" s="9"/>
      <c r="M1072" s="10"/>
      <c r="N1072" s="22"/>
      <c r="O1072" s="17"/>
      <c r="P1072" s="17"/>
      <c r="Q1072" s="18" t="s">
        <v>78</v>
      </c>
      <c r="R1072" s="18" t="s">
        <v>79</v>
      </c>
      <c r="S1072" s="18" t="s">
        <v>61</v>
      </c>
      <c r="T1072" s="18" t="s">
        <v>62</v>
      </c>
      <c r="U1072" s="19" t="s">
        <v>80</v>
      </c>
    </row>
    <row r="1073" spans="1:21" ht="15.75" customHeight="1" x14ac:dyDescent="0.25">
      <c r="A1073" s="27" t="s">
        <v>6621</v>
      </c>
      <c r="B1073" s="28" t="s">
        <v>6622</v>
      </c>
      <c r="C1073" s="29" t="s">
        <v>6623</v>
      </c>
      <c r="D1073" s="37" t="s">
        <v>109</v>
      </c>
      <c r="E1073" s="29" t="s">
        <v>1264</v>
      </c>
      <c r="F1073" s="29"/>
      <c r="G1073" s="24" t="s">
        <v>85</v>
      </c>
      <c r="H1073" s="29" t="s">
        <v>100</v>
      </c>
      <c r="I1073" s="32" t="s">
        <v>6624</v>
      </c>
      <c r="J1073" s="28" t="s">
        <v>6625</v>
      </c>
      <c r="K1073" s="29"/>
      <c r="L1073" s="27"/>
      <c r="M1073" s="28"/>
      <c r="N1073" s="38"/>
      <c r="O1073" s="34"/>
      <c r="P1073" s="34"/>
      <c r="Q1073" s="35" t="s">
        <v>78</v>
      </c>
      <c r="R1073" s="35" t="s">
        <v>79</v>
      </c>
      <c r="S1073" s="35" t="s">
        <v>61</v>
      </c>
      <c r="T1073" s="35" t="s">
        <v>62</v>
      </c>
      <c r="U1073" s="36" t="s">
        <v>80</v>
      </c>
    </row>
    <row r="1074" spans="1:21" ht="15.75" customHeight="1" x14ac:dyDescent="0.25">
      <c r="A1074" s="9" t="s">
        <v>6626</v>
      </c>
      <c r="B1074" s="10" t="s">
        <v>6627</v>
      </c>
      <c r="C1074" s="11" t="s">
        <v>6628</v>
      </c>
      <c r="D1074" s="21" t="s">
        <v>109</v>
      </c>
      <c r="E1074" s="11" t="s">
        <v>47</v>
      </c>
      <c r="F1074" s="13">
        <v>71</v>
      </c>
      <c r="G1074" s="25" t="s">
        <v>110</v>
      </c>
      <c r="H1074" s="11" t="s">
        <v>48</v>
      </c>
      <c r="I1074" s="15" t="s">
        <v>5653</v>
      </c>
      <c r="J1074" s="10" t="s">
        <v>6629</v>
      </c>
      <c r="K1074" s="11" t="s">
        <v>6630</v>
      </c>
      <c r="L1074" s="9" t="s">
        <v>90</v>
      </c>
      <c r="M1074" s="10" t="s">
        <v>91</v>
      </c>
      <c r="N1074" s="22"/>
      <c r="O1074" s="17"/>
      <c r="P1074" s="17"/>
      <c r="Q1074" s="18" t="s">
        <v>78</v>
      </c>
      <c r="R1074" s="18" t="s">
        <v>79</v>
      </c>
      <c r="S1074" s="18" t="s">
        <v>61</v>
      </c>
      <c r="T1074" s="18" t="s">
        <v>62</v>
      </c>
      <c r="U1074" s="19" t="s">
        <v>80</v>
      </c>
    </row>
    <row r="1075" spans="1:21" ht="15.75" customHeight="1" x14ac:dyDescent="0.25">
      <c r="A1075" s="27" t="s">
        <v>6631</v>
      </c>
      <c r="B1075" s="28" t="s">
        <v>6632</v>
      </c>
      <c r="C1075" s="29" t="s">
        <v>6633</v>
      </c>
      <c r="D1075" s="30" t="s">
        <v>6634</v>
      </c>
      <c r="E1075" s="29" t="s">
        <v>98</v>
      </c>
      <c r="F1075" s="31">
        <v>398</v>
      </c>
      <c r="G1075" s="20" t="s">
        <v>85</v>
      </c>
      <c r="H1075" s="29" t="s">
        <v>129</v>
      </c>
      <c r="I1075" s="32" t="s">
        <v>6635</v>
      </c>
      <c r="J1075" s="28" t="s">
        <v>6636</v>
      </c>
      <c r="K1075" s="29" t="s">
        <v>6637</v>
      </c>
      <c r="L1075" s="27" t="s">
        <v>90</v>
      </c>
      <c r="M1075" s="28" t="s">
        <v>91</v>
      </c>
      <c r="N1075" s="33" t="s">
        <v>75</v>
      </c>
      <c r="O1075" s="34" t="s">
        <v>292</v>
      </c>
      <c r="P1075" s="34" t="s">
        <v>293</v>
      </c>
      <c r="Q1075" s="35" t="s">
        <v>78</v>
      </c>
      <c r="R1075" s="35" t="s">
        <v>79</v>
      </c>
      <c r="S1075" s="35" t="s">
        <v>61</v>
      </c>
      <c r="T1075" s="35" t="s">
        <v>62</v>
      </c>
      <c r="U1075" s="36" t="s">
        <v>80</v>
      </c>
    </row>
    <row r="1076" spans="1:21" ht="15.75" customHeight="1" x14ac:dyDescent="0.25">
      <c r="A1076" s="9" t="s">
        <v>6638</v>
      </c>
      <c r="B1076" s="10" t="s">
        <v>6639</v>
      </c>
      <c r="C1076" s="11" t="s">
        <v>6640</v>
      </c>
      <c r="D1076" s="21" t="s">
        <v>109</v>
      </c>
      <c r="E1076" s="11" t="s">
        <v>98</v>
      </c>
      <c r="F1076" s="11"/>
      <c r="G1076" s="24" t="s">
        <v>85</v>
      </c>
      <c r="H1076" s="11" t="s">
        <v>100</v>
      </c>
      <c r="I1076" s="15" t="s">
        <v>6641</v>
      </c>
      <c r="J1076" s="10" t="s">
        <v>6642</v>
      </c>
      <c r="K1076" s="11"/>
      <c r="L1076" s="9"/>
      <c r="M1076" s="10"/>
      <c r="N1076" s="22"/>
      <c r="O1076" s="17"/>
      <c r="P1076" s="17"/>
      <c r="Q1076" s="18" t="s">
        <v>78</v>
      </c>
      <c r="R1076" s="18" t="s">
        <v>79</v>
      </c>
      <c r="S1076" s="18" t="s">
        <v>61</v>
      </c>
      <c r="T1076" s="18" t="s">
        <v>62</v>
      </c>
      <c r="U1076" s="19" t="s">
        <v>80</v>
      </c>
    </row>
    <row r="1077" spans="1:21" ht="15.75" customHeight="1" x14ac:dyDescent="0.25">
      <c r="A1077" s="27" t="s">
        <v>6643</v>
      </c>
      <c r="B1077" s="28" t="s">
        <v>6644</v>
      </c>
      <c r="C1077" s="29" t="s">
        <v>6645</v>
      </c>
      <c r="D1077" s="37" t="s">
        <v>109</v>
      </c>
      <c r="E1077" s="29" t="s">
        <v>98</v>
      </c>
      <c r="F1077" s="29" t="s">
        <v>6646</v>
      </c>
      <c r="G1077" s="24" t="s">
        <v>85</v>
      </c>
      <c r="H1077" s="29" t="s">
        <v>120</v>
      </c>
      <c r="I1077" s="32" t="s">
        <v>6153</v>
      </c>
      <c r="J1077" s="28" t="s">
        <v>6647</v>
      </c>
      <c r="K1077" s="29"/>
      <c r="L1077" s="27"/>
      <c r="M1077" s="28"/>
      <c r="N1077" s="38"/>
      <c r="O1077" s="34"/>
      <c r="P1077" s="34"/>
      <c r="Q1077" s="35" t="s">
        <v>78</v>
      </c>
      <c r="R1077" s="35" t="s">
        <v>79</v>
      </c>
      <c r="S1077" s="35" t="s">
        <v>61</v>
      </c>
      <c r="T1077" s="35" t="s">
        <v>62</v>
      </c>
      <c r="U1077" s="36" t="s">
        <v>80</v>
      </c>
    </row>
    <row r="1078" spans="1:21" ht="15.75" customHeight="1" x14ac:dyDescent="0.25">
      <c r="A1078" s="9" t="s">
        <v>6648</v>
      </c>
      <c r="B1078" s="10" t="s">
        <v>6649</v>
      </c>
      <c r="C1078" s="11" t="s">
        <v>6650</v>
      </c>
      <c r="D1078" s="21" t="s">
        <v>109</v>
      </c>
      <c r="E1078" s="11" t="s">
        <v>67</v>
      </c>
      <c r="F1078" s="13">
        <v>-46.7</v>
      </c>
      <c r="G1078" s="20" t="s">
        <v>68</v>
      </c>
      <c r="H1078" s="11" t="s">
        <v>421</v>
      </c>
      <c r="I1078" s="15" t="s">
        <v>205</v>
      </c>
      <c r="J1078" s="10" t="s">
        <v>6651</v>
      </c>
      <c r="K1078" s="11" t="s">
        <v>6652</v>
      </c>
      <c r="L1078" s="9" t="s">
        <v>140</v>
      </c>
      <c r="M1078" s="10" t="s">
        <v>141</v>
      </c>
      <c r="N1078" s="22"/>
      <c r="O1078" s="17"/>
      <c r="P1078" s="17"/>
      <c r="Q1078" s="18" t="s">
        <v>78</v>
      </c>
      <c r="R1078" s="18" t="s">
        <v>79</v>
      </c>
      <c r="S1078" s="18" t="s">
        <v>61</v>
      </c>
      <c r="T1078" s="18" t="s">
        <v>62</v>
      </c>
      <c r="U1078" s="19" t="s">
        <v>80</v>
      </c>
    </row>
    <row r="1079" spans="1:21" ht="15.75" customHeight="1" x14ac:dyDescent="0.25">
      <c r="A1079" s="27" t="s">
        <v>6653</v>
      </c>
      <c r="B1079" s="28" t="s">
        <v>6654</v>
      </c>
      <c r="C1079" s="29" t="s">
        <v>6655</v>
      </c>
      <c r="D1079" s="37" t="s">
        <v>109</v>
      </c>
      <c r="E1079" s="29" t="s">
        <v>98</v>
      </c>
      <c r="F1079" s="29" t="s">
        <v>6656</v>
      </c>
      <c r="G1079" s="14" t="s">
        <v>119</v>
      </c>
      <c r="H1079" s="29" t="s">
        <v>100</v>
      </c>
      <c r="I1079" s="32" t="s">
        <v>6657</v>
      </c>
      <c r="J1079" s="28" t="s">
        <v>6658</v>
      </c>
      <c r="K1079" s="29" t="s">
        <v>6659</v>
      </c>
      <c r="L1079" s="27" t="s">
        <v>1203</v>
      </c>
      <c r="M1079" s="28" t="s">
        <v>1204</v>
      </c>
      <c r="N1079" s="38"/>
      <c r="O1079" s="34"/>
      <c r="P1079" s="34"/>
      <c r="Q1079" s="35" t="s">
        <v>78</v>
      </c>
      <c r="R1079" s="35" t="s">
        <v>79</v>
      </c>
      <c r="S1079" s="35" t="s">
        <v>61</v>
      </c>
      <c r="T1079" s="35" t="s">
        <v>62</v>
      </c>
      <c r="U1079" s="36" t="s">
        <v>80</v>
      </c>
    </row>
    <row r="1080" spans="1:21" ht="15.75" customHeight="1" x14ac:dyDescent="0.25">
      <c r="A1080" s="9" t="s">
        <v>6660</v>
      </c>
      <c r="B1080" s="10" t="s">
        <v>6661</v>
      </c>
      <c r="C1080" s="11" t="s">
        <v>6662</v>
      </c>
      <c r="D1080" s="12" t="s">
        <v>6663</v>
      </c>
      <c r="E1080" s="11" t="s">
        <v>98</v>
      </c>
      <c r="F1080" s="11" t="s">
        <v>6664</v>
      </c>
      <c r="G1080" s="26" t="s">
        <v>119</v>
      </c>
      <c r="H1080" s="11" t="s">
        <v>100</v>
      </c>
      <c r="I1080" s="15" t="s">
        <v>6665</v>
      </c>
      <c r="J1080" s="10" t="s">
        <v>6666</v>
      </c>
      <c r="K1080" s="11" t="s">
        <v>6667</v>
      </c>
      <c r="L1080" s="9" t="s">
        <v>1203</v>
      </c>
      <c r="M1080" s="10" t="s">
        <v>1204</v>
      </c>
      <c r="N1080" s="16" t="s">
        <v>75</v>
      </c>
      <c r="O1080" s="17" t="s">
        <v>6668</v>
      </c>
      <c r="P1080" s="17" t="s">
        <v>6669</v>
      </c>
      <c r="Q1080" s="18" t="s">
        <v>78</v>
      </c>
      <c r="R1080" s="18" t="s">
        <v>79</v>
      </c>
      <c r="S1080" s="18" t="s">
        <v>61</v>
      </c>
      <c r="T1080" s="18" t="s">
        <v>62</v>
      </c>
      <c r="U1080" s="19" t="s">
        <v>80</v>
      </c>
    </row>
    <row r="1081" spans="1:21" ht="15.75" customHeight="1" x14ac:dyDescent="0.25">
      <c r="A1081" s="27" t="s">
        <v>6670</v>
      </c>
      <c r="B1081" s="28" t="s">
        <v>6671</v>
      </c>
      <c r="C1081" s="29" t="s">
        <v>6672</v>
      </c>
      <c r="D1081" s="30" t="s">
        <v>1786</v>
      </c>
      <c r="E1081" s="29" t="s">
        <v>98</v>
      </c>
      <c r="F1081" s="29"/>
      <c r="G1081" s="20" t="s">
        <v>119</v>
      </c>
      <c r="H1081" s="29" t="s">
        <v>100</v>
      </c>
      <c r="I1081" s="32" t="s">
        <v>6673</v>
      </c>
      <c r="J1081" s="28" t="s">
        <v>6674</v>
      </c>
      <c r="K1081" s="29" t="s">
        <v>6675</v>
      </c>
      <c r="L1081" s="27" t="s">
        <v>1203</v>
      </c>
      <c r="M1081" s="28" t="s">
        <v>1204</v>
      </c>
      <c r="N1081" s="33" t="s">
        <v>75</v>
      </c>
      <c r="O1081" s="34" t="s">
        <v>6676</v>
      </c>
      <c r="P1081" s="34" t="s">
        <v>6677</v>
      </c>
      <c r="Q1081" s="35" t="s">
        <v>78</v>
      </c>
      <c r="R1081" s="35" t="s">
        <v>79</v>
      </c>
      <c r="S1081" s="35" t="s">
        <v>61</v>
      </c>
      <c r="T1081" s="35" t="s">
        <v>62</v>
      </c>
      <c r="U1081" s="36" t="s">
        <v>80</v>
      </c>
    </row>
    <row r="1082" spans="1:21" ht="15.75" customHeight="1" x14ac:dyDescent="0.25">
      <c r="A1082" s="9" t="s">
        <v>6678</v>
      </c>
      <c r="B1082" s="10" t="s">
        <v>6679</v>
      </c>
      <c r="C1082" s="11" t="s">
        <v>6680</v>
      </c>
      <c r="D1082" s="12" t="s">
        <v>1792</v>
      </c>
      <c r="E1082" s="11" t="s">
        <v>98</v>
      </c>
      <c r="F1082" s="13">
        <v>1496</v>
      </c>
      <c r="G1082" s="20" t="s">
        <v>119</v>
      </c>
      <c r="H1082" s="11" t="s">
        <v>129</v>
      </c>
      <c r="I1082" s="15" t="s">
        <v>6681</v>
      </c>
      <c r="J1082" s="10" t="s">
        <v>6682</v>
      </c>
      <c r="K1082" s="11" t="s">
        <v>6683</v>
      </c>
      <c r="L1082" s="9" t="s">
        <v>90</v>
      </c>
      <c r="M1082" s="10" t="s">
        <v>91</v>
      </c>
      <c r="N1082" s="16" t="s">
        <v>75</v>
      </c>
      <c r="O1082" s="17" t="s">
        <v>1020</v>
      </c>
      <c r="P1082" s="17" t="s">
        <v>1021</v>
      </c>
      <c r="Q1082" s="18" t="s">
        <v>78</v>
      </c>
      <c r="R1082" s="18" t="s">
        <v>79</v>
      </c>
      <c r="S1082" s="18" t="s">
        <v>61</v>
      </c>
      <c r="T1082" s="18" t="s">
        <v>62</v>
      </c>
      <c r="U1082" s="19" t="s">
        <v>80</v>
      </c>
    </row>
    <row r="1083" spans="1:21" ht="15.75" customHeight="1" x14ac:dyDescent="0.25">
      <c r="A1083" s="27" t="s">
        <v>6684</v>
      </c>
      <c r="B1083" s="28" t="s">
        <v>6685</v>
      </c>
      <c r="C1083" s="29" t="s">
        <v>3177</v>
      </c>
      <c r="D1083" s="30" t="s">
        <v>6686</v>
      </c>
      <c r="E1083" s="29" t="s">
        <v>47</v>
      </c>
      <c r="F1083" s="29" t="s">
        <v>3179</v>
      </c>
      <c r="G1083" s="26" t="s">
        <v>708</v>
      </c>
      <c r="H1083" s="29" t="s">
        <v>120</v>
      </c>
      <c r="I1083" s="32" t="s">
        <v>6687</v>
      </c>
      <c r="J1083" s="28" t="s">
        <v>6688</v>
      </c>
      <c r="K1083" s="29" t="s">
        <v>3182</v>
      </c>
      <c r="L1083" s="27" t="s">
        <v>481</v>
      </c>
      <c r="M1083" s="28" t="s">
        <v>482</v>
      </c>
      <c r="N1083" s="33" t="s">
        <v>75</v>
      </c>
      <c r="O1083" s="34" t="s">
        <v>3183</v>
      </c>
      <c r="P1083" s="34" t="s">
        <v>3184</v>
      </c>
      <c r="Q1083" s="35" t="s">
        <v>78</v>
      </c>
      <c r="R1083" s="35" t="s">
        <v>79</v>
      </c>
      <c r="S1083" s="35" t="s">
        <v>61</v>
      </c>
      <c r="T1083" s="35" t="s">
        <v>62</v>
      </c>
      <c r="U1083" s="36" t="s">
        <v>80</v>
      </c>
    </row>
    <row r="1084" spans="1:21" ht="15.75" customHeight="1" x14ac:dyDescent="0.25">
      <c r="A1084" s="9" t="s">
        <v>6689</v>
      </c>
      <c r="B1084" s="10" t="s">
        <v>6690</v>
      </c>
      <c r="C1084" s="11" t="s">
        <v>6691</v>
      </c>
      <c r="D1084" s="21" t="s">
        <v>109</v>
      </c>
      <c r="E1084" s="11" t="s">
        <v>98</v>
      </c>
      <c r="F1084" s="11" t="s">
        <v>6692</v>
      </c>
      <c r="G1084" s="14" t="s">
        <v>119</v>
      </c>
      <c r="H1084" s="11" t="s">
        <v>100</v>
      </c>
      <c r="I1084" s="15" t="s">
        <v>877</v>
      </c>
      <c r="J1084" s="10" t="s">
        <v>6693</v>
      </c>
      <c r="K1084" s="11" t="s">
        <v>6694</v>
      </c>
      <c r="L1084" s="9" t="s">
        <v>1203</v>
      </c>
      <c r="M1084" s="10" t="s">
        <v>1204</v>
      </c>
      <c r="N1084" s="22"/>
      <c r="O1084" s="17"/>
      <c r="P1084" s="17"/>
      <c r="Q1084" s="18" t="s">
        <v>78</v>
      </c>
      <c r="R1084" s="18" t="s">
        <v>79</v>
      </c>
      <c r="S1084" s="18" t="s">
        <v>61</v>
      </c>
      <c r="T1084" s="18" t="s">
        <v>62</v>
      </c>
      <c r="U1084" s="19" t="s">
        <v>80</v>
      </c>
    </row>
    <row r="1085" spans="1:21" ht="15.75" customHeight="1" x14ac:dyDescent="0.25">
      <c r="A1085" s="27" t="s">
        <v>6695</v>
      </c>
      <c r="B1085" s="28" t="s">
        <v>6696</v>
      </c>
      <c r="C1085" s="29" t="s">
        <v>6697</v>
      </c>
      <c r="D1085" s="37" t="s">
        <v>109</v>
      </c>
      <c r="E1085" s="29" t="s">
        <v>98</v>
      </c>
      <c r="F1085" s="29" t="s">
        <v>244</v>
      </c>
      <c r="G1085" s="25" t="s">
        <v>110</v>
      </c>
      <c r="H1085" s="29" t="s">
        <v>120</v>
      </c>
      <c r="I1085" s="32" t="s">
        <v>6698</v>
      </c>
      <c r="J1085" s="28" t="s">
        <v>6699</v>
      </c>
      <c r="K1085" s="29" t="s">
        <v>1655</v>
      </c>
      <c r="L1085" s="27" t="s">
        <v>90</v>
      </c>
      <c r="M1085" s="28" t="s">
        <v>91</v>
      </c>
      <c r="N1085" s="38"/>
      <c r="O1085" s="34"/>
      <c r="P1085" s="34"/>
      <c r="Q1085" s="35" t="s">
        <v>78</v>
      </c>
      <c r="R1085" s="35" t="s">
        <v>79</v>
      </c>
      <c r="S1085" s="35" t="s">
        <v>61</v>
      </c>
      <c r="T1085" s="35" t="s">
        <v>62</v>
      </c>
      <c r="U1085" s="36" t="s">
        <v>80</v>
      </c>
    </row>
    <row r="1086" spans="1:21" ht="15.75" customHeight="1" x14ac:dyDescent="0.25">
      <c r="A1086" s="9" t="s">
        <v>6700</v>
      </c>
      <c r="B1086" s="10" t="s">
        <v>6701</v>
      </c>
      <c r="C1086" s="11" t="s">
        <v>6702</v>
      </c>
      <c r="D1086" s="12" t="s">
        <v>6703</v>
      </c>
      <c r="E1086" s="11" t="s">
        <v>98</v>
      </c>
      <c r="F1086" s="13">
        <v>246</v>
      </c>
      <c r="G1086" s="20" t="s">
        <v>85</v>
      </c>
      <c r="H1086" s="11" t="s">
        <v>129</v>
      </c>
      <c r="I1086" s="15" t="s">
        <v>6704</v>
      </c>
      <c r="J1086" s="10" t="s">
        <v>6705</v>
      </c>
      <c r="K1086" s="11" t="s">
        <v>1114</v>
      </c>
      <c r="L1086" s="9" t="s">
        <v>90</v>
      </c>
      <c r="M1086" s="10" t="s">
        <v>91</v>
      </c>
      <c r="N1086" s="23" t="s">
        <v>179</v>
      </c>
      <c r="O1086" s="17" t="s">
        <v>355</v>
      </c>
      <c r="P1086" s="17" t="s">
        <v>356</v>
      </c>
      <c r="Q1086" s="18" t="s">
        <v>78</v>
      </c>
      <c r="R1086" s="18" t="s">
        <v>79</v>
      </c>
      <c r="S1086" s="18" t="s">
        <v>61</v>
      </c>
      <c r="T1086" s="18" t="s">
        <v>62</v>
      </c>
      <c r="U1086" s="19" t="s">
        <v>80</v>
      </c>
    </row>
    <row r="1087" spans="1:21" ht="15.75" customHeight="1" x14ac:dyDescent="0.25">
      <c r="A1087" s="27" t="s">
        <v>6706</v>
      </c>
      <c r="B1087" s="28" t="s">
        <v>6707</v>
      </c>
      <c r="C1087" s="29" t="s">
        <v>6708</v>
      </c>
      <c r="D1087" s="30" t="s">
        <v>6709</v>
      </c>
      <c r="E1087" s="29" t="s">
        <v>47</v>
      </c>
      <c r="F1087" s="31">
        <v>277</v>
      </c>
      <c r="G1087" s="20" t="s">
        <v>119</v>
      </c>
      <c r="H1087" s="29" t="s">
        <v>129</v>
      </c>
      <c r="I1087" s="32" t="s">
        <v>2657</v>
      </c>
      <c r="J1087" s="28" t="s">
        <v>6710</v>
      </c>
      <c r="K1087" s="29" t="s">
        <v>6711</v>
      </c>
      <c r="L1087" s="27" t="s">
        <v>481</v>
      </c>
      <c r="M1087" s="28" t="s">
        <v>482</v>
      </c>
      <c r="N1087" s="33" t="s">
        <v>75</v>
      </c>
      <c r="O1087" s="34" t="s">
        <v>483</v>
      </c>
      <c r="P1087" s="34" t="s">
        <v>484</v>
      </c>
      <c r="Q1087" s="35" t="s">
        <v>78</v>
      </c>
      <c r="R1087" s="35" t="s">
        <v>79</v>
      </c>
      <c r="S1087" s="35" t="s">
        <v>61</v>
      </c>
      <c r="T1087" s="35" t="s">
        <v>62</v>
      </c>
      <c r="U1087" s="36" t="s">
        <v>80</v>
      </c>
    </row>
    <row r="1088" spans="1:21" ht="15.75" customHeight="1" x14ac:dyDescent="0.25">
      <c r="A1088" s="9" t="s">
        <v>6712</v>
      </c>
      <c r="B1088" s="10" t="s">
        <v>6713</v>
      </c>
      <c r="C1088" s="11" t="s">
        <v>6714</v>
      </c>
      <c r="D1088" s="21" t="s">
        <v>109</v>
      </c>
      <c r="E1088" s="11" t="s">
        <v>98</v>
      </c>
      <c r="F1088" s="13">
        <v>360</v>
      </c>
      <c r="G1088" s="24" t="s">
        <v>85</v>
      </c>
      <c r="H1088" s="11" t="s">
        <v>129</v>
      </c>
      <c r="I1088" s="15" t="s">
        <v>6715</v>
      </c>
      <c r="J1088" s="10" t="s">
        <v>6716</v>
      </c>
      <c r="K1088" s="11"/>
      <c r="L1088" s="9"/>
      <c r="M1088" s="10"/>
      <c r="N1088" s="22"/>
      <c r="O1088" s="17"/>
      <c r="P1088" s="17"/>
      <c r="Q1088" s="18" t="s">
        <v>78</v>
      </c>
      <c r="R1088" s="18" t="s">
        <v>79</v>
      </c>
      <c r="S1088" s="18" t="s">
        <v>61</v>
      </c>
      <c r="T1088" s="18" t="s">
        <v>62</v>
      </c>
      <c r="U1088" s="19" t="s">
        <v>80</v>
      </c>
    </row>
    <row r="1089" spans="1:21" ht="15.75" customHeight="1" x14ac:dyDescent="0.25">
      <c r="A1089" s="27" t="s">
        <v>6717</v>
      </c>
      <c r="B1089" s="28" t="s">
        <v>6718</v>
      </c>
      <c r="C1089" s="29" t="s">
        <v>6719</v>
      </c>
      <c r="D1089" s="37" t="s">
        <v>109</v>
      </c>
      <c r="E1089" s="29" t="s">
        <v>1264</v>
      </c>
      <c r="F1089" s="29" t="s">
        <v>6720</v>
      </c>
      <c r="G1089" s="25" t="s">
        <v>110</v>
      </c>
      <c r="H1089" s="29" t="s">
        <v>100</v>
      </c>
      <c r="I1089" s="32" t="s">
        <v>2513</v>
      </c>
      <c r="J1089" s="28" t="s">
        <v>6721</v>
      </c>
      <c r="K1089" s="29" t="s">
        <v>6722</v>
      </c>
      <c r="L1089" s="27" t="s">
        <v>481</v>
      </c>
      <c r="M1089" s="28" t="s">
        <v>482</v>
      </c>
      <c r="N1089" s="38"/>
      <c r="O1089" s="34"/>
      <c r="P1089" s="34"/>
      <c r="Q1089" s="35" t="s">
        <v>78</v>
      </c>
      <c r="R1089" s="35" t="s">
        <v>79</v>
      </c>
      <c r="S1089" s="35" t="s">
        <v>61</v>
      </c>
      <c r="T1089" s="35" t="s">
        <v>62</v>
      </c>
      <c r="U1089" s="36" t="s">
        <v>80</v>
      </c>
    </row>
    <row r="1090" spans="1:21" ht="15.75" customHeight="1" x14ac:dyDescent="0.25">
      <c r="A1090" s="9" t="s">
        <v>6723</v>
      </c>
      <c r="B1090" s="10" t="s">
        <v>6724</v>
      </c>
      <c r="C1090" s="11" t="s">
        <v>6725</v>
      </c>
      <c r="D1090" s="21" t="s">
        <v>109</v>
      </c>
      <c r="E1090" s="11" t="s">
        <v>98</v>
      </c>
      <c r="F1090" s="11" t="s">
        <v>2237</v>
      </c>
      <c r="G1090" s="14" t="s">
        <v>119</v>
      </c>
      <c r="H1090" s="11" t="s">
        <v>100</v>
      </c>
      <c r="I1090" s="15" t="s">
        <v>6726</v>
      </c>
      <c r="J1090" s="10" t="s">
        <v>6727</v>
      </c>
      <c r="K1090" s="11" t="s">
        <v>6728</v>
      </c>
      <c r="L1090" s="9" t="s">
        <v>2005</v>
      </c>
      <c r="M1090" s="10" t="s">
        <v>2006</v>
      </c>
      <c r="N1090" s="22"/>
      <c r="O1090" s="17"/>
      <c r="P1090" s="17"/>
      <c r="Q1090" s="18" t="s">
        <v>78</v>
      </c>
      <c r="R1090" s="18" t="s">
        <v>79</v>
      </c>
      <c r="S1090" s="18" t="s">
        <v>61</v>
      </c>
      <c r="T1090" s="18" t="s">
        <v>62</v>
      </c>
      <c r="U1090" s="19" t="s">
        <v>80</v>
      </c>
    </row>
    <row r="1091" spans="1:21" ht="15.75" customHeight="1" x14ac:dyDescent="0.25">
      <c r="A1091" s="27" t="s">
        <v>6729</v>
      </c>
      <c r="B1091" s="28" t="s">
        <v>6730</v>
      </c>
      <c r="C1091" s="29" t="s">
        <v>6731</v>
      </c>
      <c r="D1091" s="30" t="s">
        <v>6732</v>
      </c>
      <c r="E1091" s="29" t="s">
        <v>98</v>
      </c>
      <c r="F1091" s="29"/>
      <c r="G1091" s="20" t="s">
        <v>85</v>
      </c>
      <c r="H1091" s="29" t="s">
        <v>120</v>
      </c>
      <c r="I1091" s="32" t="s">
        <v>1985</v>
      </c>
      <c r="J1091" s="28" t="s">
        <v>6733</v>
      </c>
      <c r="K1091" s="29"/>
      <c r="L1091" s="27"/>
      <c r="M1091" s="28"/>
      <c r="N1091" s="33" t="s">
        <v>75</v>
      </c>
      <c r="O1091" s="34" t="s">
        <v>355</v>
      </c>
      <c r="P1091" s="34" t="s">
        <v>356</v>
      </c>
      <c r="Q1091" s="35" t="s">
        <v>78</v>
      </c>
      <c r="R1091" s="35" t="s">
        <v>79</v>
      </c>
      <c r="S1091" s="35" t="s">
        <v>61</v>
      </c>
      <c r="T1091" s="35" t="s">
        <v>62</v>
      </c>
      <c r="U1091" s="36" t="s">
        <v>80</v>
      </c>
    </row>
    <row r="1092" spans="1:21" ht="15.75" customHeight="1" x14ac:dyDescent="0.25">
      <c r="A1092" s="9" t="s">
        <v>6734</v>
      </c>
      <c r="B1092" s="10" t="s">
        <v>6735</v>
      </c>
      <c r="C1092" s="11" t="s">
        <v>6736</v>
      </c>
      <c r="D1092" s="12" t="s">
        <v>6732</v>
      </c>
      <c r="E1092" s="11" t="s">
        <v>98</v>
      </c>
      <c r="F1092" s="11"/>
      <c r="G1092" s="20" t="s">
        <v>85</v>
      </c>
      <c r="H1092" s="11" t="s">
        <v>120</v>
      </c>
      <c r="I1092" s="15" t="s">
        <v>2676</v>
      </c>
      <c r="J1092" s="10" t="s">
        <v>6737</v>
      </c>
      <c r="K1092" s="11"/>
      <c r="L1092" s="9"/>
      <c r="M1092" s="10"/>
      <c r="N1092" s="16" t="s">
        <v>75</v>
      </c>
      <c r="O1092" s="17" t="s">
        <v>355</v>
      </c>
      <c r="P1092" s="17" t="s">
        <v>356</v>
      </c>
      <c r="Q1092" s="18" t="s">
        <v>78</v>
      </c>
      <c r="R1092" s="18" t="s">
        <v>79</v>
      </c>
      <c r="S1092" s="18" t="s">
        <v>61</v>
      </c>
      <c r="T1092" s="18" t="s">
        <v>62</v>
      </c>
      <c r="U1092" s="19" t="s">
        <v>80</v>
      </c>
    </row>
    <row r="1093" spans="1:21" ht="15.75" customHeight="1" x14ac:dyDescent="0.25">
      <c r="A1093" s="27" t="s">
        <v>6738</v>
      </c>
      <c r="B1093" s="28" t="s">
        <v>6739</v>
      </c>
      <c r="C1093" s="29" t="s">
        <v>6740</v>
      </c>
      <c r="D1093" s="30" t="s">
        <v>6741</v>
      </c>
      <c r="E1093" s="29" t="s">
        <v>98</v>
      </c>
      <c r="F1093" s="29"/>
      <c r="G1093" s="24" t="s">
        <v>110</v>
      </c>
      <c r="H1093" s="29" t="s">
        <v>120</v>
      </c>
      <c r="I1093" s="32" t="s">
        <v>2683</v>
      </c>
      <c r="J1093" s="28" t="s">
        <v>6742</v>
      </c>
      <c r="K1093" s="29"/>
      <c r="L1093" s="27"/>
      <c r="M1093" s="28"/>
      <c r="N1093" s="39" t="s">
        <v>179</v>
      </c>
      <c r="O1093" s="34"/>
      <c r="P1093" s="34"/>
      <c r="Q1093" s="35" t="s">
        <v>78</v>
      </c>
      <c r="R1093" s="35" t="s">
        <v>79</v>
      </c>
      <c r="S1093" s="35" t="s">
        <v>61</v>
      </c>
      <c r="T1093" s="35" t="s">
        <v>62</v>
      </c>
      <c r="U1093" s="36" t="s">
        <v>80</v>
      </c>
    </row>
    <row r="1094" spans="1:21" ht="15.75" customHeight="1" x14ac:dyDescent="0.25">
      <c r="A1094" s="9" t="s">
        <v>6743</v>
      </c>
      <c r="B1094" s="10" t="s">
        <v>6744</v>
      </c>
      <c r="C1094" s="11" t="s">
        <v>6745</v>
      </c>
      <c r="D1094" s="21" t="s">
        <v>109</v>
      </c>
      <c r="E1094" s="11" t="s">
        <v>47</v>
      </c>
      <c r="F1094" s="13">
        <v>158</v>
      </c>
      <c r="G1094" s="25" t="s">
        <v>110</v>
      </c>
      <c r="H1094" s="11" t="s">
        <v>86</v>
      </c>
      <c r="I1094" s="15" t="s">
        <v>257</v>
      </c>
      <c r="J1094" s="10" t="s">
        <v>6746</v>
      </c>
      <c r="K1094" s="11" t="s">
        <v>6747</v>
      </c>
      <c r="L1094" s="9" t="s">
        <v>90</v>
      </c>
      <c r="M1094" s="10" t="s">
        <v>91</v>
      </c>
      <c r="N1094" s="22"/>
      <c r="O1094" s="17"/>
      <c r="P1094" s="17"/>
      <c r="Q1094" s="18" t="s">
        <v>78</v>
      </c>
      <c r="R1094" s="18" t="s">
        <v>79</v>
      </c>
      <c r="S1094" s="18" t="s">
        <v>61</v>
      </c>
      <c r="T1094" s="18" t="s">
        <v>62</v>
      </c>
      <c r="U1094" s="19" t="s">
        <v>80</v>
      </c>
    </row>
    <row r="1095" spans="1:21" ht="15.75" customHeight="1" x14ac:dyDescent="0.25">
      <c r="A1095" s="27" t="s">
        <v>6748</v>
      </c>
      <c r="B1095" s="28" t="s">
        <v>6749</v>
      </c>
      <c r="C1095" s="29" t="s">
        <v>6750</v>
      </c>
      <c r="D1095" s="37" t="s">
        <v>109</v>
      </c>
      <c r="E1095" s="29" t="s">
        <v>98</v>
      </c>
      <c r="F1095" s="29"/>
      <c r="G1095" s="24" t="s">
        <v>85</v>
      </c>
      <c r="H1095" s="29" t="s">
        <v>120</v>
      </c>
      <c r="I1095" s="32" t="s">
        <v>6751</v>
      </c>
      <c r="J1095" s="28" t="s">
        <v>6752</v>
      </c>
      <c r="K1095" s="29"/>
      <c r="L1095" s="27"/>
      <c r="M1095" s="28"/>
      <c r="N1095" s="38"/>
      <c r="O1095" s="34"/>
      <c r="P1095" s="34"/>
      <c r="Q1095" s="35" t="s">
        <v>78</v>
      </c>
      <c r="R1095" s="35" t="s">
        <v>79</v>
      </c>
      <c r="S1095" s="35" t="s">
        <v>61</v>
      </c>
      <c r="T1095" s="35" t="s">
        <v>62</v>
      </c>
      <c r="U1095" s="36" t="s">
        <v>80</v>
      </c>
    </row>
    <row r="1096" spans="1:21" ht="15.75" customHeight="1" x14ac:dyDescent="0.25">
      <c r="A1096" s="9" t="s">
        <v>6753</v>
      </c>
      <c r="B1096" s="10" t="s">
        <v>6754</v>
      </c>
      <c r="C1096" s="11" t="s">
        <v>6755</v>
      </c>
      <c r="D1096" s="21" t="s">
        <v>109</v>
      </c>
      <c r="E1096" s="11" t="s">
        <v>98</v>
      </c>
      <c r="F1096" s="11"/>
      <c r="G1096" s="14" t="s">
        <v>119</v>
      </c>
      <c r="H1096" s="11" t="s">
        <v>100</v>
      </c>
      <c r="I1096" s="15" t="s">
        <v>6756</v>
      </c>
      <c r="J1096" s="10" t="s">
        <v>6757</v>
      </c>
      <c r="K1096" s="11" t="s">
        <v>6758</v>
      </c>
      <c r="L1096" s="9" t="s">
        <v>1203</v>
      </c>
      <c r="M1096" s="10" t="s">
        <v>1204</v>
      </c>
      <c r="N1096" s="22"/>
      <c r="O1096" s="17"/>
      <c r="P1096" s="17"/>
      <c r="Q1096" s="18" t="s">
        <v>78</v>
      </c>
      <c r="R1096" s="18" t="s">
        <v>79</v>
      </c>
      <c r="S1096" s="18" t="s">
        <v>61</v>
      </c>
      <c r="T1096" s="18" t="s">
        <v>62</v>
      </c>
      <c r="U1096" s="19" t="s">
        <v>80</v>
      </c>
    </row>
    <row r="1097" spans="1:21" ht="15.75" customHeight="1" x14ac:dyDescent="0.25">
      <c r="A1097" s="27" t="s">
        <v>6759</v>
      </c>
      <c r="B1097" s="28" t="s">
        <v>6760</v>
      </c>
      <c r="C1097" s="29" t="s">
        <v>6761</v>
      </c>
      <c r="D1097" s="30" t="s">
        <v>1786</v>
      </c>
      <c r="E1097" s="29" t="s">
        <v>47</v>
      </c>
      <c r="F1097" s="31">
        <v>104</v>
      </c>
      <c r="G1097" s="14" t="s">
        <v>119</v>
      </c>
      <c r="H1097" s="29" t="s">
        <v>330</v>
      </c>
      <c r="I1097" s="32" t="s">
        <v>4092</v>
      </c>
      <c r="J1097" s="28" t="s">
        <v>6762</v>
      </c>
      <c r="K1097" s="29"/>
      <c r="L1097" s="27"/>
      <c r="M1097" s="28"/>
      <c r="N1097" s="39" t="s">
        <v>179</v>
      </c>
      <c r="O1097" s="34" t="s">
        <v>869</v>
      </c>
      <c r="P1097" s="34" t="s">
        <v>870</v>
      </c>
      <c r="Q1097" s="35" t="s">
        <v>78</v>
      </c>
      <c r="R1097" s="35" t="s">
        <v>79</v>
      </c>
      <c r="S1097" s="35" t="s">
        <v>61</v>
      </c>
      <c r="T1097" s="35" t="s">
        <v>62</v>
      </c>
      <c r="U1097" s="36" t="s">
        <v>80</v>
      </c>
    </row>
    <row r="1098" spans="1:21" ht="15.75" customHeight="1" x14ac:dyDescent="0.25">
      <c r="A1098" s="9" t="s">
        <v>6763</v>
      </c>
      <c r="B1098" s="10" t="s">
        <v>6764</v>
      </c>
      <c r="C1098" s="11" t="s">
        <v>6765</v>
      </c>
      <c r="D1098" s="12" t="s">
        <v>3649</v>
      </c>
      <c r="E1098" s="11" t="s">
        <v>98</v>
      </c>
      <c r="F1098" s="11" t="s">
        <v>6766</v>
      </c>
      <c r="G1098" s="14" t="s">
        <v>110</v>
      </c>
      <c r="H1098" s="11" t="s">
        <v>120</v>
      </c>
      <c r="I1098" s="15" t="s">
        <v>1670</v>
      </c>
      <c r="J1098" s="10" t="s">
        <v>6767</v>
      </c>
      <c r="K1098" s="11"/>
      <c r="L1098" s="9"/>
      <c r="M1098" s="10"/>
      <c r="N1098" s="23" t="s">
        <v>179</v>
      </c>
      <c r="O1098" s="17" t="s">
        <v>869</v>
      </c>
      <c r="P1098" s="17" t="s">
        <v>870</v>
      </c>
      <c r="Q1098" s="18" t="s">
        <v>78</v>
      </c>
      <c r="R1098" s="18" t="s">
        <v>79</v>
      </c>
      <c r="S1098" s="18" t="s">
        <v>61</v>
      </c>
      <c r="T1098" s="18" t="s">
        <v>62</v>
      </c>
      <c r="U1098" s="19" t="s">
        <v>80</v>
      </c>
    </row>
    <row r="1099" spans="1:21" ht="15.75" customHeight="1" x14ac:dyDescent="0.25">
      <c r="A1099" s="27" t="s">
        <v>6768</v>
      </c>
      <c r="B1099" s="28" t="s">
        <v>6769</v>
      </c>
      <c r="C1099" s="29" t="s">
        <v>6770</v>
      </c>
      <c r="D1099" s="37" t="s">
        <v>109</v>
      </c>
      <c r="E1099" s="29" t="s">
        <v>98</v>
      </c>
      <c r="F1099" s="29"/>
      <c r="G1099" s="14" t="s">
        <v>119</v>
      </c>
      <c r="H1099" s="29" t="s">
        <v>100</v>
      </c>
      <c r="I1099" s="32" t="s">
        <v>6771</v>
      </c>
      <c r="J1099" s="28" t="s">
        <v>6772</v>
      </c>
      <c r="K1099" s="29" t="s">
        <v>6773</v>
      </c>
      <c r="L1099" s="27" t="s">
        <v>1203</v>
      </c>
      <c r="M1099" s="28" t="s">
        <v>1204</v>
      </c>
      <c r="N1099" s="38"/>
      <c r="O1099" s="34"/>
      <c r="P1099" s="34"/>
      <c r="Q1099" s="35" t="s">
        <v>78</v>
      </c>
      <c r="R1099" s="35" t="s">
        <v>79</v>
      </c>
      <c r="S1099" s="35" t="s">
        <v>61</v>
      </c>
      <c r="T1099" s="35" t="s">
        <v>62</v>
      </c>
      <c r="U1099" s="36" t="s">
        <v>80</v>
      </c>
    </row>
    <row r="1100" spans="1:21" ht="15.75" customHeight="1" x14ac:dyDescent="0.25">
      <c r="A1100" s="9" t="s">
        <v>6774</v>
      </c>
      <c r="B1100" s="10" t="s">
        <v>6775</v>
      </c>
      <c r="C1100" s="11" t="s">
        <v>6776</v>
      </c>
      <c r="D1100" s="21" t="s">
        <v>109</v>
      </c>
      <c r="E1100" s="11" t="s">
        <v>98</v>
      </c>
      <c r="F1100" s="11" t="s">
        <v>6777</v>
      </c>
      <c r="G1100" s="24" t="s">
        <v>85</v>
      </c>
      <c r="H1100" s="11" t="s">
        <v>120</v>
      </c>
      <c r="I1100" s="15" t="s">
        <v>6778</v>
      </c>
      <c r="J1100" s="10" t="s">
        <v>6779</v>
      </c>
      <c r="K1100" s="11"/>
      <c r="L1100" s="9"/>
      <c r="M1100" s="10"/>
      <c r="N1100" s="22"/>
      <c r="O1100" s="17"/>
      <c r="P1100" s="17"/>
      <c r="Q1100" s="18" t="s">
        <v>78</v>
      </c>
      <c r="R1100" s="18" t="s">
        <v>79</v>
      </c>
      <c r="S1100" s="18" t="s">
        <v>61</v>
      </c>
      <c r="T1100" s="18" t="s">
        <v>62</v>
      </c>
      <c r="U1100" s="19" t="s">
        <v>80</v>
      </c>
    </row>
    <row r="1101" spans="1:21" ht="15.75" customHeight="1" x14ac:dyDescent="0.25">
      <c r="A1101" s="27" t="s">
        <v>6780</v>
      </c>
      <c r="B1101" s="28" t="s">
        <v>6781</v>
      </c>
      <c r="C1101" s="29" t="s">
        <v>6782</v>
      </c>
      <c r="D1101" s="37" t="s">
        <v>109</v>
      </c>
      <c r="E1101" s="29" t="s">
        <v>98</v>
      </c>
      <c r="F1101" s="29"/>
      <c r="G1101" s="24" t="s">
        <v>85</v>
      </c>
      <c r="H1101" s="29" t="s">
        <v>100</v>
      </c>
      <c r="I1101" s="32" t="s">
        <v>6783</v>
      </c>
      <c r="J1101" s="28" t="s">
        <v>6784</v>
      </c>
      <c r="K1101" s="29"/>
      <c r="L1101" s="27"/>
      <c r="M1101" s="28"/>
      <c r="N1101" s="38"/>
      <c r="O1101" s="34"/>
      <c r="P1101" s="34"/>
      <c r="Q1101" s="35" t="s">
        <v>78</v>
      </c>
      <c r="R1101" s="35" t="s">
        <v>79</v>
      </c>
      <c r="S1101" s="35" t="s">
        <v>61</v>
      </c>
      <c r="T1101" s="35" t="s">
        <v>62</v>
      </c>
      <c r="U1101" s="36" t="s">
        <v>80</v>
      </c>
    </row>
    <row r="1102" spans="1:21" ht="15.75" customHeight="1" x14ac:dyDescent="0.25">
      <c r="A1102" s="9" t="s">
        <v>6785</v>
      </c>
      <c r="B1102" s="10" t="s">
        <v>6786</v>
      </c>
      <c r="C1102" s="11" t="s">
        <v>6787</v>
      </c>
      <c r="D1102" s="21" t="s">
        <v>109</v>
      </c>
      <c r="E1102" s="11" t="s">
        <v>1264</v>
      </c>
      <c r="F1102" s="11"/>
      <c r="G1102" s="24" t="s">
        <v>85</v>
      </c>
      <c r="H1102" s="11" t="s">
        <v>100</v>
      </c>
      <c r="I1102" s="15" t="s">
        <v>6788</v>
      </c>
      <c r="J1102" s="10" t="s">
        <v>6789</v>
      </c>
      <c r="K1102" s="11"/>
      <c r="L1102" s="9"/>
      <c r="M1102" s="10"/>
      <c r="N1102" s="22"/>
      <c r="O1102" s="17"/>
      <c r="P1102" s="17"/>
      <c r="Q1102" s="18" t="s">
        <v>78</v>
      </c>
      <c r="R1102" s="18" t="s">
        <v>79</v>
      </c>
      <c r="S1102" s="18" t="s">
        <v>61</v>
      </c>
      <c r="T1102" s="18" t="s">
        <v>62</v>
      </c>
      <c r="U1102" s="19" t="s">
        <v>80</v>
      </c>
    </row>
    <row r="1103" spans="1:21" ht="15.75" customHeight="1" x14ac:dyDescent="0.25">
      <c r="A1103" s="27" t="s">
        <v>6790</v>
      </c>
      <c r="B1103" s="28" t="s">
        <v>6791</v>
      </c>
      <c r="C1103" s="29" t="s">
        <v>6792</v>
      </c>
      <c r="D1103" s="37" t="s">
        <v>109</v>
      </c>
      <c r="E1103" s="29" t="s">
        <v>98</v>
      </c>
      <c r="F1103" s="29" t="s">
        <v>118</v>
      </c>
      <c r="G1103" s="24" t="s">
        <v>85</v>
      </c>
      <c r="H1103" s="29" t="s">
        <v>100</v>
      </c>
      <c r="I1103" s="32" t="s">
        <v>6793</v>
      </c>
      <c r="J1103" s="28" t="s">
        <v>6794</v>
      </c>
      <c r="K1103" s="29"/>
      <c r="L1103" s="27"/>
      <c r="M1103" s="28"/>
      <c r="N1103" s="38"/>
      <c r="O1103" s="34"/>
      <c r="P1103" s="34"/>
      <c r="Q1103" s="35" t="s">
        <v>78</v>
      </c>
      <c r="R1103" s="35" t="s">
        <v>79</v>
      </c>
      <c r="S1103" s="35" t="s">
        <v>61</v>
      </c>
      <c r="T1103" s="35" t="s">
        <v>62</v>
      </c>
      <c r="U1103" s="36" t="s">
        <v>80</v>
      </c>
    </row>
    <row r="1104" spans="1:21" ht="15.75" customHeight="1" x14ac:dyDescent="0.25">
      <c r="A1104" s="9" t="s">
        <v>6795</v>
      </c>
      <c r="B1104" s="10" t="s">
        <v>6796</v>
      </c>
      <c r="C1104" s="11" t="s">
        <v>6797</v>
      </c>
      <c r="D1104" s="21" t="s">
        <v>109</v>
      </c>
      <c r="E1104" s="11" t="s">
        <v>98</v>
      </c>
      <c r="F1104" s="11"/>
      <c r="G1104" s="24" t="s">
        <v>85</v>
      </c>
      <c r="H1104" s="11" t="s">
        <v>120</v>
      </c>
      <c r="I1104" s="15" t="s">
        <v>6798</v>
      </c>
      <c r="J1104" s="10" t="s">
        <v>6799</v>
      </c>
      <c r="K1104" s="11"/>
      <c r="L1104" s="9"/>
      <c r="M1104" s="10"/>
      <c r="N1104" s="22"/>
      <c r="O1104" s="17"/>
      <c r="P1104" s="17"/>
      <c r="Q1104" s="18" t="s">
        <v>78</v>
      </c>
      <c r="R1104" s="18" t="s">
        <v>79</v>
      </c>
      <c r="S1104" s="18" t="s">
        <v>61</v>
      </c>
      <c r="T1104" s="18" t="s">
        <v>62</v>
      </c>
      <c r="U1104" s="19" t="s">
        <v>80</v>
      </c>
    </row>
    <row r="1105" spans="1:21" ht="15.75" customHeight="1" x14ac:dyDescent="0.25">
      <c r="A1105" s="27" t="s">
        <v>6800</v>
      </c>
      <c r="B1105" s="28" t="s">
        <v>6801</v>
      </c>
      <c r="C1105" s="29" t="s">
        <v>6802</v>
      </c>
      <c r="D1105" s="30" t="s">
        <v>6286</v>
      </c>
      <c r="E1105" s="29" t="s">
        <v>98</v>
      </c>
      <c r="F1105" s="29" t="s">
        <v>118</v>
      </c>
      <c r="G1105" s="20" t="s">
        <v>119</v>
      </c>
      <c r="H1105" s="29" t="s">
        <v>100</v>
      </c>
      <c r="I1105" s="32" t="s">
        <v>6803</v>
      </c>
      <c r="J1105" s="28" t="s">
        <v>6804</v>
      </c>
      <c r="K1105" s="29"/>
      <c r="L1105" s="27"/>
      <c r="M1105" s="28"/>
      <c r="N1105" s="39" t="s">
        <v>179</v>
      </c>
      <c r="O1105" s="34" t="s">
        <v>292</v>
      </c>
      <c r="P1105" s="34" t="s">
        <v>293</v>
      </c>
      <c r="Q1105" s="35" t="s">
        <v>78</v>
      </c>
      <c r="R1105" s="35" t="s">
        <v>79</v>
      </c>
      <c r="S1105" s="35" t="s">
        <v>61</v>
      </c>
      <c r="T1105" s="35" t="s">
        <v>62</v>
      </c>
      <c r="U1105" s="36" t="s">
        <v>80</v>
      </c>
    </row>
    <row r="1106" spans="1:21" ht="15.75" customHeight="1" x14ac:dyDescent="0.25">
      <c r="A1106" s="9" t="s">
        <v>6805</v>
      </c>
      <c r="B1106" s="10" t="s">
        <v>6806</v>
      </c>
      <c r="C1106" s="11" t="s">
        <v>6807</v>
      </c>
      <c r="D1106" s="21" t="s">
        <v>109</v>
      </c>
      <c r="E1106" s="11" t="s">
        <v>98</v>
      </c>
      <c r="F1106" s="11" t="s">
        <v>118</v>
      </c>
      <c r="G1106" s="25" t="s">
        <v>110</v>
      </c>
      <c r="H1106" s="11" t="s">
        <v>100</v>
      </c>
      <c r="I1106" s="15" t="s">
        <v>1708</v>
      </c>
      <c r="J1106" s="10" t="s">
        <v>6808</v>
      </c>
      <c r="K1106" s="11" t="s">
        <v>1286</v>
      </c>
      <c r="L1106" s="9" t="s">
        <v>90</v>
      </c>
      <c r="M1106" s="10" t="s">
        <v>91</v>
      </c>
      <c r="N1106" s="22"/>
      <c r="O1106" s="17"/>
      <c r="P1106" s="17"/>
      <c r="Q1106" s="18" t="s">
        <v>78</v>
      </c>
      <c r="R1106" s="18" t="s">
        <v>79</v>
      </c>
      <c r="S1106" s="18" t="s">
        <v>61</v>
      </c>
      <c r="T1106" s="18" t="s">
        <v>62</v>
      </c>
      <c r="U1106" s="19" t="s">
        <v>80</v>
      </c>
    </row>
    <row r="1107" spans="1:21" ht="15.75" customHeight="1" x14ac:dyDescent="0.25">
      <c r="A1107" s="27" t="s">
        <v>6809</v>
      </c>
      <c r="B1107" s="28" t="s">
        <v>6810</v>
      </c>
      <c r="C1107" s="29" t="s">
        <v>6811</v>
      </c>
      <c r="D1107" s="37" t="s">
        <v>109</v>
      </c>
      <c r="E1107" s="29" t="s">
        <v>1264</v>
      </c>
      <c r="F1107" s="29"/>
      <c r="G1107" s="24" t="s">
        <v>85</v>
      </c>
      <c r="H1107" s="29" t="s">
        <v>100</v>
      </c>
      <c r="I1107" s="32" t="s">
        <v>6812</v>
      </c>
      <c r="J1107" s="28" t="s">
        <v>6813</v>
      </c>
      <c r="K1107" s="29"/>
      <c r="L1107" s="27"/>
      <c r="M1107" s="28"/>
      <c r="N1107" s="38"/>
      <c r="O1107" s="34"/>
      <c r="P1107" s="34"/>
      <c r="Q1107" s="35" t="s">
        <v>78</v>
      </c>
      <c r="R1107" s="35" t="s">
        <v>79</v>
      </c>
      <c r="S1107" s="35" t="s">
        <v>61</v>
      </c>
      <c r="T1107" s="35" t="s">
        <v>62</v>
      </c>
      <c r="U1107" s="36" t="s">
        <v>80</v>
      </c>
    </row>
    <row r="1108" spans="1:21" ht="15.75" customHeight="1" x14ac:dyDescent="0.25">
      <c r="A1108" s="9" t="s">
        <v>6814</v>
      </c>
      <c r="B1108" s="10" t="s">
        <v>6815</v>
      </c>
      <c r="C1108" s="11" t="s">
        <v>6816</v>
      </c>
      <c r="D1108" s="21" t="s">
        <v>109</v>
      </c>
      <c r="E1108" s="11" t="s">
        <v>1264</v>
      </c>
      <c r="F1108" s="11"/>
      <c r="G1108" s="24" t="s">
        <v>85</v>
      </c>
      <c r="H1108" s="11" t="s">
        <v>100</v>
      </c>
      <c r="I1108" s="15" t="s">
        <v>1715</v>
      </c>
      <c r="J1108" s="10" t="s">
        <v>6817</v>
      </c>
      <c r="K1108" s="11"/>
      <c r="L1108" s="9"/>
      <c r="M1108" s="10"/>
      <c r="N1108" s="22"/>
      <c r="O1108" s="17"/>
      <c r="P1108" s="17"/>
      <c r="Q1108" s="18" t="s">
        <v>78</v>
      </c>
      <c r="R1108" s="18" t="s">
        <v>79</v>
      </c>
      <c r="S1108" s="18" t="s">
        <v>61</v>
      </c>
      <c r="T1108" s="18" t="s">
        <v>62</v>
      </c>
      <c r="U1108" s="19" t="s">
        <v>80</v>
      </c>
    </row>
    <row r="1109" spans="1:21" ht="15.75" customHeight="1" x14ac:dyDescent="0.25">
      <c r="A1109" s="27" t="s">
        <v>6818</v>
      </c>
      <c r="B1109" s="28" t="s">
        <v>6819</v>
      </c>
      <c r="C1109" s="29" t="s">
        <v>6820</v>
      </c>
      <c r="D1109" s="37" t="s">
        <v>109</v>
      </c>
      <c r="E1109" s="29" t="s">
        <v>98</v>
      </c>
      <c r="F1109" s="29" t="s">
        <v>6821</v>
      </c>
      <c r="G1109" s="24" t="s">
        <v>85</v>
      </c>
      <c r="H1109" s="29" t="s">
        <v>100</v>
      </c>
      <c r="I1109" s="32" t="s">
        <v>2389</v>
      </c>
      <c r="J1109" s="28" t="s">
        <v>6822</v>
      </c>
      <c r="K1109" s="29" t="s">
        <v>332</v>
      </c>
      <c r="L1109" s="27" t="s">
        <v>197</v>
      </c>
      <c r="M1109" s="28" t="s">
        <v>198</v>
      </c>
      <c r="N1109" s="38"/>
      <c r="O1109" s="34"/>
      <c r="P1109" s="34"/>
      <c r="Q1109" s="35" t="s">
        <v>78</v>
      </c>
      <c r="R1109" s="35" t="s">
        <v>79</v>
      </c>
      <c r="S1109" s="35" t="s">
        <v>61</v>
      </c>
      <c r="T1109" s="35" t="s">
        <v>62</v>
      </c>
      <c r="U1109" s="36" t="s">
        <v>80</v>
      </c>
    </row>
    <row r="1110" spans="1:21" ht="15.75" customHeight="1" x14ac:dyDescent="0.25">
      <c r="A1110" s="9" t="s">
        <v>6823</v>
      </c>
      <c r="B1110" s="10" t="s">
        <v>6824</v>
      </c>
      <c r="C1110" s="11" t="s">
        <v>6825</v>
      </c>
      <c r="D1110" s="21" t="s">
        <v>109</v>
      </c>
      <c r="E1110" s="11" t="s">
        <v>47</v>
      </c>
      <c r="F1110" s="13">
        <v>133.5</v>
      </c>
      <c r="G1110" s="25" t="s">
        <v>110</v>
      </c>
      <c r="H1110" s="11" t="s">
        <v>330</v>
      </c>
      <c r="I1110" s="15" t="s">
        <v>6826</v>
      </c>
      <c r="J1110" s="10" t="s">
        <v>6827</v>
      </c>
      <c r="K1110" s="11" t="s">
        <v>4273</v>
      </c>
      <c r="L1110" s="9" t="s">
        <v>90</v>
      </c>
      <c r="M1110" s="10" t="s">
        <v>91</v>
      </c>
      <c r="N1110" s="22"/>
      <c r="O1110" s="17"/>
      <c r="P1110" s="17"/>
      <c r="Q1110" s="18" t="s">
        <v>78</v>
      </c>
      <c r="R1110" s="18" t="s">
        <v>79</v>
      </c>
      <c r="S1110" s="18" t="s">
        <v>61</v>
      </c>
      <c r="T1110" s="18" t="s">
        <v>62</v>
      </c>
      <c r="U1110" s="19" t="s">
        <v>80</v>
      </c>
    </row>
    <row r="1111" spans="1:21" ht="15.75" customHeight="1" x14ac:dyDescent="0.25">
      <c r="A1111" s="27" t="s">
        <v>6828</v>
      </c>
      <c r="B1111" s="28" t="s">
        <v>6829</v>
      </c>
      <c r="C1111" s="29" t="s">
        <v>6830</v>
      </c>
      <c r="D1111" s="30" t="s">
        <v>6831</v>
      </c>
      <c r="E1111" s="29" t="s">
        <v>98</v>
      </c>
      <c r="F1111" s="29" t="s">
        <v>6832</v>
      </c>
      <c r="G1111" s="20" t="s">
        <v>85</v>
      </c>
      <c r="H1111" s="29" t="s">
        <v>100</v>
      </c>
      <c r="I1111" s="32" t="s">
        <v>4117</v>
      </c>
      <c r="J1111" s="28" t="s">
        <v>6833</v>
      </c>
      <c r="K1111" s="29"/>
      <c r="L1111" s="27"/>
      <c r="M1111" s="28"/>
      <c r="N1111" s="33" t="s">
        <v>75</v>
      </c>
      <c r="O1111" s="34" t="s">
        <v>6834</v>
      </c>
      <c r="P1111" s="34" t="s">
        <v>6835</v>
      </c>
      <c r="Q1111" s="35" t="s">
        <v>78</v>
      </c>
      <c r="R1111" s="35" t="s">
        <v>79</v>
      </c>
      <c r="S1111" s="35" t="s">
        <v>61</v>
      </c>
      <c r="T1111" s="35" t="s">
        <v>62</v>
      </c>
      <c r="U1111" s="36" t="s">
        <v>80</v>
      </c>
    </row>
    <row r="1112" spans="1:21" ht="15.75" customHeight="1" x14ac:dyDescent="0.25">
      <c r="A1112" s="9" t="s">
        <v>6836</v>
      </c>
      <c r="B1112" s="10" t="s">
        <v>6837</v>
      </c>
      <c r="C1112" s="11" t="s">
        <v>6838</v>
      </c>
      <c r="D1112" s="21" t="s">
        <v>109</v>
      </c>
      <c r="E1112" s="11" t="s">
        <v>47</v>
      </c>
      <c r="F1112" s="13">
        <v>203</v>
      </c>
      <c r="G1112" s="24" t="s">
        <v>85</v>
      </c>
      <c r="H1112" s="11" t="s">
        <v>129</v>
      </c>
      <c r="I1112" s="15" t="s">
        <v>6839</v>
      </c>
      <c r="J1112" s="10" t="s">
        <v>6840</v>
      </c>
      <c r="K1112" s="11"/>
      <c r="L1112" s="9"/>
      <c r="M1112" s="10"/>
      <c r="N1112" s="22"/>
      <c r="O1112" s="17"/>
      <c r="P1112" s="17"/>
      <c r="Q1112" s="18" t="s">
        <v>78</v>
      </c>
      <c r="R1112" s="18" t="s">
        <v>79</v>
      </c>
      <c r="S1112" s="18" t="s">
        <v>61</v>
      </c>
      <c r="T1112" s="18" t="s">
        <v>62</v>
      </c>
      <c r="U1112" s="19" t="s">
        <v>80</v>
      </c>
    </row>
    <row r="1113" spans="1:21" ht="15.75" customHeight="1" x14ac:dyDescent="0.25">
      <c r="A1113" s="27" t="s">
        <v>6841</v>
      </c>
      <c r="B1113" s="28" t="s">
        <v>6842</v>
      </c>
      <c r="C1113" s="29" t="s">
        <v>6843</v>
      </c>
      <c r="D1113" s="30" t="s">
        <v>6844</v>
      </c>
      <c r="E1113" s="29" t="s">
        <v>47</v>
      </c>
      <c r="F1113" s="31">
        <v>142</v>
      </c>
      <c r="G1113" s="20" t="s">
        <v>119</v>
      </c>
      <c r="H1113" s="29" t="s">
        <v>330</v>
      </c>
      <c r="I1113" s="32" t="s">
        <v>2898</v>
      </c>
      <c r="J1113" s="28" t="s">
        <v>6845</v>
      </c>
      <c r="K1113" s="29" t="s">
        <v>6839</v>
      </c>
      <c r="L1113" s="27" t="s">
        <v>158</v>
      </c>
      <c r="M1113" s="28" t="s">
        <v>159</v>
      </c>
      <c r="N1113" s="39" t="s">
        <v>179</v>
      </c>
      <c r="O1113" s="34" t="s">
        <v>382</v>
      </c>
      <c r="P1113" s="34" t="s">
        <v>383</v>
      </c>
      <c r="Q1113" s="35" t="s">
        <v>78</v>
      </c>
      <c r="R1113" s="35" t="s">
        <v>79</v>
      </c>
      <c r="S1113" s="35" t="s">
        <v>61</v>
      </c>
      <c r="T1113" s="35" t="s">
        <v>62</v>
      </c>
      <c r="U1113" s="36" t="s">
        <v>80</v>
      </c>
    </row>
    <row r="1114" spans="1:21" ht="15.75" customHeight="1" x14ac:dyDescent="0.25">
      <c r="A1114" s="9" t="s">
        <v>6846</v>
      </c>
      <c r="B1114" s="10" t="s">
        <v>6847</v>
      </c>
      <c r="C1114" s="11" t="s">
        <v>6848</v>
      </c>
      <c r="D1114" s="21" t="s">
        <v>109</v>
      </c>
      <c r="E1114" s="11" t="s">
        <v>47</v>
      </c>
      <c r="F1114" s="13">
        <v>189</v>
      </c>
      <c r="G1114" s="24" t="s">
        <v>85</v>
      </c>
      <c r="H1114" s="11" t="s">
        <v>86</v>
      </c>
      <c r="I1114" s="15" t="s">
        <v>6849</v>
      </c>
      <c r="J1114" s="10" t="s">
        <v>6850</v>
      </c>
      <c r="K1114" s="11"/>
      <c r="L1114" s="9"/>
      <c r="M1114" s="10"/>
      <c r="N1114" s="22"/>
      <c r="O1114" s="17"/>
      <c r="P1114" s="17"/>
      <c r="Q1114" s="18" t="s">
        <v>78</v>
      </c>
      <c r="R1114" s="18" t="s">
        <v>79</v>
      </c>
      <c r="S1114" s="18" t="s">
        <v>61</v>
      </c>
      <c r="T1114" s="18" t="s">
        <v>62</v>
      </c>
      <c r="U1114" s="19" t="s">
        <v>80</v>
      </c>
    </row>
    <row r="1115" spans="1:21" ht="15.75" customHeight="1" x14ac:dyDescent="0.25">
      <c r="A1115" s="27" t="s">
        <v>6851</v>
      </c>
      <c r="B1115" s="28" t="s">
        <v>6852</v>
      </c>
      <c r="C1115" s="29" t="s">
        <v>6853</v>
      </c>
      <c r="D1115" s="30" t="s">
        <v>3330</v>
      </c>
      <c r="E1115" s="29" t="s">
        <v>47</v>
      </c>
      <c r="F1115" s="31">
        <v>42</v>
      </c>
      <c r="G1115" s="14" t="s">
        <v>708</v>
      </c>
      <c r="H1115" s="29" t="s">
        <v>69</v>
      </c>
      <c r="I1115" s="32" t="s">
        <v>6854</v>
      </c>
      <c r="J1115" s="28" t="s">
        <v>6855</v>
      </c>
      <c r="K1115" s="29" t="s">
        <v>6856</v>
      </c>
      <c r="L1115" s="27" t="s">
        <v>158</v>
      </c>
      <c r="M1115" s="28" t="s">
        <v>159</v>
      </c>
      <c r="N1115" s="33" t="s">
        <v>75</v>
      </c>
      <c r="O1115" s="34" t="s">
        <v>712</v>
      </c>
      <c r="P1115" s="34" t="s">
        <v>713</v>
      </c>
      <c r="Q1115" s="35" t="s">
        <v>78</v>
      </c>
      <c r="R1115" s="35" t="s">
        <v>79</v>
      </c>
      <c r="S1115" s="35" t="s">
        <v>61</v>
      </c>
      <c r="T1115" s="35" t="s">
        <v>62</v>
      </c>
      <c r="U1115" s="36" t="s">
        <v>80</v>
      </c>
    </row>
    <row r="1116" spans="1:21" ht="15.75" customHeight="1" x14ac:dyDescent="0.25">
      <c r="A1116" s="9" t="s">
        <v>6857</v>
      </c>
      <c r="B1116" s="10" t="s">
        <v>6858</v>
      </c>
      <c r="C1116" s="11" t="s">
        <v>6859</v>
      </c>
      <c r="D1116" s="12" t="s">
        <v>6860</v>
      </c>
      <c r="E1116" s="11" t="s">
        <v>47</v>
      </c>
      <c r="F1116" s="13">
        <v>28</v>
      </c>
      <c r="G1116" s="20" t="s">
        <v>119</v>
      </c>
      <c r="H1116" s="11" t="s">
        <v>69</v>
      </c>
      <c r="I1116" s="15" t="s">
        <v>6861</v>
      </c>
      <c r="J1116" s="10" t="s">
        <v>6862</v>
      </c>
      <c r="K1116" s="11" t="s">
        <v>3469</v>
      </c>
      <c r="L1116" s="9" t="s">
        <v>158</v>
      </c>
      <c r="M1116" s="10" t="s">
        <v>159</v>
      </c>
      <c r="N1116" s="16" t="s">
        <v>75</v>
      </c>
      <c r="O1116" s="17" t="s">
        <v>382</v>
      </c>
      <c r="P1116" s="17" t="s">
        <v>383</v>
      </c>
      <c r="Q1116" s="18" t="s">
        <v>78</v>
      </c>
      <c r="R1116" s="18" t="s">
        <v>79</v>
      </c>
      <c r="S1116" s="18" t="s">
        <v>61</v>
      </c>
      <c r="T1116" s="18" t="s">
        <v>62</v>
      </c>
      <c r="U1116" s="19" t="s">
        <v>80</v>
      </c>
    </row>
    <row r="1117" spans="1:21" ht="15.75" customHeight="1" x14ac:dyDescent="0.25">
      <c r="A1117" s="27" t="s">
        <v>6863</v>
      </c>
      <c r="B1117" s="28" t="s">
        <v>6864</v>
      </c>
      <c r="C1117" s="29" t="s">
        <v>6865</v>
      </c>
      <c r="D1117" s="37" t="s">
        <v>109</v>
      </c>
      <c r="E1117" s="29" t="s">
        <v>98</v>
      </c>
      <c r="F1117" s="29" t="s">
        <v>3307</v>
      </c>
      <c r="G1117" s="24" t="s">
        <v>85</v>
      </c>
      <c r="H1117" s="29" t="s">
        <v>100</v>
      </c>
      <c r="I1117" s="32" t="s">
        <v>2950</v>
      </c>
      <c r="J1117" s="28" t="s">
        <v>6866</v>
      </c>
      <c r="K1117" s="29"/>
      <c r="L1117" s="27"/>
      <c r="M1117" s="28"/>
      <c r="N1117" s="38"/>
      <c r="O1117" s="34"/>
      <c r="P1117" s="34"/>
      <c r="Q1117" s="35" t="s">
        <v>78</v>
      </c>
      <c r="R1117" s="35" t="s">
        <v>79</v>
      </c>
      <c r="S1117" s="35" t="s">
        <v>61</v>
      </c>
      <c r="T1117" s="35" t="s">
        <v>62</v>
      </c>
      <c r="U1117" s="36" t="s">
        <v>80</v>
      </c>
    </row>
    <row r="1118" spans="1:21" ht="15.75" customHeight="1" x14ac:dyDescent="0.25">
      <c r="A1118" s="9" t="s">
        <v>6867</v>
      </c>
      <c r="B1118" s="10" t="s">
        <v>6868</v>
      </c>
      <c r="C1118" s="11" t="s">
        <v>6869</v>
      </c>
      <c r="D1118" s="21" t="s">
        <v>109</v>
      </c>
      <c r="E1118" s="11" t="s">
        <v>47</v>
      </c>
      <c r="F1118" s="13">
        <v>165</v>
      </c>
      <c r="G1118" s="14" t="s">
        <v>119</v>
      </c>
      <c r="H1118" s="11" t="s">
        <v>86</v>
      </c>
      <c r="I1118" s="15" t="s">
        <v>2403</v>
      </c>
      <c r="J1118" s="10" t="s">
        <v>6870</v>
      </c>
      <c r="K1118" s="11" t="s">
        <v>6871</v>
      </c>
      <c r="L1118" s="9" t="s">
        <v>158</v>
      </c>
      <c r="M1118" s="10" t="s">
        <v>159</v>
      </c>
      <c r="N1118" s="22"/>
      <c r="O1118" s="17"/>
      <c r="P1118" s="17"/>
      <c r="Q1118" s="18" t="s">
        <v>78</v>
      </c>
      <c r="R1118" s="18" t="s">
        <v>79</v>
      </c>
      <c r="S1118" s="18" t="s">
        <v>61</v>
      </c>
      <c r="T1118" s="18" t="s">
        <v>62</v>
      </c>
      <c r="U1118" s="19" t="s">
        <v>80</v>
      </c>
    </row>
    <row r="1119" spans="1:21" ht="15.75" customHeight="1" x14ac:dyDescent="0.25">
      <c r="A1119" s="27" t="s">
        <v>6872</v>
      </c>
      <c r="B1119" s="28" t="s">
        <v>6873</v>
      </c>
      <c r="C1119" s="29" t="s">
        <v>6874</v>
      </c>
      <c r="D1119" s="30" t="s">
        <v>6875</v>
      </c>
      <c r="E1119" s="29" t="s">
        <v>47</v>
      </c>
      <c r="F1119" s="31">
        <v>202</v>
      </c>
      <c r="G1119" s="14" t="s">
        <v>119</v>
      </c>
      <c r="H1119" s="29" t="s">
        <v>129</v>
      </c>
      <c r="I1119" s="32" t="s">
        <v>5380</v>
      </c>
      <c r="J1119" s="28" t="s">
        <v>6876</v>
      </c>
      <c r="K1119" s="29"/>
      <c r="L1119" s="27"/>
      <c r="M1119" s="28"/>
      <c r="N1119" s="39" t="s">
        <v>179</v>
      </c>
      <c r="O1119" s="34" t="s">
        <v>869</v>
      </c>
      <c r="P1119" s="34" t="s">
        <v>870</v>
      </c>
      <c r="Q1119" s="35" t="s">
        <v>78</v>
      </c>
      <c r="R1119" s="35" t="s">
        <v>79</v>
      </c>
      <c r="S1119" s="35" t="s">
        <v>61</v>
      </c>
      <c r="T1119" s="35" t="s">
        <v>62</v>
      </c>
      <c r="U1119" s="36" t="s">
        <v>80</v>
      </c>
    </row>
    <row r="1120" spans="1:21" ht="15.75" customHeight="1" x14ac:dyDescent="0.25">
      <c r="A1120" s="9" t="s">
        <v>6877</v>
      </c>
      <c r="B1120" s="10" t="s">
        <v>6878</v>
      </c>
      <c r="C1120" s="11" t="s">
        <v>6879</v>
      </c>
      <c r="D1120" s="21" t="s">
        <v>109</v>
      </c>
      <c r="E1120" s="11" t="s">
        <v>47</v>
      </c>
      <c r="F1120" s="13">
        <v>198</v>
      </c>
      <c r="G1120" s="24" t="s">
        <v>85</v>
      </c>
      <c r="H1120" s="11" t="s">
        <v>86</v>
      </c>
      <c r="I1120" s="15" t="s">
        <v>4485</v>
      </c>
      <c r="J1120" s="10" t="s">
        <v>6880</v>
      </c>
      <c r="K1120" s="11"/>
      <c r="L1120" s="9"/>
      <c r="M1120" s="10"/>
      <c r="N1120" s="22"/>
      <c r="O1120" s="17"/>
      <c r="P1120" s="17"/>
      <c r="Q1120" s="18" t="s">
        <v>78</v>
      </c>
      <c r="R1120" s="18" t="s">
        <v>79</v>
      </c>
      <c r="S1120" s="18" t="s">
        <v>61</v>
      </c>
      <c r="T1120" s="18" t="s">
        <v>62</v>
      </c>
      <c r="U1120" s="19" t="s">
        <v>80</v>
      </c>
    </row>
    <row r="1121" spans="1:21" ht="15.75" customHeight="1" x14ac:dyDescent="0.25">
      <c r="A1121" s="27" t="s">
        <v>6881</v>
      </c>
      <c r="B1121" s="28" t="s">
        <v>6882</v>
      </c>
      <c r="C1121" s="29" t="s">
        <v>6883</v>
      </c>
      <c r="D1121" s="30" t="s">
        <v>1282</v>
      </c>
      <c r="E1121" s="29" t="s">
        <v>47</v>
      </c>
      <c r="F1121" s="29" t="s">
        <v>6884</v>
      </c>
      <c r="G1121" s="20" t="s">
        <v>119</v>
      </c>
      <c r="H1121" s="29" t="s">
        <v>120</v>
      </c>
      <c r="I1121" s="32" t="s">
        <v>2987</v>
      </c>
      <c r="J1121" s="28" t="s">
        <v>6885</v>
      </c>
      <c r="K1121" s="29" t="s">
        <v>132</v>
      </c>
      <c r="L1121" s="27" t="s">
        <v>90</v>
      </c>
      <c r="M1121" s="28" t="s">
        <v>91</v>
      </c>
      <c r="N1121" s="33" t="s">
        <v>75</v>
      </c>
      <c r="O1121" s="34" t="s">
        <v>124</v>
      </c>
      <c r="P1121" s="34" t="s">
        <v>125</v>
      </c>
      <c r="Q1121" s="35" t="s">
        <v>78</v>
      </c>
      <c r="R1121" s="35" t="s">
        <v>79</v>
      </c>
      <c r="S1121" s="35" t="s">
        <v>61</v>
      </c>
      <c r="T1121" s="35" t="s">
        <v>62</v>
      </c>
      <c r="U1121" s="36" t="s">
        <v>80</v>
      </c>
    </row>
    <row r="1122" spans="1:21" ht="15.75" customHeight="1" x14ac:dyDescent="0.25">
      <c r="A1122" s="9" t="s">
        <v>6886</v>
      </c>
      <c r="B1122" s="10" t="s">
        <v>6887</v>
      </c>
      <c r="C1122" s="11" t="s">
        <v>6888</v>
      </c>
      <c r="D1122" s="12" t="s">
        <v>6889</v>
      </c>
      <c r="E1122" s="11" t="s">
        <v>47</v>
      </c>
      <c r="F1122" s="13">
        <v>178</v>
      </c>
      <c r="G1122" s="20" t="s">
        <v>85</v>
      </c>
      <c r="H1122" s="11" t="s">
        <v>86</v>
      </c>
      <c r="I1122" s="15" t="s">
        <v>5567</v>
      </c>
      <c r="J1122" s="10" t="s">
        <v>6890</v>
      </c>
      <c r="K1122" s="11"/>
      <c r="L1122" s="9"/>
      <c r="M1122" s="10"/>
      <c r="N1122" s="23" t="s">
        <v>179</v>
      </c>
      <c r="O1122" s="17" t="s">
        <v>292</v>
      </c>
      <c r="P1122" s="17" t="s">
        <v>293</v>
      </c>
      <c r="Q1122" s="18" t="s">
        <v>78</v>
      </c>
      <c r="R1122" s="18" t="s">
        <v>79</v>
      </c>
      <c r="S1122" s="18" t="s">
        <v>61</v>
      </c>
      <c r="T1122" s="18" t="s">
        <v>62</v>
      </c>
      <c r="U1122" s="19" t="s">
        <v>80</v>
      </c>
    </row>
    <row r="1123" spans="1:21" ht="15.75" customHeight="1" x14ac:dyDescent="0.25">
      <c r="A1123" s="27" t="s">
        <v>6891</v>
      </c>
      <c r="B1123" s="28" t="s">
        <v>6892</v>
      </c>
      <c r="C1123" s="29" t="s">
        <v>6893</v>
      </c>
      <c r="D1123" s="37" t="s">
        <v>109</v>
      </c>
      <c r="E1123" s="29" t="s">
        <v>47</v>
      </c>
      <c r="F1123" s="31">
        <v>285</v>
      </c>
      <c r="G1123" s="24" t="s">
        <v>85</v>
      </c>
      <c r="H1123" s="29" t="s">
        <v>129</v>
      </c>
      <c r="I1123" s="32" t="s">
        <v>6894</v>
      </c>
      <c r="J1123" s="28" t="s">
        <v>6895</v>
      </c>
      <c r="K1123" s="29"/>
      <c r="L1123" s="27"/>
      <c r="M1123" s="28"/>
      <c r="N1123" s="38"/>
      <c r="O1123" s="34"/>
      <c r="P1123" s="34"/>
      <c r="Q1123" s="35" t="s">
        <v>78</v>
      </c>
      <c r="R1123" s="35" t="s">
        <v>79</v>
      </c>
      <c r="S1123" s="35" t="s">
        <v>61</v>
      </c>
      <c r="T1123" s="35" t="s">
        <v>62</v>
      </c>
      <c r="U1123" s="36" t="s">
        <v>80</v>
      </c>
    </row>
    <row r="1124" spans="1:21" ht="15.75" customHeight="1" x14ac:dyDescent="0.25">
      <c r="A1124" s="9" t="s">
        <v>6896</v>
      </c>
      <c r="B1124" s="10" t="s">
        <v>6897</v>
      </c>
      <c r="C1124" s="11" t="s">
        <v>6898</v>
      </c>
      <c r="D1124" s="21" t="s">
        <v>109</v>
      </c>
      <c r="E1124" s="11" t="s">
        <v>47</v>
      </c>
      <c r="F1124" s="11" t="s">
        <v>6899</v>
      </c>
      <c r="G1124" s="24" t="s">
        <v>85</v>
      </c>
      <c r="H1124" s="11" t="s">
        <v>120</v>
      </c>
      <c r="I1124" s="15" t="s">
        <v>6500</v>
      </c>
      <c r="J1124" s="10" t="s">
        <v>6900</v>
      </c>
      <c r="K1124" s="11"/>
      <c r="L1124" s="9"/>
      <c r="M1124" s="10"/>
      <c r="N1124" s="22"/>
      <c r="O1124" s="17"/>
      <c r="P1124" s="17"/>
      <c r="Q1124" s="18" t="s">
        <v>78</v>
      </c>
      <c r="R1124" s="18" t="s">
        <v>79</v>
      </c>
      <c r="S1124" s="18" t="s">
        <v>61</v>
      </c>
      <c r="T1124" s="18" t="s">
        <v>62</v>
      </c>
      <c r="U1124" s="19" t="s">
        <v>80</v>
      </c>
    </row>
    <row r="1125" spans="1:21" ht="15.75" customHeight="1" x14ac:dyDescent="0.25">
      <c r="A1125" s="27" t="s">
        <v>6901</v>
      </c>
      <c r="B1125" s="28" t="s">
        <v>6902</v>
      </c>
      <c r="C1125" s="29" t="s">
        <v>6903</v>
      </c>
      <c r="D1125" s="37" t="s">
        <v>109</v>
      </c>
      <c r="E1125" s="29" t="s">
        <v>47</v>
      </c>
      <c r="F1125" s="31">
        <v>104</v>
      </c>
      <c r="G1125" s="24" t="s">
        <v>85</v>
      </c>
      <c r="H1125" s="29" t="s">
        <v>330</v>
      </c>
      <c r="I1125" s="32" t="s">
        <v>5355</v>
      </c>
      <c r="J1125" s="28" t="s">
        <v>6904</v>
      </c>
      <c r="K1125" s="29"/>
      <c r="L1125" s="27"/>
      <c r="M1125" s="28"/>
      <c r="N1125" s="38"/>
      <c r="O1125" s="34"/>
      <c r="P1125" s="34"/>
      <c r="Q1125" s="35" t="s">
        <v>78</v>
      </c>
      <c r="R1125" s="35" t="s">
        <v>79</v>
      </c>
      <c r="S1125" s="35" t="s">
        <v>61</v>
      </c>
      <c r="T1125" s="35" t="s">
        <v>62</v>
      </c>
      <c r="U1125" s="36" t="s">
        <v>80</v>
      </c>
    </row>
    <row r="1126" spans="1:21" ht="15.75" customHeight="1" x14ac:dyDescent="0.25">
      <c r="A1126" s="9" t="s">
        <v>6905</v>
      </c>
      <c r="B1126" s="10" t="s">
        <v>6906</v>
      </c>
      <c r="C1126" s="11" t="s">
        <v>6907</v>
      </c>
      <c r="D1126" s="12" t="s">
        <v>6908</v>
      </c>
      <c r="E1126" s="11" t="s">
        <v>47</v>
      </c>
      <c r="F1126" s="13">
        <v>161</v>
      </c>
      <c r="G1126" s="20" t="s">
        <v>119</v>
      </c>
      <c r="H1126" s="11" t="s">
        <v>86</v>
      </c>
      <c r="I1126" s="15" t="s">
        <v>1093</v>
      </c>
      <c r="J1126" s="10" t="s">
        <v>6909</v>
      </c>
      <c r="K1126" s="11" t="s">
        <v>6910</v>
      </c>
      <c r="L1126" s="9" t="s">
        <v>90</v>
      </c>
      <c r="M1126" s="10" t="s">
        <v>91</v>
      </c>
      <c r="N1126" s="16" t="s">
        <v>75</v>
      </c>
      <c r="O1126" s="17" t="s">
        <v>2979</v>
      </c>
      <c r="P1126" s="17" t="s">
        <v>2980</v>
      </c>
      <c r="Q1126" s="18" t="s">
        <v>78</v>
      </c>
      <c r="R1126" s="18" t="s">
        <v>79</v>
      </c>
      <c r="S1126" s="18" t="s">
        <v>61</v>
      </c>
      <c r="T1126" s="18" t="s">
        <v>62</v>
      </c>
      <c r="U1126" s="19" t="s">
        <v>80</v>
      </c>
    </row>
    <row r="1127" spans="1:21" ht="15.75" customHeight="1" x14ac:dyDescent="0.25">
      <c r="A1127" s="27" t="s">
        <v>6911</v>
      </c>
      <c r="B1127" s="28" t="s">
        <v>6912</v>
      </c>
      <c r="C1127" s="29" t="s">
        <v>6913</v>
      </c>
      <c r="D1127" s="37" t="s">
        <v>109</v>
      </c>
      <c r="E1127" s="29" t="s">
        <v>47</v>
      </c>
      <c r="F1127" s="31">
        <v>55</v>
      </c>
      <c r="G1127" s="14" t="s">
        <v>119</v>
      </c>
      <c r="H1127" s="29" t="s">
        <v>48</v>
      </c>
      <c r="I1127" s="32" t="s">
        <v>5402</v>
      </c>
      <c r="J1127" s="28" t="s">
        <v>6914</v>
      </c>
      <c r="K1127" s="29" t="s">
        <v>6915</v>
      </c>
      <c r="L1127" s="27" t="s">
        <v>158</v>
      </c>
      <c r="M1127" s="28" t="s">
        <v>159</v>
      </c>
      <c r="N1127" s="38"/>
      <c r="O1127" s="34"/>
      <c r="P1127" s="34"/>
      <c r="Q1127" s="35" t="s">
        <v>78</v>
      </c>
      <c r="R1127" s="35" t="s">
        <v>79</v>
      </c>
      <c r="S1127" s="35" t="s">
        <v>61</v>
      </c>
      <c r="T1127" s="35" t="s">
        <v>62</v>
      </c>
      <c r="U1127" s="36" t="s">
        <v>80</v>
      </c>
    </row>
    <row r="1128" spans="1:21" ht="15.75" customHeight="1" x14ac:dyDescent="0.25">
      <c r="A1128" s="9" t="s">
        <v>6916</v>
      </c>
      <c r="B1128" s="10" t="s">
        <v>6917</v>
      </c>
      <c r="C1128" s="11" t="s">
        <v>6918</v>
      </c>
      <c r="D1128" s="21" t="s">
        <v>109</v>
      </c>
      <c r="E1128" s="11" t="s">
        <v>98</v>
      </c>
      <c r="F1128" s="11" t="s">
        <v>6919</v>
      </c>
      <c r="G1128" s="24" t="s">
        <v>85</v>
      </c>
      <c r="H1128" s="11" t="s">
        <v>120</v>
      </c>
      <c r="I1128" s="15" t="s">
        <v>381</v>
      </c>
      <c r="J1128" s="10" t="s">
        <v>6920</v>
      </c>
      <c r="K1128" s="11"/>
      <c r="L1128" s="9"/>
      <c r="M1128" s="10"/>
      <c r="N1128" s="22"/>
      <c r="O1128" s="17"/>
      <c r="P1128" s="17"/>
      <c r="Q1128" s="18" t="s">
        <v>78</v>
      </c>
      <c r="R1128" s="18" t="s">
        <v>79</v>
      </c>
      <c r="S1128" s="18" t="s">
        <v>61</v>
      </c>
      <c r="T1128" s="18" t="s">
        <v>62</v>
      </c>
      <c r="U1128" s="19" t="s">
        <v>80</v>
      </c>
    </row>
    <row r="1129" spans="1:21" ht="15.75" customHeight="1" x14ac:dyDescent="0.25">
      <c r="A1129" s="27" t="s">
        <v>6921</v>
      </c>
      <c r="B1129" s="28" t="s">
        <v>6922</v>
      </c>
      <c r="C1129" s="29" t="s">
        <v>6923</v>
      </c>
      <c r="D1129" s="37" t="s">
        <v>109</v>
      </c>
      <c r="E1129" s="29" t="s">
        <v>98</v>
      </c>
      <c r="F1129" s="31">
        <v>445</v>
      </c>
      <c r="G1129" s="14" t="s">
        <v>119</v>
      </c>
      <c r="H1129" s="29" t="s">
        <v>129</v>
      </c>
      <c r="I1129" s="32" t="s">
        <v>6924</v>
      </c>
      <c r="J1129" s="28" t="s">
        <v>6925</v>
      </c>
      <c r="K1129" s="29" t="s">
        <v>6926</v>
      </c>
      <c r="L1129" s="27" t="s">
        <v>1698</v>
      </c>
      <c r="M1129" s="28" t="s">
        <v>1699</v>
      </c>
      <c r="N1129" s="38"/>
      <c r="O1129" s="34"/>
      <c r="P1129" s="34"/>
      <c r="Q1129" s="35" t="s">
        <v>78</v>
      </c>
      <c r="R1129" s="35" t="s">
        <v>79</v>
      </c>
      <c r="S1129" s="35" t="s">
        <v>61</v>
      </c>
      <c r="T1129" s="35" t="s">
        <v>62</v>
      </c>
      <c r="U1129" s="36" t="s">
        <v>80</v>
      </c>
    </row>
    <row r="1130" spans="1:21" ht="15.75" customHeight="1" x14ac:dyDescent="0.25">
      <c r="A1130" s="9" t="s">
        <v>6927</v>
      </c>
      <c r="B1130" s="10" t="s">
        <v>6928</v>
      </c>
      <c r="C1130" s="11" t="s">
        <v>6929</v>
      </c>
      <c r="D1130" s="21" t="s">
        <v>109</v>
      </c>
      <c r="E1130" s="11" t="s">
        <v>47</v>
      </c>
      <c r="F1130" s="13">
        <v>205</v>
      </c>
      <c r="G1130" s="25" t="s">
        <v>110</v>
      </c>
      <c r="H1130" s="11" t="s">
        <v>129</v>
      </c>
      <c r="I1130" s="15" t="s">
        <v>6930</v>
      </c>
      <c r="J1130" s="10" t="s">
        <v>6931</v>
      </c>
      <c r="K1130" s="11" t="s">
        <v>6932</v>
      </c>
      <c r="L1130" s="9" t="s">
        <v>481</v>
      </c>
      <c r="M1130" s="10" t="s">
        <v>482</v>
      </c>
      <c r="N1130" s="22"/>
      <c r="O1130" s="17"/>
      <c r="P1130" s="17"/>
      <c r="Q1130" s="18" t="s">
        <v>78</v>
      </c>
      <c r="R1130" s="18" t="s">
        <v>79</v>
      </c>
      <c r="S1130" s="18" t="s">
        <v>61</v>
      </c>
      <c r="T1130" s="18" t="s">
        <v>62</v>
      </c>
      <c r="U1130" s="19" t="s">
        <v>80</v>
      </c>
    </row>
    <row r="1131" spans="1:21" ht="15.75" customHeight="1" x14ac:dyDescent="0.25">
      <c r="A1131" s="27" t="s">
        <v>6933</v>
      </c>
      <c r="B1131" s="28" t="s">
        <v>6934</v>
      </c>
      <c r="C1131" s="29" t="s">
        <v>6935</v>
      </c>
      <c r="D1131" s="30" t="s">
        <v>6936</v>
      </c>
      <c r="E1131" s="29" t="s">
        <v>47</v>
      </c>
      <c r="F1131" s="31">
        <v>88</v>
      </c>
      <c r="G1131" s="20" t="s">
        <v>119</v>
      </c>
      <c r="H1131" s="29" t="s">
        <v>48</v>
      </c>
      <c r="I1131" s="32" t="s">
        <v>6937</v>
      </c>
      <c r="J1131" s="28" t="s">
        <v>6938</v>
      </c>
      <c r="K1131" s="29" t="s">
        <v>6939</v>
      </c>
      <c r="L1131" s="27" t="s">
        <v>158</v>
      </c>
      <c r="M1131" s="28" t="s">
        <v>159</v>
      </c>
      <c r="N1131" s="33" t="s">
        <v>75</v>
      </c>
      <c r="O1131" s="34" t="s">
        <v>492</v>
      </c>
      <c r="P1131" s="34" t="s">
        <v>493</v>
      </c>
      <c r="Q1131" s="35" t="s">
        <v>78</v>
      </c>
      <c r="R1131" s="35" t="s">
        <v>79</v>
      </c>
      <c r="S1131" s="35" t="s">
        <v>61</v>
      </c>
      <c r="T1131" s="35" t="s">
        <v>62</v>
      </c>
      <c r="U1131" s="36" t="s">
        <v>80</v>
      </c>
    </row>
    <row r="1132" spans="1:21" ht="15.75" customHeight="1" x14ac:dyDescent="0.25">
      <c r="A1132" s="9" t="s">
        <v>6940</v>
      </c>
      <c r="B1132" s="10" t="s">
        <v>6941</v>
      </c>
      <c r="C1132" s="11" t="s">
        <v>6942</v>
      </c>
      <c r="D1132" s="21" t="s">
        <v>109</v>
      </c>
      <c r="E1132" s="11"/>
      <c r="F1132" s="13">
        <v>231.7</v>
      </c>
      <c r="G1132" s="25" t="s">
        <v>110</v>
      </c>
      <c r="H1132" s="11" t="s">
        <v>129</v>
      </c>
      <c r="I1132" s="15" t="s">
        <v>6943</v>
      </c>
      <c r="J1132" s="10" t="s">
        <v>6944</v>
      </c>
      <c r="K1132" s="11" t="s">
        <v>507</v>
      </c>
      <c r="L1132" s="9" t="s">
        <v>90</v>
      </c>
      <c r="M1132" s="10" t="s">
        <v>91</v>
      </c>
      <c r="N1132" s="22"/>
      <c r="O1132" s="17"/>
      <c r="P1132" s="17"/>
      <c r="Q1132" s="18" t="s">
        <v>78</v>
      </c>
      <c r="R1132" s="18" t="s">
        <v>79</v>
      </c>
      <c r="S1132" s="18" t="s">
        <v>61</v>
      </c>
      <c r="T1132" s="18" t="s">
        <v>62</v>
      </c>
      <c r="U1132" s="19" t="s">
        <v>80</v>
      </c>
    </row>
    <row r="1133" spans="1:21" ht="15.75" customHeight="1" x14ac:dyDescent="0.25">
      <c r="A1133" s="27" t="s">
        <v>6945</v>
      </c>
      <c r="B1133" s="28" t="s">
        <v>6946</v>
      </c>
      <c r="C1133" s="29" t="s">
        <v>6947</v>
      </c>
      <c r="D1133" s="37" t="s">
        <v>109</v>
      </c>
      <c r="E1133" s="29" t="s">
        <v>47</v>
      </c>
      <c r="F1133" s="31">
        <v>178.5</v>
      </c>
      <c r="G1133" s="24" t="s">
        <v>85</v>
      </c>
      <c r="H1133" s="29" t="s">
        <v>86</v>
      </c>
      <c r="I1133" s="32" t="s">
        <v>404</v>
      </c>
      <c r="J1133" s="28" t="s">
        <v>6948</v>
      </c>
      <c r="K1133" s="29"/>
      <c r="L1133" s="27"/>
      <c r="M1133" s="28"/>
      <c r="N1133" s="38"/>
      <c r="O1133" s="34"/>
      <c r="P1133" s="34"/>
      <c r="Q1133" s="35" t="s">
        <v>78</v>
      </c>
      <c r="R1133" s="35" t="s">
        <v>79</v>
      </c>
      <c r="S1133" s="35" t="s">
        <v>61</v>
      </c>
      <c r="T1133" s="35" t="s">
        <v>62</v>
      </c>
      <c r="U1133" s="36" t="s">
        <v>80</v>
      </c>
    </row>
    <row r="1134" spans="1:21" ht="15.75" customHeight="1" x14ac:dyDescent="0.25">
      <c r="A1134" s="9" t="s">
        <v>6949</v>
      </c>
      <c r="B1134" s="10" t="s">
        <v>6950</v>
      </c>
      <c r="C1134" s="11" t="s">
        <v>6951</v>
      </c>
      <c r="D1134" s="12" t="s">
        <v>6952</v>
      </c>
      <c r="E1134" s="11" t="s">
        <v>47</v>
      </c>
      <c r="F1134" s="13">
        <v>205</v>
      </c>
      <c r="G1134" s="20" t="s">
        <v>85</v>
      </c>
      <c r="H1134" s="11" t="s">
        <v>129</v>
      </c>
      <c r="I1134" s="15" t="s">
        <v>516</v>
      </c>
      <c r="J1134" s="10" t="s">
        <v>6953</v>
      </c>
      <c r="K1134" s="11" t="s">
        <v>1795</v>
      </c>
      <c r="L1134" s="9" t="s">
        <v>90</v>
      </c>
      <c r="M1134" s="10" t="s">
        <v>91</v>
      </c>
      <c r="N1134" s="16" t="s">
        <v>75</v>
      </c>
      <c r="O1134" s="17" t="s">
        <v>355</v>
      </c>
      <c r="P1134" s="17" t="s">
        <v>356</v>
      </c>
      <c r="Q1134" s="18" t="s">
        <v>78</v>
      </c>
      <c r="R1134" s="18" t="s">
        <v>79</v>
      </c>
      <c r="S1134" s="18" t="s">
        <v>61</v>
      </c>
      <c r="T1134" s="18" t="s">
        <v>62</v>
      </c>
      <c r="U1134" s="19" t="s">
        <v>80</v>
      </c>
    </row>
    <row r="1135" spans="1:21" ht="15.75" customHeight="1" x14ac:dyDescent="0.25">
      <c r="A1135" s="27" t="s">
        <v>6954</v>
      </c>
      <c r="B1135" s="28" t="s">
        <v>6955</v>
      </c>
      <c r="C1135" s="29" t="s">
        <v>6956</v>
      </c>
      <c r="D1135" s="30" t="s">
        <v>6957</v>
      </c>
      <c r="E1135" s="29" t="s">
        <v>47</v>
      </c>
      <c r="F1135" s="31">
        <v>455.3</v>
      </c>
      <c r="G1135" s="20" t="s">
        <v>85</v>
      </c>
      <c r="H1135" s="29" t="s">
        <v>129</v>
      </c>
      <c r="I1135" s="32" t="s">
        <v>2460</v>
      </c>
      <c r="J1135" s="28" t="s">
        <v>6958</v>
      </c>
      <c r="K1135" s="29"/>
      <c r="L1135" s="27" t="s">
        <v>158</v>
      </c>
      <c r="M1135" s="28" t="s">
        <v>159</v>
      </c>
      <c r="N1135" s="33" t="s">
        <v>75</v>
      </c>
      <c r="O1135" s="34" t="s">
        <v>6959</v>
      </c>
      <c r="P1135" s="34" t="s">
        <v>6960</v>
      </c>
      <c r="Q1135" s="35" t="s">
        <v>78</v>
      </c>
      <c r="R1135" s="35" t="s">
        <v>79</v>
      </c>
      <c r="S1135" s="35" t="s">
        <v>61</v>
      </c>
      <c r="T1135" s="35" t="s">
        <v>62</v>
      </c>
      <c r="U1135" s="36" t="s">
        <v>80</v>
      </c>
    </row>
    <row r="1136" spans="1:21" ht="15.75" customHeight="1" x14ac:dyDescent="0.25">
      <c r="A1136" s="9" t="s">
        <v>6961</v>
      </c>
      <c r="B1136" s="10" t="s">
        <v>6962</v>
      </c>
      <c r="C1136" s="11" t="s">
        <v>6963</v>
      </c>
      <c r="D1136" s="12" t="s">
        <v>6964</v>
      </c>
      <c r="E1136" s="11" t="s">
        <v>98</v>
      </c>
      <c r="F1136" s="11" t="s">
        <v>6965</v>
      </c>
      <c r="G1136" s="24" t="s">
        <v>110</v>
      </c>
      <c r="H1136" s="11" t="s">
        <v>100</v>
      </c>
      <c r="I1136" s="15" t="s">
        <v>2478</v>
      </c>
      <c r="J1136" s="10" t="s">
        <v>6966</v>
      </c>
      <c r="K1136" s="11"/>
      <c r="L1136" s="9"/>
      <c r="M1136" s="10"/>
      <c r="N1136" s="23" t="s">
        <v>179</v>
      </c>
      <c r="O1136" s="17"/>
      <c r="P1136" s="17"/>
      <c r="Q1136" s="18" t="s">
        <v>78</v>
      </c>
      <c r="R1136" s="18" t="s">
        <v>79</v>
      </c>
      <c r="S1136" s="18" t="s">
        <v>61</v>
      </c>
      <c r="T1136" s="18" t="s">
        <v>62</v>
      </c>
      <c r="U1136" s="19" t="s">
        <v>80</v>
      </c>
    </row>
    <row r="1137" spans="1:21" ht="15.75" customHeight="1" x14ac:dyDescent="0.25">
      <c r="A1137" s="27" t="s">
        <v>6967</v>
      </c>
      <c r="B1137" s="28" t="s">
        <v>6968</v>
      </c>
      <c r="C1137" s="29" t="s">
        <v>6969</v>
      </c>
      <c r="D1137" s="37" t="s">
        <v>109</v>
      </c>
      <c r="E1137" s="29" t="s">
        <v>98</v>
      </c>
      <c r="F1137" s="29" t="s">
        <v>4858</v>
      </c>
      <c r="G1137" s="24" t="s">
        <v>85</v>
      </c>
      <c r="H1137" s="29" t="s">
        <v>120</v>
      </c>
      <c r="I1137" s="32" t="s">
        <v>6970</v>
      </c>
      <c r="J1137" s="28" t="s">
        <v>6971</v>
      </c>
      <c r="K1137" s="29"/>
      <c r="L1137" s="27"/>
      <c r="M1137" s="28"/>
      <c r="N1137" s="38"/>
      <c r="O1137" s="34"/>
      <c r="P1137" s="34"/>
      <c r="Q1137" s="35" t="s">
        <v>78</v>
      </c>
      <c r="R1137" s="35" t="s">
        <v>79</v>
      </c>
      <c r="S1137" s="35" t="s">
        <v>61</v>
      </c>
      <c r="T1137" s="35" t="s">
        <v>62</v>
      </c>
      <c r="U1137" s="36" t="s">
        <v>80</v>
      </c>
    </row>
    <row r="1138" spans="1:21" ht="15.75" customHeight="1" x14ac:dyDescent="0.25">
      <c r="A1138" s="9" t="s">
        <v>6972</v>
      </c>
      <c r="B1138" s="10" t="s">
        <v>6973</v>
      </c>
      <c r="C1138" s="11" t="s">
        <v>6974</v>
      </c>
      <c r="D1138" s="12" t="s">
        <v>6975</v>
      </c>
      <c r="E1138" s="11" t="s">
        <v>98</v>
      </c>
      <c r="F1138" s="11"/>
      <c r="G1138" s="25" t="s">
        <v>708</v>
      </c>
      <c r="H1138" s="11" t="s">
        <v>100</v>
      </c>
      <c r="I1138" s="15" t="s">
        <v>1867</v>
      </c>
      <c r="J1138" s="10" t="s">
        <v>6976</v>
      </c>
      <c r="K1138" s="11"/>
      <c r="L1138" s="9"/>
      <c r="M1138" s="10"/>
      <c r="N1138" s="16" t="s">
        <v>75</v>
      </c>
      <c r="O1138" s="17" t="s">
        <v>2258</v>
      </c>
      <c r="P1138" s="17" t="s">
        <v>2258</v>
      </c>
      <c r="Q1138" s="18" t="s">
        <v>78</v>
      </c>
      <c r="R1138" s="18" t="s">
        <v>79</v>
      </c>
      <c r="S1138" s="18" t="s">
        <v>61</v>
      </c>
      <c r="T1138" s="18" t="s">
        <v>62</v>
      </c>
      <c r="U1138" s="19" t="s">
        <v>80</v>
      </c>
    </row>
    <row r="1139" spans="1:21" ht="15.75" customHeight="1" x14ac:dyDescent="0.25">
      <c r="A1139" s="27" t="s">
        <v>6977</v>
      </c>
      <c r="B1139" s="28" t="s">
        <v>6978</v>
      </c>
      <c r="C1139" s="29" t="s">
        <v>6979</v>
      </c>
      <c r="D1139" s="30" t="s">
        <v>3784</v>
      </c>
      <c r="E1139" s="29" t="s">
        <v>47</v>
      </c>
      <c r="F1139" s="31">
        <v>274</v>
      </c>
      <c r="G1139" s="24" t="s">
        <v>68</v>
      </c>
      <c r="H1139" s="29" t="s">
        <v>129</v>
      </c>
      <c r="I1139" s="32" t="s">
        <v>6980</v>
      </c>
      <c r="J1139" s="28" t="s">
        <v>6981</v>
      </c>
      <c r="K1139" s="29"/>
      <c r="L1139" s="27"/>
      <c r="M1139" s="28"/>
      <c r="N1139" s="38"/>
      <c r="O1139" s="34"/>
      <c r="P1139" s="34"/>
      <c r="Q1139" s="35" t="s">
        <v>78</v>
      </c>
      <c r="R1139" s="35" t="s">
        <v>79</v>
      </c>
      <c r="S1139" s="35" t="s">
        <v>61</v>
      </c>
      <c r="T1139" s="35" t="s">
        <v>62</v>
      </c>
      <c r="U1139" s="36" t="s">
        <v>80</v>
      </c>
    </row>
    <row r="1140" spans="1:21" ht="15.75" customHeight="1" x14ac:dyDescent="0.25">
      <c r="A1140" s="9" t="s">
        <v>6982</v>
      </c>
      <c r="B1140" s="10" t="s">
        <v>6983</v>
      </c>
      <c r="C1140" s="11" t="s">
        <v>6984</v>
      </c>
      <c r="D1140" s="12" t="s">
        <v>6985</v>
      </c>
      <c r="E1140" s="11" t="s">
        <v>47</v>
      </c>
      <c r="F1140" s="13">
        <v>128</v>
      </c>
      <c r="G1140" s="20" t="s">
        <v>85</v>
      </c>
      <c r="H1140" s="11" t="s">
        <v>330</v>
      </c>
      <c r="I1140" s="15" t="s">
        <v>6986</v>
      </c>
      <c r="J1140" s="10" t="s">
        <v>6987</v>
      </c>
      <c r="K1140" s="11" t="s">
        <v>903</v>
      </c>
      <c r="L1140" s="9" t="s">
        <v>158</v>
      </c>
      <c r="M1140" s="10" t="s">
        <v>159</v>
      </c>
      <c r="N1140" s="16" t="s">
        <v>75</v>
      </c>
      <c r="O1140" s="17" t="s">
        <v>650</v>
      </c>
      <c r="P1140" s="17" t="s">
        <v>651</v>
      </c>
      <c r="Q1140" s="18" t="s">
        <v>78</v>
      </c>
      <c r="R1140" s="18" t="s">
        <v>79</v>
      </c>
      <c r="S1140" s="18" t="s">
        <v>61</v>
      </c>
      <c r="T1140" s="18" t="s">
        <v>62</v>
      </c>
      <c r="U1140" s="19" t="s">
        <v>80</v>
      </c>
    </row>
    <row r="1141" spans="1:21" ht="15.75" customHeight="1" x14ac:dyDescent="0.25">
      <c r="A1141" s="27" t="s">
        <v>6988</v>
      </c>
      <c r="B1141" s="28" t="s">
        <v>6989</v>
      </c>
      <c r="C1141" s="29" t="s">
        <v>6990</v>
      </c>
      <c r="D1141" s="30" t="s">
        <v>4794</v>
      </c>
      <c r="E1141" s="29" t="s">
        <v>98</v>
      </c>
      <c r="F1141" s="29" t="s">
        <v>6991</v>
      </c>
      <c r="G1141" s="25" t="s">
        <v>68</v>
      </c>
      <c r="H1141" s="29" t="s">
        <v>120</v>
      </c>
      <c r="I1141" s="32" t="s">
        <v>6992</v>
      </c>
      <c r="J1141" s="28" t="s">
        <v>6993</v>
      </c>
      <c r="K1141" s="29" t="s">
        <v>6994</v>
      </c>
      <c r="L1141" s="27" t="s">
        <v>481</v>
      </c>
      <c r="M1141" s="28" t="s">
        <v>482</v>
      </c>
      <c r="N1141" s="33" t="s">
        <v>75</v>
      </c>
      <c r="O1141" s="34" t="s">
        <v>2258</v>
      </c>
      <c r="P1141" s="34" t="s">
        <v>2258</v>
      </c>
      <c r="Q1141" s="35" t="s">
        <v>78</v>
      </c>
      <c r="R1141" s="35" t="s">
        <v>79</v>
      </c>
      <c r="S1141" s="35" t="s">
        <v>61</v>
      </c>
      <c r="T1141" s="35" t="s">
        <v>62</v>
      </c>
      <c r="U1141" s="36" t="s">
        <v>80</v>
      </c>
    </row>
    <row r="1142" spans="1:21" ht="15.75" customHeight="1" x14ac:dyDescent="0.25">
      <c r="A1142" s="9" t="s">
        <v>6995</v>
      </c>
      <c r="B1142" s="10" t="s">
        <v>6996</v>
      </c>
      <c r="C1142" s="11" t="s">
        <v>6997</v>
      </c>
      <c r="D1142" s="12" t="s">
        <v>6998</v>
      </c>
      <c r="E1142" s="11" t="s">
        <v>47</v>
      </c>
      <c r="F1142" s="13">
        <v>223</v>
      </c>
      <c r="G1142" s="25" t="s">
        <v>119</v>
      </c>
      <c r="H1142" s="11" t="s">
        <v>129</v>
      </c>
      <c r="I1142" s="15" t="s">
        <v>6999</v>
      </c>
      <c r="J1142" s="10" t="s">
        <v>7000</v>
      </c>
      <c r="K1142" s="11" t="s">
        <v>2348</v>
      </c>
      <c r="L1142" s="9" t="s">
        <v>481</v>
      </c>
      <c r="M1142" s="10" t="s">
        <v>482</v>
      </c>
      <c r="N1142" s="16" t="s">
        <v>75</v>
      </c>
      <c r="O1142" s="17" t="s">
        <v>1127</v>
      </c>
      <c r="P1142" s="17" t="s">
        <v>1128</v>
      </c>
      <c r="Q1142" s="18" t="s">
        <v>78</v>
      </c>
      <c r="R1142" s="18" t="s">
        <v>79</v>
      </c>
      <c r="S1142" s="18" t="s">
        <v>61</v>
      </c>
      <c r="T1142" s="18" t="s">
        <v>62</v>
      </c>
      <c r="U1142" s="19" t="s">
        <v>80</v>
      </c>
    </row>
    <row r="1143" spans="1:21" ht="15.75" customHeight="1" x14ac:dyDescent="0.25">
      <c r="A1143" s="27" t="s">
        <v>7001</v>
      </c>
      <c r="B1143" s="28" t="s">
        <v>7002</v>
      </c>
      <c r="C1143" s="29" t="s">
        <v>7003</v>
      </c>
      <c r="D1143" s="37" t="s">
        <v>109</v>
      </c>
      <c r="E1143" s="29" t="s">
        <v>98</v>
      </c>
      <c r="F1143" s="31">
        <v>235</v>
      </c>
      <c r="G1143" s="24" t="s">
        <v>85</v>
      </c>
      <c r="H1143" s="29" t="s">
        <v>129</v>
      </c>
      <c r="I1143" s="32" t="s">
        <v>7004</v>
      </c>
      <c r="J1143" s="28" t="s">
        <v>7005</v>
      </c>
      <c r="K1143" s="29"/>
      <c r="L1143" s="27"/>
      <c r="M1143" s="28"/>
      <c r="N1143" s="38"/>
      <c r="O1143" s="34"/>
      <c r="P1143" s="34"/>
      <c r="Q1143" s="35" t="s">
        <v>78</v>
      </c>
      <c r="R1143" s="35" t="s">
        <v>79</v>
      </c>
      <c r="S1143" s="35" t="s">
        <v>61</v>
      </c>
      <c r="T1143" s="35" t="s">
        <v>62</v>
      </c>
      <c r="U1143" s="36" t="s">
        <v>80</v>
      </c>
    </row>
    <row r="1144" spans="1:21" ht="15.75" customHeight="1" x14ac:dyDescent="0.25">
      <c r="A1144" s="9" t="s">
        <v>7006</v>
      </c>
      <c r="B1144" s="10" t="s">
        <v>7007</v>
      </c>
      <c r="C1144" s="11" t="s">
        <v>7008</v>
      </c>
      <c r="D1144" s="12" t="s">
        <v>7009</v>
      </c>
      <c r="E1144" s="11" t="s">
        <v>98</v>
      </c>
      <c r="F1144" s="11" t="s">
        <v>7010</v>
      </c>
      <c r="G1144" s="14" t="s">
        <v>119</v>
      </c>
      <c r="H1144" s="11" t="s">
        <v>100</v>
      </c>
      <c r="I1144" s="15" t="s">
        <v>6506</v>
      </c>
      <c r="J1144" s="10" t="s">
        <v>7011</v>
      </c>
      <c r="K1144" s="11"/>
      <c r="L1144" s="9"/>
      <c r="M1144" s="10"/>
      <c r="N1144" s="23" t="s">
        <v>179</v>
      </c>
      <c r="O1144" s="17" t="s">
        <v>869</v>
      </c>
      <c r="P1144" s="17" t="s">
        <v>870</v>
      </c>
      <c r="Q1144" s="18" t="s">
        <v>78</v>
      </c>
      <c r="R1144" s="18" t="s">
        <v>79</v>
      </c>
      <c r="S1144" s="18" t="s">
        <v>61</v>
      </c>
      <c r="T1144" s="18" t="s">
        <v>62</v>
      </c>
      <c r="U1144" s="19" t="s">
        <v>80</v>
      </c>
    </row>
    <row r="1145" spans="1:21" ht="15.75" customHeight="1" x14ac:dyDescent="0.25">
      <c r="A1145" s="27" t="s">
        <v>7012</v>
      </c>
      <c r="B1145" s="28" t="s">
        <v>7013</v>
      </c>
      <c r="C1145" s="29" t="s">
        <v>7014</v>
      </c>
      <c r="D1145" s="37" t="s">
        <v>109</v>
      </c>
      <c r="E1145" s="29" t="s">
        <v>47</v>
      </c>
      <c r="F1145" s="31">
        <v>207.5</v>
      </c>
      <c r="G1145" s="24" t="s">
        <v>85</v>
      </c>
      <c r="H1145" s="29" t="s">
        <v>129</v>
      </c>
      <c r="I1145" s="32" t="s">
        <v>6224</v>
      </c>
      <c r="J1145" s="28" t="s">
        <v>7015</v>
      </c>
      <c r="K1145" s="29"/>
      <c r="L1145" s="27"/>
      <c r="M1145" s="28"/>
      <c r="N1145" s="38"/>
      <c r="O1145" s="34"/>
      <c r="P1145" s="34"/>
      <c r="Q1145" s="35" t="s">
        <v>78</v>
      </c>
      <c r="R1145" s="35" t="s">
        <v>79</v>
      </c>
      <c r="S1145" s="35" t="s">
        <v>61</v>
      </c>
      <c r="T1145" s="35" t="s">
        <v>62</v>
      </c>
      <c r="U1145" s="36" t="s">
        <v>80</v>
      </c>
    </row>
    <row r="1146" spans="1:21" ht="15.75" customHeight="1" x14ac:dyDescent="0.25">
      <c r="A1146" s="9" t="s">
        <v>7016</v>
      </c>
      <c r="B1146" s="10" t="s">
        <v>7017</v>
      </c>
      <c r="C1146" s="11" t="s">
        <v>7018</v>
      </c>
      <c r="D1146" s="12" t="s">
        <v>7019</v>
      </c>
      <c r="E1146" s="11" t="s">
        <v>98</v>
      </c>
      <c r="F1146" s="11" t="s">
        <v>99</v>
      </c>
      <c r="G1146" s="20" t="s">
        <v>85</v>
      </c>
      <c r="H1146" s="11" t="s">
        <v>120</v>
      </c>
      <c r="I1146" s="15" t="s">
        <v>7020</v>
      </c>
      <c r="J1146" s="10" t="s">
        <v>7021</v>
      </c>
      <c r="K1146" s="11" t="s">
        <v>332</v>
      </c>
      <c r="L1146" s="9" t="s">
        <v>197</v>
      </c>
      <c r="M1146" s="10" t="s">
        <v>198</v>
      </c>
      <c r="N1146" s="16" t="s">
        <v>75</v>
      </c>
      <c r="O1146" s="17" t="s">
        <v>355</v>
      </c>
      <c r="P1146" s="17" t="s">
        <v>356</v>
      </c>
      <c r="Q1146" s="18" t="s">
        <v>78</v>
      </c>
      <c r="R1146" s="18" t="s">
        <v>79</v>
      </c>
      <c r="S1146" s="18" t="s">
        <v>61</v>
      </c>
      <c r="T1146" s="18" t="s">
        <v>62</v>
      </c>
      <c r="U1146" s="19" t="s">
        <v>80</v>
      </c>
    </row>
    <row r="1147" spans="1:21" ht="15.75" customHeight="1" x14ac:dyDescent="0.25">
      <c r="A1147" s="27" t="s">
        <v>7022</v>
      </c>
      <c r="B1147" s="28" t="s">
        <v>7023</v>
      </c>
      <c r="C1147" s="29" t="s">
        <v>7024</v>
      </c>
      <c r="D1147" s="30" t="s">
        <v>2412</v>
      </c>
      <c r="E1147" s="29" t="s">
        <v>98</v>
      </c>
      <c r="F1147" s="31">
        <v>1670</v>
      </c>
      <c r="G1147" s="25" t="s">
        <v>119</v>
      </c>
      <c r="H1147" s="29" t="s">
        <v>129</v>
      </c>
      <c r="I1147" s="32" t="s">
        <v>1761</v>
      </c>
      <c r="J1147" s="28" t="s">
        <v>7025</v>
      </c>
      <c r="K1147" s="29"/>
      <c r="L1147" s="27"/>
      <c r="M1147" s="28"/>
      <c r="N1147" s="33" t="s">
        <v>75</v>
      </c>
      <c r="O1147" s="34" t="s">
        <v>1127</v>
      </c>
      <c r="P1147" s="34" t="s">
        <v>1128</v>
      </c>
      <c r="Q1147" s="35" t="s">
        <v>78</v>
      </c>
      <c r="R1147" s="35" t="s">
        <v>79</v>
      </c>
      <c r="S1147" s="35" t="s">
        <v>61</v>
      </c>
      <c r="T1147" s="35" t="s">
        <v>62</v>
      </c>
      <c r="U1147" s="36" t="s">
        <v>80</v>
      </c>
    </row>
    <row r="1148" spans="1:21" ht="15.75" customHeight="1" x14ac:dyDescent="0.25">
      <c r="A1148" s="9" t="s">
        <v>7026</v>
      </c>
      <c r="B1148" s="10" t="s">
        <v>7027</v>
      </c>
      <c r="C1148" s="11" t="s">
        <v>7028</v>
      </c>
      <c r="D1148" s="12" t="s">
        <v>7029</v>
      </c>
      <c r="E1148" s="11" t="s">
        <v>98</v>
      </c>
      <c r="F1148" s="11" t="s">
        <v>7030</v>
      </c>
      <c r="G1148" s="14" t="s">
        <v>119</v>
      </c>
      <c r="H1148" s="11" t="s">
        <v>100</v>
      </c>
      <c r="I1148" s="15" t="s">
        <v>7031</v>
      </c>
      <c r="J1148" s="10" t="s">
        <v>7032</v>
      </c>
      <c r="K1148" s="11" t="s">
        <v>3209</v>
      </c>
      <c r="L1148" s="9" t="s">
        <v>481</v>
      </c>
      <c r="M1148" s="10" t="s">
        <v>482</v>
      </c>
      <c r="N1148" s="23" t="s">
        <v>179</v>
      </c>
      <c r="O1148" s="17" t="s">
        <v>1127</v>
      </c>
      <c r="P1148" s="17" t="s">
        <v>1128</v>
      </c>
      <c r="Q1148" s="18" t="s">
        <v>78</v>
      </c>
      <c r="R1148" s="18" t="s">
        <v>79</v>
      </c>
      <c r="S1148" s="18" t="s">
        <v>61</v>
      </c>
      <c r="T1148" s="18" t="s">
        <v>62</v>
      </c>
      <c r="U1148" s="19" t="s">
        <v>80</v>
      </c>
    </row>
    <row r="1149" spans="1:21" ht="15.75" customHeight="1" x14ac:dyDescent="0.25">
      <c r="A1149" s="27" t="s">
        <v>7033</v>
      </c>
      <c r="B1149" s="28" t="s">
        <v>7034</v>
      </c>
      <c r="C1149" s="29" t="s">
        <v>7035</v>
      </c>
      <c r="D1149" s="30" t="s">
        <v>7036</v>
      </c>
      <c r="E1149" s="29" t="s">
        <v>47</v>
      </c>
      <c r="F1149" s="31">
        <v>199</v>
      </c>
      <c r="G1149" s="24" t="s">
        <v>68</v>
      </c>
      <c r="H1149" s="29" t="s">
        <v>86</v>
      </c>
      <c r="I1149" s="32" t="s">
        <v>7037</v>
      </c>
      <c r="J1149" s="28" t="s">
        <v>7038</v>
      </c>
      <c r="K1149" s="29"/>
      <c r="L1149" s="27"/>
      <c r="M1149" s="28"/>
      <c r="N1149" s="39" t="s">
        <v>179</v>
      </c>
      <c r="O1149" s="34"/>
      <c r="P1149" s="34"/>
      <c r="Q1149" s="35" t="s">
        <v>78</v>
      </c>
      <c r="R1149" s="35" t="s">
        <v>79</v>
      </c>
      <c r="S1149" s="35" t="s">
        <v>61</v>
      </c>
      <c r="T1149" s="35" t="s">
        <v>62</v>
      </c>
      <c r="U1149" s="36" t="s">
        <v>80</v>
      </c>
    </row>
    <row r="1150" spans="1:21" ht="15.75" customHeight="1" x14ac:dyDescent="0.25">
      <c r="A1150" s="9" t="s">
        <v>7039</v>
      </c>
      <c r="B1150" s="10" t="s">
        <v>7040</v>
      </c>
      <c r="C1150" s="11" t="s">
        <v>7041</v>
      </c>
      <c r="D1150" s="21" t="s">
        <v>109</v>
      </c>
      <c r="E1150" s="11" t="s">
        <v>47</v>
      </c>
      <c r="F1150" s="13">
        <v>121</v>
      </c>
      <c r="G1150" s="25" t="s">
        <v>110</v>
      </c>
      <c r="H1150" s="11" t="s">
        <v>330</v>
      </c>
      <c r="I1150" s="15" t="s">
        <v>524</v>
      </c>
      <c r="J1150" s="10" t="s">
        <v>7042</v>
      </c>
      <c r="K1150" s="11" t="s">
        <v>7043</v>
      </c>
      <c r="L1150" s="9" t="s">
        <v>90</v>
      </c>
      <c r="M1150" s="10" t="s">
        <v>91</v>
      </c>
      <c r="N1150" s="22"/>
      <c r="O1150" s="17"/>
      <c r="P1150" s="17"/>
      <c r="Q1150" s="18" t="s">
        <v>78</v>
      </c>
      <c r="R1150" s="18" t="s">
        <v>79</v>
      </c>
      <c r="S1150" s="18" t="s">
        <v>61</v>
      </c>
      <c r="T1150" s="18" t="s">
        <v>62</v>
      </c>
      <c r="U1150" s="19" t="s">
        <v>80</v>
      </c>
    </row>
    <row r="1151" spans="1:21" ht="15.75" customHeight="1" x14ac:dyDescent="0.25">
      <c r="A1151" s="27" t="s">
        <v>7044</v>
      </c>
      <c r="B1151" s="28" t="s">
        <v>7045</v>
      </c>
      <c r="C1151" s="29" t="s">
        <v>7046</v>
      </c>
      <c r="D1151" s="37" t="s">
        <v>109</v>
      </c>
      <c r="E1151" s="29" t="s">
        <v>98</v>
      </c>
      <c r="F1151" s="29" t="s">
        <v>7047</v>
      </c>
      <c r="G1151" s="24" t="s">
        <v>85</v>
      </c>
      <c r="H1151" s="29" t="s">
        <v>100</v>
      </c>
      <c r="I1151" s="32" t="s">
        <v>3148</v>
      </c>
      <c r="J1151" s="28" t="s">
        <v>7048</v>
      </c>
      <c r="K1151" s="29"/>
      <c r="L1151" s="27"/>
      <c r="M1151" s="28"/>
      <c r="N1151" s="38"/>
      <c r="O1151" s="34"/>
      <c r="P1151" s="34"/>
      <c r="Q1151" s="35" t="s">
        <v>78</v>
      </c>
      <c r="R1151" s="35" t="s">
        <v>79</v>
      </c>
      <c r="S1151" s="35" t="s">
        <v>61</v>
      </c>
      <c r="T1151" s="35" t="s">
        <v>62</v>
      </c>
      <c r="U1151" s="36" t="s">
        <v>80</v>
      </c>
    </row>
    <row r="1152" spans="1:21" ht="15.75" customHeight="1" x14ac:dyDescent="0.25">
      <c r="A1152" s="9" t="s">
        <v>7049</v>
      </c>
      <c r="B1152" s="10" t="s">
        <v>7050</v>
      </c>
      <c r="C1152" s="11" t="s">
        <v>7051</v>
      </c>
      <c r="D1152" s="21" t="s">
        <v>109</v>
      </c>
      <c r="E1152" s="11" t="s">
        <v>47</v>
      </c>
      <c r="F1152" s="13">
        <v>84</v>
      </c>
      <c r="G1152" s="14" t="s">
        <v>119</v>
      </c>
      <c r="H1152" s="11" t="s">
        <v>48</v>
      </c>
      <c r="I1152" s="15" t="s">
        <v>3983</v>
      </c>
      <c r="J1152" s="10" t="s">
        <v>7052</v>
      </c>
      <c r="K1152" s="11" t="s">
        <v>7053</v>
      </c>
      <c r="L1152" s="9" t="s">
        <v>158</v>
      </c>
      <c r="M1152" s="10" t="s">
        <v>159</v>
      </c>
      <c r="N1152" s="22"/>
      <c r="O1152" s="17"/>
      <c r="P1152" s="17"/>
      <c r="Q1152" s="18" t="s">
        <v>78</v>
      </c>
      <c r="R1152" s="18" t="s">
        <v>79</v>
      </c>
      <c r="S1152" s="18" t="s">
        <v>61</v>
      </c>
      <c r="T1152" s="18" t="s">
        <v>62</v>
      </c>
      <c r="U1152" s="19" t="s">
        <v>80</v>
      </c>
    </row>
    <row r="1153" spans="1:21" ht="15.75" customHeight="1" x14ac:dyDescent="0.25">
      <c r="A1153" s="27" t="s">
        <v>7054</v>
      </c>
      <c r="B1153" s="28" t="s">
        <v>7055</v>
      </c>
      <c r="C1153" s="29" t="s">
        <v>7056</v>
      </c>
      <c r="D1153" s="30" t="s">
        <v>7057</v>
      </c>
      <c r="E1153" s="29" t="s">
        <v>98</v>
      </c>
      <c r="F1153" s="29" t="s">
        <v>7058</v>
      </c>
      <c r="G1153" s="14" t="s">
        <v>708</v>
      </c>
      <c r="H1153" s="29" t="s">
        <v>120</v>
      </c>
      <c r="I1153" s="32" t="s">
        <v>3971</v>
      </c>
      <c r="J1153" s="28" t="s">
        <v>7059</v>
      </c>
      <c r="K1153" s="29"/>
      <c r="L1153" s="27"/>
      <c r="M1153" s="28"/>
      <c r="N1153" s="39" t="s">
        <v>179</v>
      </c>
      <c r="O1153" s="34" t="s">
        <v>869</v>
      </c>
      <c r="P1153" s="34" t="s">
        <v>870</v>
      </c>
      <c r="Q1153" s="35" t="s">
        <v>78</v>
      </c>
      <c r="R1153" s="35" t="s">
        <v>79</v>
      </c>
      <c r="S1153" s="35" t="s">
        <v>61</v>
      </c>
      <c r="T1153" s="35" t="s">
        <v>62</v>
      </c>
      <c r="U1153" s="36" t="s">
        <v>80</v>
      </c>
    </row>
    <row r="1154" spans="1:21" ht="15.75" customHeight="1" x14ac:dyDescent="0.25">
      <c r="A1154" s="9" t="s">
        <v>7060</v>
      </c>
      <c r="B1154" s="10" t="s">
        <v>7061</v>
      </c>
      <c r="C1154" s="11" t="s">
        <v>7062</v>
      </c>
      <c r="D1154" s="12" t="s">
        <v>4501</v>
      </c>
      <c r="E1154" s="11"/>
      <c r="F1154" s="13">
        <v>1484</v>
      </c>
      <c r="G1154" s="14" t="s">
        <v>68</v>
      </c>
      <c r="H1154" s="11" t="s">
        <v>129</v>
      </c>
      <c r="I1154" s="15" t="s">
        <v>7063</v>
      </c>
      <c r="J1154" s="10" t="s">
        <v>7064</v>
      </c>
      <c r="K1154" s="11" t="s">
        <v>7065</v>
      </c>
      <c r="L1154" s="9" t="s">
        <v>1267</v>
      </c>
      <c r="M1154" s="10" t="s">
        <v>1268</v>
      </c>
      <c r="N1154" s="16" t="s">
        <v>75</v>
      </c>
      <c r="O1154" s="17" t="s">
        <v>4505</v>
      </c>
      <c r="P1154" s="17" t="s">
        <v>4506</v>
      </c>
      <c r="Q1154" s="18" t="s">
        <v>78</v>
      </c>
      <c r="R1154" s="18" t="s">
        <v>79</v>
      </c>
      <c r="S1154" s="18" t="s">
        <v>61</v>
      </c>
      <c r="T1154" s="18" t="s">
        <v>62</v>
      </c>
      <c r="U1154" s="19" t="s">
        <v>80</v>
      </c>
    </row>
    <row r="1155" spans="1:21" ht="15.75" customHeight="1" x14ac:dyDescent="0.25">
      <c r="A1155" s="27" t="s">
        <v>7066</v>
      </c>
      <c r="B1155" s="28" t="s">
        <v>7067</v>
      </c>
      <c r="C1155" s="29" t="s">
        <v>7068</v>
      </c>
      <c r="D1155" s="37" t="s">
        <v>109</v>
      </c>
      <c r="E1155" s="29" t="s">
        <v>1264</v>
      </c>
      <c r="F1155" s="29" t="s">
        <v>118</v>
      </c>
      <c r="G1155" s="24" t="s">
        <v>85</v>
      </c>
      <c r="H1155" s="29" t="s">
        <v>100</v>
      </c>
      <c r="I1155" s="32" t="s">
        <v>1304</v>
      </c>
      <c r="J1155" s="28" t="s">
        <v>7069</v>
      </c>
      <c r="K1155" s="29"/>
      <c r="L1155" s="27"/>
      <c r="M1155" s="28"/>
      <c r="N1155" s="38"/>
      <c r="O1155" s="34"/>
      <c r="P1155" s="34"/>
      <c r="Q1155" s="35" t="s">
        <v>78</v>
      </c>
      <c r="R1155" s="35" t="s">
        <v>79</v>
      </c>
      <c r="S1155" s="35" t="s">
        <v>61</v>
      </c>
      <c r="T1155" s="35" t="s">
        <v>62</v>
      </c>
      <c r="U1155" s="36" t="s">
        <v>80</v>
      </c>
    </row>
    <row r="1156" spans="1:21" ht="15.75" customHeight="1" x14ac:dyDescent="0.25">
      <c r="A1156" s="9" t="s">
        <v>7070</v>
      </c>
      <c r="B1156" s="10" t="s">
        <v>7071</v>
      </c>
      <c r="C1156" s="11" t="s">
        <v>7072</v>
      </c>
      <c r="D1156" s="12" t="s">
        <v>7073</v>
      </c>
      <c r="E1156" s="11" t="s">
        <v>98</v>
      </c>
      <c r="F1156" s="11" t="s">
        <v>7074</v>
      </c>
      <c r="G1156" s="20" t="s">
        <v>85</v>
      </c>
      <c r="H1156" s="11" t="s">
        <v>120</v>
      </c>
      <c r="I1156" s="15" t="s">
        <v>7075</v>
      </c>
      <c r="J1156" s="10" t="s">
        <v>7076</v>
      </c>
      <c r="K1156" s="11" t="s">
        <v>7077</v>
      </c>
      <c r="L1156" s="9" t="s">
        <v>1203</v>
      </c>
      <c r="M1156" s="10" t="s">
        <v>1204</v>
      </c>
      <c r="N1156" s="16" t="s">
        <v>75</v>
      </c>
      <c r="O1156" s="17" t="s">
        <v>7078</v>
      </c>
      <c r="P1156" s="17" t="s">
        <v>7079</v>
      </c>
      <c r="Q1156" s="18" t="s">
        <v>78</v>
      </c>
      <c r="R1156" s="18" t="s">
        <v>79</v>
      </c>
      <c r="S1156" s="18" t="s">
        <v>61</v>
      </c>
      <c r="T1156" s="18" t="s">
        <v>62</v>
      </c>
      <c r="U1156" s="19" t="s">
        <v>80</v>
      </c>
    </row>
    <row r="1157" spans="1:21" ht="15.75" customHeight="1" x14ac:dyDescent="0.25">
      <c r="A1157" s="27" t="s">
        <v>7080</v>
      </c>
      <c r="B1157" s="28" t="s">
        <v>7081</v>
      </c>
      <c r="C1157" s="29" t="s">
        <v>7082</v>
      </c>
      <c r="D1157" s="37" t="s">
        <v>109</v>
      </c>
      <c r="E1157" s="29" t="s">
        <v>98</v>
      </c>
      <c r="F1157" s="29"/>
      <c r="G1157" s="24" t="s">
        <v>85</v>
      </c>
      <c r="H1157" s="29" t="s">
        <v>100</v>
      </c>
      <c r="I1157" s="32" t="s">
        <v>7083</v>
      </c>
      <c r="J1157" s="28" t="s">
        <v>7084</v>
      </c>
      <c r="K1157" s="29"/>
      <c r="L1157" s="27"/>
      <c r="M1157" s="28"/>
      <c r="N1157" s="38"/>
      <c r="O1157" s="34"/>
      <c r="P1157" s="34"/>
      <c r="Q1157" s="35" t="s">
        <v>78</v>
      </c>
      <c r="R1157" s="35" t="s">
        <v>79</v>
      </c>
      <c r="S1157" s="35" t="s">
        <v>61</v>
      </c>
      <c r="T1157" s="35" t="s">
        <v>62</v>
      </c>
      <c r="U1157" s="36" t="s">
        <v>80</v>
      </c>
    </row>
    <row r="1158" spans="1:21" ht="15.75" customHeight="1" x14ac:dyDescent="0.25">
      <c r="A1158" s="9" t="s">
        <v>7085</v>
      </c>
      <c r="B1158" s="10" t="s">
        <v>7086</v>
      </c>
      <c r="C1158" s="11" t="s">
        <v>7087</v>
      </c>
      <c r="D1158" s="21" t="s">
        <v>109</v>
      </c>
      <c r="E1158" s="11" t="s">
        <v>67</v>
      </c>
      <c r="F1158" s="13">
        <v>-196</v>
      </c>
      <c r="G1158" s="24" t="s">
        <v>85</v>
      </c>
      <c r="H1158" s="11" t="s">
        <v>69</v>
      </c>
      <c r="I1158" s="15" t="s">
        <v>7088</v>
      </c>
      <c r="J1158" s="10" t="s">
        <v>7089</v>
      </c>
      <c r="K1158" s="11" t="s">
        <v>6437</v>
      </c>
      <c r="L1158" s="9" t="s">
        <v>248</v>
      </c>
      <c r="M1158" s="10" t="s">
        <v>249</v>
      </c>
      <c r="N1158" s="22"/>
      <c r="O1158" s="17"/>
      <c r="P1158" s="17"/>
      <c r="Q1158" s="18" t="s">
        <v>78</v>
      </c>
      <c r="R1158" s="18" t="s">
        <v>79</v>
      </c>
      <c r="S1158" s="18" t="s">
        <v>61</v>
      </c>
      <c r="T1158" s="18" t="s">
        <v>62</v>
      </c>
      <c r="U1158" s="19" t="s">
        <v>80</v>
      </c>
    </row>
    <row r="1159" spans="1:21" ht="15.75" customHeight="1" x14ac:dyDescent="0.25">
      <c r="A1159" s="27" t="s">
        <v>7090</v>
      </c>
      <c r="B1159" s="28" t="s">
        <v>7091</v>
      </c>
      <c r="C1159" s="29" t="s">
        <v>7087</v>
      </c>
      <c r="D1159" s="37" t="s">
        <v>109</v>
      </c>
      <c r="E1159" s="29" t="s">
        <v>67</v>
      </c>
      <c r="F1159" s="31">
        <v>-196</v>
      </c>
      <c r="G1159" s="24" t="s">
        <v>85</v>
      </c>
      <c r="H1159" s="29" t="s">
        <v>69</v>
      </c>
      <c r="I1159" s="32" t="s">
        <v>1918</v>
      </c>
      <c r="J1159" s="28" t="s">
        <v>7092</v>
      </c>
      <c r="K1159" s="29" t="s">
        <v>7093</v>
      </c>
      <c r="L1159" s="27" t="s">
        <v>248</v>
      </c>
      <c r="M1159" s="28" t="s">
        <v>249</v>
      </c>
      <c r="N1159" s="38"/>
      <c r="O1159" s="34"/>
      <c r="P1159" s="34"/>
      <c r="Q1159" s="35" t="s">
        <v>78</v>
      </c>
      <c r="R1159" s="35" t="s">
        <v>79</v>
      </c>
      <c r="S1159" s="35" t="s">
        <v>61</v>
      </c>
      <c r="T1159" s="35" t="s">
        <v>62</v>
      </c>
      <c r="U1159" s="36" t="s">
        <v>80</v>
      </c>
    </row>
    <row r="1160" spans="1:21" ht="15.75" customHeight="1" x14ac:dyDescent="0.25">
      <c r="A1160" s="9" t="s">
        <v>7094</v>
      </c>
      <c r="B1160" s="10" t="s">
        <v>7095</v>
      </c>
      <c r="C1160" s="11" t="s">
        <v>7096</v>
      </c>
      <c r="D1160" s="12" t="s">
        <v>7097</v>
      </c>
      <c r="E1160" s="11" t="s">
        <v>98</v>
      </c>
      <c r="F1160" s="11" t="s">
        <v>99</v>
      </c>
      <c r="G1160" s="20" t="s">
        <v>119</v>
      </c>
      <c r="H1160" s="11" t="s">
        <v>100</v>
      </c>
      <c r="I1160" s="15" t="s">
        <v>7098</v>
      </c>
      <c r="J1160" s="10" t="s">
        <v>7099</v>
      </c>
      <c r="K1160" s="11"/>
      <c r="L1160" s="9"/>
      <c r="M1160" s="10"/>
      <c r="N1160" s="16" t="s">
        <v>75</v>
      </c>
      <c r="O1160" s="17" t="s">
        <v>292</v>
      </c>
      <c r="P1160" s="17" t="s">
        <v>293</v>
      </c>
      <c r="Q1160" s="18" t="s">
        <v>78</v>
      </c>
      <c r="R1160" s="18" t="s">
        <v>79</v>
      </c>
      <c r="S1160" s="18" t="s">
        <v>61</v>
      </c>
      <c r="T1160" s="18" t="s">
        <v>62</v>
      </c>
      <c r="U1160" s="19" t="s">
        <v>80</v>
      </c>
    </row>
    <row r="1161" spans="1:21" ht="15.75" customHeight="1" x14ac:dyDescent="0.25">
      <c r="A1161" s="27" t="s">
        <v>7100</v>
      </c>
      <c r="B1161" s="28" t="s">
        <v>7101</v>
      </c>
      <c r="C1161" s="29" t="s">
        <v>7102</v>
      </c>
      <c r="D1161" s="30" t="s">
        <v>7103</v>
      </c>
      <c r="E1161" s="29" t="s">
        <v>47</v>
      </c>
      <c r="F1161" s="31">
        <v>194</v>
      </c>
      <c r="G1161" s="20" t="s">
        <v>85</v>
      </c>
      <c r="H1161" s="29" t="s">
        <v>86</v>
      </c>
      <c r="I1161" s="32" t="s">
        <v>7104</v>
      </c>
      <c r="J1161" s="28" t="s">
        <v>7105</v>
      </c>
      <c r="K1161" s="29"/>
      <c r="L1161" s="27"/>
      <c r="M1161" s="28"/>
      <c r="N1161" s="33" t="s">
        <v>75</v>
      </c>
      <c r="O1161" s="34" t="s">
        <v>292</v>
      </c>
      <c r="P1161" s="34" t="s">
        <v>293</v>
      </c>
      <c r="Q1161" s="35" t="s">
        <v>78</v>
      </c>
      <c r="R1161" s="35" t="s">
        <v>79</v>
      </c>
      <c r="S1161" s="35" t="s">
        <v>61</v>
      </c>
      <c r="T1161" s="35" t="s">
        <v>62</v>
      </c>
      <c r="U1161" s="36" t="s">
        <v>80</v>
      </c>
    </row>
    <row r="1162" spans="1:21" ht="15.75" customHeight="1" x14ac:dyDescent="0.25">
      <c r="A1162" s="9" t="s">
        <v>7106</v>
      </c>
      <c r="B1162" s="10" t="s">
        <v>7107</v>
      </c>
      <c r="C1162" s="11" t="s">
        <v>7108</v>
      </c>
      <c r="D1162" s="12" t="s">
        <v>1325</v>
      </c>
      <c r="E1162" s="11" t="s">
        <v>98</v>
      </c>
      <c r="F1162" s="13">
        <v>44.8</v>
      </c>
      <c r="G1162" s="25" t="s">
        <v>708</v>
      </c>
      <c r="H1162" s="11" t="s">
        <v>69</v>
      </c>
      <c r="I1162" s="15" t="s">
        <v>7109</v>
      </c>
      <c r="J1162" s="10" t="s">
        <v>7110</v>
      </c>
      <c r="K1162" s="11" t="s">
        <v>7111</v>
      </c>
      <c r="L1162" s="9" t="s">
        <v>481</v>
      </c>
      <c r="M1162" s="10" t="s">
        <v>482</v>
      </c>
      <c r="N1162" s="22"/>
      <c r="O1162" s="17" t="s">
        <v>2258</v>
      </c>
      <c r="P1162" s="17" t="s">
        <v>2258</v>
      </c>
      <c r="Q1162" s="18" t="s">
        <v>78</v>
      </c>
      <c r="R1162" s="18" t="s">
        <v>79</v>
      </c>
      <c r="S1162" s="18" t="s">
        <v>61</v>
      </c>
      <c r="T1162" s="18" t="s">
        <v>62</v>
      </c>
      <c r="U1162" s="19" t="s">
        <v>80</v>
      </c>
    </row>
    <row r="1163" spans="1:21" ht="15.75" customHeight="1" x14ac:dyDescent="0.25">
      <c r="A1163" s="27" t="s">
        <v>7112</v>
      </c>
      <c r="B1163" s="28" t="s">
        <v>7113</v>
      </c>
      <c r="C1163" s="29" t="s">
        <v>7114</v>
      </c>
      <c r="D1163" s="37" t="s">
        <v>109</v>
      </c>
      <c r="E1163" s="29" t="s">
        <v>47</v>
      </c>
      <c r="F1163" s="31">
        <v>258</v>
      </c>
      <c r="G1163" s="24" t="s">
        <v>85</v>
      </c>
      <c r="H1163" s="29" t="s">
        <v>129</v>
      </c>
      <c r="I1163" s="32" t="s">
        <v>7115</v>
      </c>
      <c r="J1163" s="28" t="s">
        <v>7116</v>
      </c>
      <c r="K1163" s="29"/>
      <c r="L1163" s="27"/>
      <c r="M1163" s="28"/>
      <c r="N1163" s="38"/>
      <c r="O1163" s="34"/>
      <c r="P1163" s="34"/>
      <c r="Q1163" s="35" t="s">
        <v>78</v>
      </c>
      <c r="R1163" s="35" t="s">
        <v>79</v>
      </c>
      <c r="S1163" s="35" t="s">
        <v>61</v>
      </c>
      <c r="T1163" s="35" t="s">
        <v>62</v>
      </c>
      <c r="U1163" s="36" t="s">
        <v>80</v>
      </c>
    </row>
    <row r="1164" spans="1:21" ht="15.75" customHeight="1" x14ac:dyDescent="0.25">
      <c r="A1164" s="9" t="s">
        <v>7117</v>
      </c>
      <c r="B1164" s="10" t="s">
        <v>7118</v>
      </c>
      <c r="C1164" s="11" t="s">
        <v>7119</v>
      </c>
      <c r="D1164" s="12" t="s">
        <v>7120</v>
      </c>
      <c r="E1164" s="11" t="s">
        <v>98</v>
      </c>
      <c r="F1164" s="13">
        <v>907</v>
      </c>
      <c r="G1164" s="26" t="s">
        <v>68</v>
      </c>
      <c r="H1164" s="11" t="s">
        <v>129</v>
      </c>
      <c r="I1164" s="15" t="s">
        <v>7121</v>
      </c>
      <c r="J1164" s="10" t="s">
        <v>7122</v>
      </c>
      <c r="K1164" s="11" t="s">
        <v>7123</v>
      </c>
      <c r="L1164" s="9" t="s">
        <v>2005</v>
      </c>
      <c r="M1164" s="10" t="s">
        <v>2006</v>
      </c>
      <c r="N1164" s="16" t="s">
        <v>75</v>
      </c>
      <c r="O1164" s="17" t="s">
        <v>7124</v>
      </c>
      <c r="P1164" s="17" t="s">
        <v>7125</v>
      </c>
      <c r="Q1164" s="18" t="s">
        <v>78</v>
      </c>
      <c r="R1164" s="18" t="s">
        <v>79</v>
      </c>
      <c r="S1164" s="18" t="s">
        <v>61</v>
      </c>
      <c r="T1164" s="18" t="s">
        <v>62</v>
      </c>
      <c r="U1164" s="19" t="s">
        <v>80</v>
      </c>
    </row>
    <row r="1165" spans="1:21" ht="15.75" customHeight="1" x14ac:dyDescent="0.25">
      <c r="A1165" s="27" t="s">
        <v>7126</v>
      </c>
      <c r="B1165" s="28" t="s">
        <v>7127</v>
      </c>
      <c r="C1165" s="29" t="s">
        <v>7128</v>
      </c>
      <c r="D1165" s="30" t="s">
        <v>7129</v>
      </c>
      <c r="E1165" s="29" t="s">
        <v>98</v>
      </c>
      <c r="F1165" s="29"/>
      <c r="G1165" s="26" t="s">
        <v>119</v>
      </c>
      <c r="H1165" s="29" t="s">
        <v>100</v>
      </c>
      <c r="I1165" s="32" t="s">
        <v>4176</v>
      </c>
      <c r="J1165" s="28" t="s">
        <v>7130</v>
      </c>
      <c r="K1165" s="29" t="s">
        <v>7131</v>
      </c>
      <c r="L1165" s="27" t="s">
        <v>1203</v>
      </c>
      <c r="M1165" s="28" t="s">
        <v>1204</v>
      </c>
      <c r="N1165" s="33" t="s">
        <v>75</v>
      </c>
      <c r="O1165" s="34" t="s">
        <v>3548</v>
      </c>
      <c r="P1165" s="34" t="s">
        <v>3549</v>
      </c>
      <c r="Q1165" s="35" t="s">
        <v>78</v>
      </c>
      <c r="R1165" s="35" t="s">
        <v>79</v>
      </c>
      <c r="S1165" s="35" t="s">
        <v>61</v>
      </c>
      <c r="T1165" s="35" t="s">
        <v>62</v>
      </c>
      <c r="U1165" s="36" t="s">
        <v>80</v>
      </c>
    </row>
    <row r="1166" spans="1:21" ht="15.75" customHeight="1" x14ac:dyDescent="0.25">
      <c r="A1166" s="9" t="s">
        <v>7132</v>
      </c>
      <c r="B1166" s="10" t="s">
        <v>7133</v>
      </c>
      <c r="C1166" s="11" t="s">
        <v>7134</v>
      </c>
      <c r="D1166" s="12" t="s">
        <v>7135</v>
      </c>
      <c r="E1166" s="11" t="s">
        <v>98</v>
      </c>
      <c r="F1166" s="11"/>
      <c r="G1166" s="20" t="s">
        <v>85</v>
      </c>
      <c r="H1166" s="11" t="s">
        <v>100</v>
      </c>
      <c r="I1166" s="15" t="s">
        <v>7136</v>
      </c>
      <c r="J1166" s="10" t="s">
        <v>7137</v>
      </c>
      <c r="K1166" s="11" t="s">
        <v>7138</v>
      </c>
      <c r="L1166" s="9" t="s">
        <v>90</v>
      </c>
      <c r="M1166" s="10" t="s">
        <v>91</v>
      </c>
      <c r="N1166" s="16" t="s">
        <v>75</v>
      </c>
      <c r="O1166" s="17" t="s">
        <v>124</v>
      </c>
      <c r="P1166" s="17" t="s">
        <v>125</v>
      </c>
      <c r="Q1166" s="18" t="s">
        <v>78</v>
      </c>
      <c r="R1166" s="18" t="s">
        <v>79</v>
      </c>
      <c r="S1166" s="18" t="s">
        <v>61</v>
      </c>
      <c r="T1166" s="18" t="s">
        <v>62</v>
      </c>
      <c r="U1166" s="19" t="s">
        <v>80</v>
      </c>
    </row>
    <row r="1167" spans="1:21" ht="15.75" customHeight="1" x14ac:dyDescent="0.25">
      <c r="A1167" s="27" t="s">
        <v>7139</v>
      </c>
      <c r="B1167" s="28" t="s">
        <v>7140</v>
      </c>
      <c r="C1167" s="29" t="s">
        <v>7141</v>
      </c>
      <c r="D1167" s="30" t="s">
        <v>7142</v>
      </c>
      <c r="E1167" s="29" t="s">
        <v>98</v>
      </c>
      <c r="F1167" s="29"/>
      <c r="G1167" s="20" t="s">
        <v>85</v>
      </c>
      <c r="H1167" s="29" t="s">
        <v>100</v>
      </c>
      <c r="I1167" s="32" t="s">
        <v>1937</v>
      </c>
      <c r="J1167" s="28" t="s">
        <v>7143</v>
      </c>
      <c r="K1167" s="29" t="s">
        <v>2228</v>
      </c>
      <c r="L1167" s="27" t="s">
        <v>90</v>
      </c>
      <c r="M1167" s="28" t="s">
        <v>91</v>
      </c>
      <c r="N1167" s="33" t="s">
        <v>75</v>
      </c>
      <c r="O1167" s="34" t="s">
        <v>92</v>
      </c>
      <c r="P1167" s="34" t="s">
        <v>93</v>
      </c>
      <c r="Q1167" s="35" t="s">
        <v>78</v>
      </c>
      <c r="R1167" s="35" t="s">
        <v>79</v>
      </c>
      <c r="S1167" s="35" t="s">
        <v>61</v>
      </c>
      <c r="T1167" s="35" t="s">
        <v>62</v>
      </c>
      <c r="U1167" s="36" t="s">
        <v>80</v>
      </c>
    </row>
    <row r="1168" spans="1:21" ht="15.75" customHeight="1" x14ac:dyDescent="0.25">
      <c r="A1168" s="9" t="s">
        <v>7144</v>
      </c>
      <c r="B1168" s="10" t="s">
        <v>7145</v>
      </c>
      <c r="C1168" s="11" t="s">
        <v>7146</v>
      </c>
      <c r="D1168" s="12" t="s">
        <v>7147</v>
      </c>
      <c r="E1168" s="11" t="s">
        <v>98</v>
      </c>
      <c r="F1168" s="11"/>
      <c r="G1168" s="20" t="s">
        <v>85</v>
      </c>
      <c r="H1168" s="11" t="s">
        <v>100</v>
      </c>
      <c r="I1168" s="15" t="s">
        <v>7148</v>
      </c>
      <c r="J1168" s="10" t="s">
        <v>7149</v>
      </c>
      <c r="K1168" s="11" t="s">
        <v>7150</v>
      </c>
      <c r="L1168" s="9" t="s">
        <v>90</v>
      </c>
      <c r="M1168" s="10" t="s">
        <v>91</v>
      </c>
      <c r="N1168" s="16" t="s">
        <v>75</v>
      </c>
      <c r="O1168" s="17" t="s">
        <v>292</v>
      </c>
      <c r="P1168" s="17" t="s">
        <v>293</v>
      </c>
      <c r="Q1168" s="18" t="s">
        <v>78</v>
      </c>
      <c r="R1168" s="18" t="s">
        <v>79</v>
      </c>
      <c r="S1168" s="18" t="s">
        <v>61</v>
      </c>
      <c r="T1168" s="18" t="s">
        <v>62</v>
      </c>
      <c r="U1168" s="19" t="s">
        <v>80</v>
      </c>
    </row>
    <row r="1169" spans="1:21" ht="15.75" customHeight="1" x14ac:dyDescent="0.25">
      <c r="A1169" s="27" t="s">
        <v>7151</v>
      </c>
      <c r="B1169" s="28" t="s">
        <v>7152</v>
      </c>
      <c r="C1169" s="29" t="s">
        <v>7153</v>
      </c>
      <c r="D1169" s="30" t="s">
        <v>7154</v>
      </c>
      <c r="E1169" s="29" t="s">
        <v>98</v>
      </c>
      <c r="F1169" s="29"/>
      <c r="G1169" s="20" t="s">
        <v>85</v>
      </c>
      <c r="H1169" s="29" t="s">
        <v>100</v>
      </c>
      <c r="I1169" s="32" t="s">
        <v>7155</v>
      </c>
      <c r="J1169" s="28" t="s">
        <v>7156</v>
      </c>
      <c r="K1169" s="29" t="s">
        <v>7157</v>
      </c>
      <c r="L1169" s="27" t="s">
        <v>90</v>
      </c>
      <c r="M1169" s="28" t="s">
        <v>91</v>
      </c>
      <c r="N1169" s="33" t="s">
        <v>75</v>
      </c>
      <c r="O1169" s="34" t="s">
        <v>124</v>
      </c>
      <c r="P1169" s="34" t="s">
        <v>125</v>
      </c>
      <c r="Q1169" s="35" t="s">
        <v>78</v>
      </c>
      <c r="R1169" s="35" t="s">
        <v>79</v>
      </c>
      <c r="S1169" s="35" t="s">
        <v>61</v>
      </c>
      <c r="T1169" s="35" t="s">
        <v>62</v>
      </c>
      <c r="U1169" s="36" t="s">
        <v>80</v>
      </c>
    </row>
    <row r="1170" spans="1:21" ht="15.75" customHeight="1" x14ac:dyDescent="0.25">
      <c r="A1170" s="9" t="s">
        <v>7158</v>
      </c>
      <c r="B1170" s="10" t="s">
        <v>7159</v>
      </c>
      <c r="C1170" s="11" t="s">
        <v>7160</v>
      </c>
      <c r="D1170" s="12" t="s">
        <v>7161</v>
      </c>
      <c r="E1170" s="11" t="s">
        <v>98</v>
      </c>
      <c r="F1170" s="11"/>
      <c r="G1170" s="20" t="s">
        <v>85</v>
      </c>
      <c r="H1170" s="11" t="s">
        <v>120</v>
      </c>
      <c r="I1170" s="15" t="s">
        <v>7162</v>
      </c>
      <c r="J1170" s="10" t="s">
        <v>7163</v>
      </c>
      <c r="K1170" s="11" t="s">
        <v>7164</v>
      </c>
      <c r="L1170" s="9" t="s">
        <v>90</v>
      </c>
      <c r="M1170" s="10" t="s">
        <v>91</v>
      </c>
      <c r="N1170" s="16" t="s">
        <v>75</v>
      </c>
      <c r="O1170" s="17" t="s">
        <v>124</v>
      </c>
      <c r="P1170" s="17" t="s">
        <v>125</v>
      </c>
      <c r="Q1170" s="18" t="s">
        <v>78</v>
      </c>
      <c r="R1170" s="18" t="s">
        <v>79</v>
      </c>
      <c r="S1170" s="18" t="s">
        <v>61</v>
      </c>
      <c r="T1170" s="18" t="s">
        <v>62</v>
      </c>
      <c r="U1170" s="19" t="s">
        <v>80</v>
      </c>
    </row>
    <row r="1171" spans="1:21" ht="15.75" customHeight="1" x14ac:dyDescent="0.25">
      <c r="A1171" s="27" t="s">
        <v>7165</v>
      </c>
      <c r="B1171" s="28" t="s">
        <v>7166</v>
      </c>
      <c r="C1171" s="29" t="s">
        <v>7167</v>
      </c>
      <c r="D1171" s="30" t="s">
        <v>7168</v>
      </c>
      <c r="E1171" s="29" t="s">
        <v>1264</v>
      </c>
      <c r="F1171" s="29"/>
      <c r="G1171" s="20" t="s">
        <v>85</v>
      </c>
      <c r="H1171" s="29" t="s">
        <v>100</v>
      </c>
      <c r="I1171" s="32" t="s">
        <v>891</v>
      </c>
      <c r="J1171" s="28" t="s">
        <v>7169</v>
      </c>
      <c r="K1171" s="29" t="s">
        <v>7170</v>
      </c>
      <c r="L1171" s="27" t="s">
        <v>90</v>
      </c>
      <c r="M1171" s="28" t="s">
        <v>91</v>
      </c>
      <c r="N1171" s="33" t="s">
        <v>75</v>
      </c>
      <c r="O1171" s="34" t="s">
        <v>92</v>
      </c>
      <c r="P1171" s="34" t="s">
        <v>93</v>
      </c>
      <c r="Q1171" s="35" t="s">
        <v>78</v>
      </c>
      <c r="R1171" s="35" t="s">
        <v>79</v>
      </c>
      <c r="S1171" s="35" t="s">
        <v>61</v>
      </c>
      <c r="T1171" s="35" t="s">
        <v>62</v>
      </c>
      <c r="U1171" s="36" t="s">
        <v>80</v>
      </c>
    </row>
    <row r="1172" spans="1:21" ht="15.75" customHeight="1" x14ac:dyDescent="0.25">
      <c r="A1172" s="9" t="s">
        <v>7171</v>
      </c>
      <c r="B1172" s="10" t="s">
        <v>7172</v>
      </c>
      <c r="C1172" s="11" t="s">
        <v>7173</v>
      </c>
      <c r="D1172" s="21" t="s">
        <v>109</v>
      </c>
      <c r="E1172" s="11" t="s">
        <v>98</v>
      </c>
      <c r="F1172" s="11"/>
      <c r="G1172" s="25" t="s">
        <v>110</v>
      </c>
      <c r="H1172" s="11" t="s">
        <v>120</v>
      </c>
      <c r="I1172" s="15" t="s">
        <v>3256</v>
      </c>
      <c r="J1172" s="10" t="s">
        <v>7174</v>
      </c>
      <c r="K1172" s="11" t="s">
        <v>7175</v>
      </c>
      <c r="L1172" s="9" t="s">
        <v>90</v>
      </c>
      <c r="M1172" s="10" t="s">
        <v>91</v>
      </c>
      <c r="N1172" s="22"/>
      <c r="O1172" s="17"/>
      <c r="P1172" s="17"/>
      <c r="Q1172" s="18" t="s">
        <v>78</v>
      </c>
      <c r="R1172" s="18" t="s">
        <v>79</v>
      </c>
      <c r="S1172" s="18" t="s">
        <v>61</v>
      </c>
      <c r="T1172" s="18" t="s">
        <v>62</v>
      </c>
      <c r="U1172" s="19" t="s">
        <v>80</v>
      </c>
    </row>
    <row r="1173" spans="1:21" ht="15.75" customHeight="1" x14ac:dyDescent="0.25">
      <c r="A1173" s="27" t="s">
        <v>7176</v>
      </c>
      <c r="B1173" s="28" t="s">
        <v>7177</v>
      </c>
      <c r="C1173" s="29" t="s">
        <v>7178</v>
      </c>
      <c r="D1173" s="37" t="s">
        <v>109</v>
      </c>
      <c r="E1173" s="29" t="s">
        <v>98</v>
      </c>
      <c r="F1173" s="31">
        <v>344</v>
      </c>
      <c r="G1173" s="24" t="s">
        <v>85</v>
      </c>
      <c r="H1173" s="29" t="s">
        <v>129</v>
      </c>
      <c r="I1173" s="32" t="s">
        <v>7179</v>
      </c>
      <c r="J1173" s="28" t="s">
        <v>7180</v>
      </c>
      <c r="K1173" s="29"/>
      <c r="L1173" s="27"/>
      <c r="M1173" s="28"/>
      <c r="N1173" s="38"/>
      <c r="O1173" s="34"/>
      <c r="P1173" s="34"/>
      <c r="Q1173" s="35" t="s">
        <v>78</v>
      </c>
      <c r="R1173" s="35" t="s">
        <v>79</v>
      </c>
      <c r="S1173" s="35" t="s">
        <v>61</v>
      </c>
      <c r="T1173" s="35" t="s">
        <v>62</v>
      </c>
      <c r="U1173" s="36" t="s">
        <v>80</v>
      </c>
    </row>
    <row r="1174" spans="1:21" ht="15.75" customHeight="1" x14ac:dyDescent="0.25">
      <c r="A1174" s="9" t="s">
        <v>7181</v>
      </c>
      <c r="B1174" s="10" t="s">
        <v>7182</v>
      </c>
      <c r="C1174" s="11" t="s">
        <v>7183</v>
      </c>
      <c r="D1174" s="21" t="s">
        <v>109</v>
      </c>
      <c r="E1174" s="11" t="s">
        <v>98</v>
      </c>
      <c r="F1174" s="11"/>
      <c r="G1174" s="24" t="s">
        <v>85</v>
      </c>
      <c r="H1174" s="11" t="s">
        <v>100</v>
      </c>
      <c r="I1174" s="15" t="s">
        <v>7184</v>
      </c>
      <c r="J1174" s="10" t="s">
        <v>7185</v>
      </c>
      <c r="K1174" s="11"/>
      <c r="L1174" s="9"/>
      <c r="M1174" s="10"/>
      <c r="N1174" s="22"/>
      <c r="O1174" s="17"/>
      <c r="P1174" s="17"/>
      <c r="Q1174" s="18" t="s">
        <v>78</v>
      </c>
      <c r="R1174" s="18" t="s">
        <v>79</v>
      </c>
      <c r="S1174" s="18" t="s">
        <v>61</v>
      </c>
      <c r="T1174" s="18" t="s">
        <v>62</v>
      </c>
      <c r="U1174" s="19" t="s">
        <v>80</v>
      </c>
    </row>
    <row r="1175" spans="1:21" ht="15.75" customHeight="1" x14ac:dyDescent="0.25">
      <c r="A1175" s="27" t="s">
        <v>7186</v>
      </c>
      <c r="B1175" s="28" t="s">
        <v>7187</v>
      </c>
      <c r="C1175" s="29" t="s">
        <v>7188</v>
      </c>
      <c r="D1175" s="37" t="s">
        <v>109</v>
      </c>
      <c r="E1175" s="29" t="s">
        <v>67</v>
      </c>
      <c r="F1175" s="31">
        <v>7</v>
      </c>
      <c r="G1175" s="24" t="s">
        <v>85</v>
      </c>
      <c r="H1175" s="29" t="s">
        <v>421</v>
      </c>
      <c r="I1175" s="32" t="s">
        <v>7189</v>
      </c>
      <c r="J1175" s="28" t="s">
        <v>7190</v>
      </c>
      <c r="K1175" s="29"/>
      <c r="L1175" s="27"/>
      <c r="M1175" s="28"/>
      <c r="N1175" s="38"/>
      <c r="O1175" s="34"/>
      <c r="P1175" s="34"/>
      <c r="Q1175" s="35" t="s">
        <v>78</v>
      </c>
      <c r="R1175" s="35" t="s">
        <v>79</v>
      </c>
      <c r="S1175" s="35" t="s">
        <v>61</v>
      </c>
      <c r="T1175" s="35" t="s">
        <v>62</v>
      </c>
      <c r="U1175" s="36" t="s">
        <v>80</v>
      </c>
    </row>
    <row r="1176" spans="1:21" ht="15.75" customHeight="1" x14ac:dyDescent="0.25">
      <c r="A1176" s="9" t="s">
        <v>7191</v>
      </c>
      <c r="B1176" s="10" t="s">
        <v>7192</v>
      </c>
      <c r="C1176" s="11" t="s">
        <v>7193</v>
      </c>
      <c r="D1176" s="21" t="s">
        <v>109</v>
      </c>
      <c r="E1176" s="11" t="s">
        <v>1264</v>
      </c>
      <c r="F1176" s="11"/>
      <c r="G1176" s="24" t="s">
        <v>85</v>
      </c>
      <c r="H1176" s="11" t="s">
        <v>100</v>
      </c>
      <c r="I1176" s="15" t="s">
        <v>7194</v>
      </c>
      <c r="J1176" s="10" t="s">
        <v>7195</v>
      </c>
      <c r="K1176" s="11"/>
      <c r="L1176" s="9"/>
      <c r="M1176" s="10"/>
      <c r="N1176" s="22"/>
      <c r="O1176" s="17"/>
      <c r="P1176" s="17"/>
      <c r="Q1176" s="18" t="s">
        <v>78</v>
      </c>
      <c r="R1176" s="18" t="s">
        <v>79</v>
      </c>
      <c r="S1176" s="18" t="s">
        <v>61</v>
      </c>
      <c r="T1176" s="18" t="s">
        <v>62</v>
      </c>
      <c r="U1176" s="19" t="s">
        <v>80</v>
      </c>
    </row>
    <row r="1177" spans="1:21" ht="15.75" customHeight="1" x14ac:dyDescent="0.25">
      <c r="A1177" s="27" t="s">
        <v>7196</v>
      </c>
      <c r="B1177" s="28" t="s">
        <v>7197</v>
      </c>
      <c r="C1177" s="29" t="s">
        <v>7198</v>
      </c>
      <c r="D1177" s="37" t="s">
        <v>109</v>
      </c>
      <c r="E1177" s="29" t="s">
        <v>47</v>
      </c>
      <c r="F1177" s="29" t="s">
        <v>7199</v>
      </c>
      <c r="G1177" s="24" t="s">
        <v>85</v>
      </c>
      <c r="H1177" s="29" t="s">
        <v>120</v>
      </c>
      <c r="I1177" s="32" t="s">
        <v>5552</v>
      </c>
      <c r="J1177" s="28" t="s">
        <v>7200</v>
      </c>
      <c r="K1177" s="29"/>
      <c r="L1177" s="27"/>
      <c r="M1177" s="28"/>
      <c r="N1177" s="38"/>
      <c r="O1177" s="34"/>
      <c r="P1177" s="34"/>
      <c r="Q1177" s="35" t="s">
        <v>78</v>
      </c>
      <c r="R1177" s="35" t="s">
        <v>79</v>
      </c>
      <c r="S1177" s="35" t="s">
        <v>61</v>
      </c>
      <c r="T1177" s="35" t="s">
        <v>62</v>
      </c>
      <c r="U1177" s="36" t="s">
        <v>80</v>
      </c>
    </row>
    <row r="1178" spans="1:21" ht="15.75" customHeight="1" x14ac:dyDescent="0.25">
      <c r="A1178" s="9" t="s">
        <v>7201</v>
      </c>
      <c r="B1178" s="10" t="s">
        <v>7202</v>
      </c>
      <c r="C1178" s="11" t="s">
        <v>7203</v>
      </c>
      <c r="D1178" s="21" t="s">
        <v>109</v>
      </c>
      <c r="E1178" s="11" t="s">
        <v>98</v>
      </c>
      <c r="F1178" s="11"/>
      <c r="G1178" s="24" t="s">
        <v>85</v>
      </c>
      <c r="H1178" s="11" t="s">
        <v>100</v>
      </c>
      <c r="I1178" s="15" t="s">
        <v>3585</v>
      </c>
      <c r="J1178" s="10" t="s">
        <v>7204</v>
      </c>
      <c r="K1178" s="11"/>
      <c r="L1178" s="9"/>
      <c r="M1178" s="10"/>
      <c r="N1178" s="22"/>
      <c r="O1178" s="17"/>
      <c r="P1178" s="17"/>
      <c r="Q1178" s="18" t="s">
        <v>78</v>
      </c>
      <c r="R1178" s="18" t="s">
        <v>79</v>
      </c>
      <c r="S1178" s="18" t="s">
        <v>61</v>
      </c>
      <c r="T1178" s="18" t="s">
        <v>62</v>
      </c>
      <c r="U1178" s="19" t="s">
        <v>80</v>
      </c>
    </row>
    <row r="1179" spans="1:21" ht="15.75" customHeight="1" x14ac:dyDescent="0.25">
      <c r="A1179" s="27" t="s">
        <v>7205</v>
      </c>
      <c r="B1179" s="28" t="s">
        <v>7206</v>
      </c>
      <c r="C1179" s="29" t="s">
        <v>7207</v>
      </c>
      <c r="D1179" s="37" t="s">
        <v>109</v>
      </c>
      <c r="E1179" s="29"/>
      <c r="F1179" s="29"/>
      <c r="G1179" s="24" t="s">
        <v>85</v>
      </c>
      <c r="H1179" s="29" t="s">
        <v>120</v>
      </c>
      <c r="I1179" s="32" t="s">
        <v>5574</v>
      </c>
      <c r="J1179" s="28" t="s">
        <v>7208</v>
      </c>
      <c r="K1179" s="29"/>
      <c r="L1179" s="27"/>
      <c r="M1179" s="28"/>
      <c r="N1179" s="38"/>
      <c r="O1179" s="34"/>
      <c r="P1179" s="34"/>
      <c r="Q1179" s="35" t="s">
        <v>78</v>
      </c>
      <c r="R1179" s="35" t="s">
        <v>79</v>
      </c>
      <c r="S1179" s="35" t="s">
        <v>61</v>
      </c>
      <c r="T1179" s="35" t="s">
        <v>62</v>
      </c>
      <c r="U1179" s="36" t="s">
        <v>80</v>
      </c>
    </row>
    <row r="1180" spans="1:21" ht="15.75" customHeight="1" x14ac:dyDescent="0.25">
      <c r="A1180" s="9" t="s">
        <v>7209</v>
      </c>
      <c r="B1180" s="10" t="s">
        <v>7210</v>
      </c>
      <c r="C1180" s="11" t="s">
        <v>7211</v>
      </c>
      <c r="D1180" s="12" t="s">
        <v>7212</v>
      </c>
      <c r="E1180" s="11" t="s">
        <v>98</v>
      </c>
      <c r="F1180" s="13">
        <v>333.6</v>
      </c>
      <c r="G1180" s="20" t="s">
        <v>119</v>
      </c>
      <c r="H1180" s="11" t="s">
        <v>129</v>
      </c>
      <c r="I1180" s="15" t="s">
        <v>5581</v>
      </c>
      <c r="J1180" s="10" t="s">
        <v>7213</v>
      </c>
      <c r="K1180" s="11" t="s">
        <v>642</v>
      </c>
      <c r="L1180" s="9" t="s">
        <v>90</v>
      </c>
      <c r="M1180" s="10" t="s">
        <v>91</v>
      </c>
      <c r="N1180" s="16" t="s">
        <v>75</v>
      </c>
      <c r="O1180" s="17" t="s">
        <v>124</v>
      </c>
      <c r="P1180" s="17" t="s">
        <v>125</v>
      </c>
      <c r="Q1180" s="18" t="s">
        <v>78</v>
      </c>
      <c r="R1180" s="18" t="s">
        <v>79</v>
      </c>
      <c r="S1180" s="18" t="s">
        <v>61</v>
      </c>
      <c r="T1180" s="18" t="s">
        <v>62</v>
      </c>
      <c r="U1180" s="19" t="s">
        <v>80</v>
      </c>
    </row>
    <row r="1181" spans="1:21" ht="15.75" customHeight="1" x14ac:dyDescent="0.25">
      <c r="A1181" s="27" t="s">
        <v>7214</v>
      </c>
      <c r="B1181" s="28" t="s">
        <v>7215</v>
      </c>
      <c r="C1181" s="29" t="s">
        <v>7216</v>
      </c>
      <c r="D1181" s="37" t="s">
        <v>109</v>
      </c>
      <c r="E1181" s="29" t="s">
        <v>98</v>
      </c>
      <c r="F1181" s="31">
        <v>218.5</v>
      </c>
      <c r="G1181" s="24" t="s">
        <v>85</v>
      </c>
      <c r="H1181" s="29" t="s">
        <v>129</v>
      </c>
      <c r="I1181" s="32" t="s">
        <v>7217</v>
      </c>
      <c r="J1181" s="28" t="s">
        <v>7218</v>
      </c>
      <c r="K1181" s="29" t="s">
        <v>332</v>
      </c>
      <c r="L1181" s="27" t="s">
        <v>197</v>
      </c>
      <c r="M1181" s="28" t="s">
        <v>198</v>
      </c>
      <c r="N1181" s="38"/>
      <c r="O1181" s="34"/>
      <c r="P1181" s="34"/>
      <c r="Q1181" s="35" t="s">
        <v>78</v>
      </c>
      <c r="R1181" s="35" t="s">
        <v>79</v>
      </c>
      <c r="S1181" s="35" t="s">
        <v>61</v>
      </c>
      <c r="T1181" s="35" t="s">
        <v>62</v>
      </c>
      <c r="U1181" s="36" t="s">
        <v>80</v>
      </c>
    </row>
    <row r="1182" spans="1:21" ht="15.75" customHeight="1" x14ac:dyDescent="0.25">
      <c r="A1182" s="9" t="s">
        <v>7219</v>
      </c>
      <c r="B1182" s="10" t="s">
        <v>7220</v>
      </c>
      <c r="C1182" s="11" t="s">
        <v>7221</v>
      </c>
      <c r="D1182" s="21" t="s">
        <v>109</v>
      </c>
      <c r="E1182" s="11" t="s">
        <v>98</v>
      </c>
      <c r="F1182" s="11" t="s">
        <v>7222</v>
      </c>
      <c r="G1182" s="25" t="s">
        <v>110</v>
      </c>
      <c r="H1182" s="11" t="s">
        <v>100</v>
      </c>
      <c r="I1182" s="15" t="s">
        <v>4215</v>
      </c>
      <c r="J1182" s="10" t="s">
        <v>7223</v>
      </c>
      <c r="K1182" s="11" t="s">
        <v>7224</v>
      </c>
      <c r="L1182" s="9" t="s">
        <v>90</v>
      </c>
      <c r="M1182" s="10" t="s">
        <v>91</v>
      </c>
      <c r="N1182" s="22"/>
      <c r="O1182" s="17"/>
      <c r="P1182" s="17"/>
      <c r="Q1182" s="18" t="s">
        <v>78</v>
      </c>
      <c r="R1182" s="18" t="s">
        <v>79</v>
      </c>
      <c r="S1182" s="18" t="s">
        <v>61</v>
      </c>
      <c r="T1182" s="18" t="s">
        <v>62</v>
      </c>
      <c r="U1182" s="19" t="s">
        <v>80</v>
      </c>
    </row>
    <row r="1183" spans="1:21" ht="15.75" customHeight="1" x14ac:dyDescent="0.25">
      <c r="A1183" s="27" t="s">
        <v>7225</v>
      </c>
      <c r="B1183" s="28" t="s">
        <v>7226</v>
      </c>
      <c r="C1183" s="29" t="s">
        <v>7227</v>
      </c>
      <c r="D1183" s="37" t="s">
        <v>109</v>
      </c>
      <c r="E1183" s="29" t="s">
        <v>98</v>
      </c>
      <c r="F1183" s="31">
        <v>223.5</v>
      </c>
      <c r="G1183" s="25" t="s">
        <v>110</v>
      </c>
      <c r="H1183" s="29" t="s">
        <v>129</v>
      </c>
      <c r="I1183" s="32" t="s">
        <v>3227</v>
      </c>
      <c r="J1183" s="28" t="s">
        <v>7228</v>
      </c>
      <c r="K1183" s="29" t="s">
        <v>7229</v>
      </c>
      <c r="L1183" s="27" t="s">
        <v>481</v>
      </c>
      <c r="M1183" s="28" t="s">
        <v>482</v>
      </c>
      <c r="N1183" s="38"/>
      <c r="O1183" s="34"/>
      <c r="P1183" s="34"/>
      <c r="Q1183" s="35" t="s">
        <v>78</v>
      </c>
      <c r="R1183" s="35" t="s">
        <v>79</v>
      </c>
      <c r="S1183" s="35" t="s">
        <v>61</v>
      </c>
      <c r="T1183" s="35" t="s">
        <v>62</v>
      </c>
      <c r="U1183" s="36" t="s">
        <v>80</v>
      </c>
    </row>
    <row r="1184" spans="1:21" ht="15.75" customHeight="1" x14ac:dyDescent="0.25">
      <c r="A1184" s="9" t="s">
        <v>7230</v>
      </c>
      <c r="B1184" s="10" t="s">
        <v>7231</v>
      </c>
      <c r="C1184" s="11" t="s">
        <v>7232</v>
      </c>
      <c r="D1184" s="21" t="s">
        <v>109</v>
      </c>
      <c r="E1184" s="11" t="s">
        <v>47</v>
      </c>
      <c r="F1184" s="13">
        <v>198</v>
      </c>
      <c r="G1184" s="25" t="s">
        <v>110</v>
      </c>
      <c r="H1184" s="11" t="s">
        <v>86</v>
      </c>
      <c r="I1184" s="15" t="s">
        <v>7233</v>
      </c>
      <c r="J1184" s="10" t="s">
        <v>7234</v>
      </c>
      <c r="K1184" s="11" t="s">
        <v>7235</v>
      </c>
      <c r="L1184" s="9" t="s">
        <v>90</v>
      </c>
      <c r="M1184" s="10" t="s">
        <v>91</v>
      </c>
      <c r="N1184" s="22"/>
      <c r="O1184" s="17"/>
      <c r="P1184" s="17"/>
      <c r="Q1184" s="18" t="s">
        <v>78</v>
      </c>
      <c r="R1184" s="18" t="s">
        <v>79</v>
      </c>
      <c r="S1184" s="18" t="s">
        <v>61</v>
      </c>
      <c r="T1184" s="18" t="s">
        <v>62</v>
      </c>
      <c r="U1184" s="19" t="s">
        <v>80</v>
      </c>
    </row>
    <row r="1185" spans="1:21" ht="15.75" customHeight="1" x14ac:dyDescent="0.25">
      <c r="A1185" s="27" t="s">
        <v>7236</v>
      </c>
      <c r="B1185" s="28" t="s">
        <v>7237</v>
      </c>
      <c r="C1185" s="29" t="s">
        <v>7238</v>
      </c>
      <c r="D1185" s="37" t="s">
        <v>109</v>
      </c>
      <c r="E1185" s="29" t="s">
        <v>98</v>
      </c>
      <c r="F1185" s="31">
        <v>223</v>
      </c>
      <c r="G1185" s="24" t="s">
        <v>85</v>
      </c>
      <c r="H1185" s="29" t="s">
        <v>129</v>
      </c>
      <c r="I1185" s="32" t="s">
        <v>7239</v>
      </c>
      <c r="J1185" s="28" t="s">
        <v>7240</v>
      </c>
      <c r="K1185" s="29"/>
      <c r="L1185" s="27"/>
      <c r="M1185" s="28"/>
      <c r="N1185" s="38"/>
      <c r="O1185" s="34"/>
      <c r="P1185" s="34"/>
      <c r="Q1185" s="35" t="s">
        <v>78</v>
      </c>
      <c r="R1185" s="35" t="s">
        <v>79</v>
      </c>
      <c r="S1185" s="35" t="s">
        <v>61</v>
      </c>
      <c r="T1185" s="35" t="s">
        <v>62</v>
      </c>
      <c r="U1185" s="36" t="s">
        <v>80</v>
      </c>
    </row>
    <row r="1186" spans="1:21" ht="15.75" customHeight="1" x14ac:dyDescent="0.25">
      <c r="A1186" s="9" t="s">
        <v>7241</v>
      </c>
      <c r="B1186" s="10" t="s">
        <v>7242</v>
      </c>
      <c r="C1186" s="11" t="s">
        <v>7243</v>
      </c>
      <c r="D1186" s="21" t="s">
        <v>109</v>
      </c>
      <c r="E1186" s="11" t="s">
        <v>47</v>
      </c>
      <c r="F1186" s="13">
        <v>135</v>
      </c>
      <c r="G1186" s="25" t="s">
        <v>110</v>
      </c>
      <c r="H1186" s="11" t="s">
        <v>330</v>
      </c>
      <c r="I1186" s="15" t="s">
        <v>7244</v>
      </c>
      <c r="J1186" s="10" t="s">
        <v>7245</v>
      </c>
      <c r="K1186" s="11" t="s">
        <v>7246</v>
      </c>
      <c r="L1186" s="9" t="s">
        <v>481</v>
      </c>
      <c r="M1186" s="10" t="s">
        <v>482</v>
      </c>
      <c r="N1186" s="22"/>
      <c r="O1186" s="17"/>
      <c r="P1186" s="17"/>
      <c r="Q1186" s="18" t="s">
        <v>78</v>
      </c>
      <c r="R1186" s="18" t="s">
        <v>79</v>
      </c>
      <c r="S1186" s="18" t="s">
        <v>61</v>
      </c>
      <c r="T1186" s="18" t="s">
        <v>62</v>
      </c>
      <c r="U1186" s="19" t="s">
        <v>80</v>
      </c>
    </row>
    <row r="1187" spans="1:21" ht="15.75" customHeight="1" x14ac:dyDescent="0.25">
      <c r="A1187" s="27" t="s">
        <v>7247</v>
      </c>
      <c r="B1187" s="28" t="s">
        <v>7248</v>
      </c>
      <c r="C1187" s="29" t="s">
        <v>7249</v>
      </c>
      <c r="D1187" s="37" t="s">
        <v>109</v>
      </c>
      <c r="E1187" s="29" t="s">
        <v>98</v>
      </c>
      <c r="F1187" s="29" t="s">
        <v>3307</v>
      </c>
      <c r="G1187" s="14" t="s">
        <v>119</v>
      </c>
      <c r="H1187" s="29" t="s">
        <v>100</v>
      </c>
      <c r="I1187" s="32" t="s">
        <v>7250</v>
      </c>
      <c r="J1187" s="28" t="s">
        <v>7251</v>
      </c>
      <c r="K1187" s="29" t="s">
        <v>7252</v>
      </c>
      <c r="L1187" s="27" t="s">
        <v>1698</v>
      </c>
      <c r="M1187" s="28" t="s">
        <v>1699</v>
      </c>
      <c r="N1187" s="38"/>
      <c r="O1187" s="34"/>
      <c r="P1187" s="34"/>
      <c r="Q1187" s="35" t="s">
        <v>78</v>
      </c>
      <c r="R1187" s="35" t="s">
        <v>79</v>
      </c>
      <c r="S1187" s="35" t="s">
        <v>61</v>
      </c>
      <c r="T1187" s="35" t="s">
        <v>62</v>
      </c>
      <c r="U1187" s="36" t="s">
        <v>80</v>
      </c>
    </row>
    <row r="1188" spans="1:21" ht="15.75" customHeight="1" x14ac:dyDescent="0.25">
      <c r="A1188" s="9" t="s">
        <v>7253</v>
      </c>
      <c r="B1188" s="10" t="s">
        <v>7254</v>
      </c>
      <c r="C1188" s="11" t="s">
        <v>7255</v>
      </c>
      <c r="D1188" s="12" t="s">
        <v>5172</v>
      </c>
      <c r="E1188" s="11" t="s">
        <v>98</v>
      </c>
      <c r="F1188" s="11" t="s">
        <v>7256</v>
      </c>
      <c r="G1188" s="20" t="s">
        <v>85</v>
      </c>
      <c r="H1188" s="11" t="s">
        <v>120</v>
      </c>
      <c r="I1188" s="15" t="s">
        <v>5050</v>
      </c>
      <c r="J1188" s="10" t="s">
        <v>7257</v>
      </c>
      <c r="K1188" s="11"/>
      <c r="L1188" s="9"/>
      <c r="M1188" s="10"/>
      <c r="N1188" s="16" t="s">
        <v>75</v>
      </c>
      <c r="O1188" s="17" t="s">
        <v>292</v>
      </c>
      <c r="P1188" s="17" t="s">
        <v>293</v>
      </c>
      <c r="Q1188" s="18" t="s">
        <v>78</v>
      </c>
      <c r="R1188" s="18" t="s">
        <v>79</v>
      </c>
      <c r="S1188" s="18" t="s">
        <v>61</v>
      </c>
      <c r="T1188" s="18" t="s">
        <v>62</v>
      </c>
      <c r="U1188" s="19" t="s">
        <v>80</v>
      </c>
    </row>
    <row r="1189" spans="1:21" ht="15.75" customHeight="1" x14ac:dyDescent="0.25">
      <c r="A1189" s="27" t="s">
        <v>7258</v>
      </c>
      <c r="B1189" s="28" t="s">
        <v>7259</v>
      </c>
      <c r="C1189" s="29" t="s">
        <v>7260</v>
      </c>
      <c r="D1189" s="37" t="s">
        <v>109</v>
      </c>
      <c r="E1189" s="29" t="s">
        <v>47</v>
      </c>
      <c r="F1189" s="31">
        <v>136.4</v>
      </c>
      <c r="G1189" s="25" t="s">
        <v>110</v>
      </c>
      <c r="H1189" s="29" t="s">
        <v>330</v>
      </c>
      <c r="I1189" s="32" t="s">
        <v>491</v>
      </c>
      <c r="J1189" s="28" t="s">
        <v>7261</v>
      </c>
      <c r="K1189" s="29" t="s">
        <v>7262</v>
      </c>
      <c r="L1189" s="27" t="s">
        <v>481</v>
      </c>
      <c r="M1189" s="28" t="s">
        <v>482</v>
      </c>
      <c r="N1189" s="38"/>
      <c r="O1189" s="34"/>
      <c r="P1189" s="34"/>
      <c r="Q1189" s="35" t="s">
        <v>78</v>
      </c>
      <c r="R1189" s="35" t="s">
        <v>79</v>
      </c>
      <c r="S1189" s="35" t="s">
        <v>61</v>
      </c>
      <c r="T1189" s="35" t="s">
        <v>62</v>
      </c>
      <c r="U1189" s="36" t="s">
        <v>80</v>
      </c>
    </row>
    <row r="1190" spans="1:21" ht="15.75" customHeight="1" x14ac:dyDescent="0.25">
      <c r="A1190" s="9" t="s">
        <v>7263</v>
      </c>
      <c r="B1190" s="10" t="s">
        <v>7264</v>
      </c>
      <c r="C1190" s="11" t="s">
        <v>7265</v>
      </c>
      <c r="D1190" s="21" t="s">
        <v>109</v>
      </c>
      <c r="E1190" s="11" t="s">
        <v>98</v>
      </c>
      <c r="F1190" s="13">
        <v>192</v>
      </c>
      <c r="G1190" s="25" t="s">
        <v>110</v>
      </c>
      <c r="H1190" s="11" t="s">
        <v>86</v>
      </c>
      <c r="I1190" s="15" t="s">
        <v>3333</v>
      </c>
      <c r="J1190" s="10" t="s">
        <v>7266</v>
      </c>
      <c r="K1190" s="11" t="s">
        <v>7267</v>
      </c>
      <c r="L1190" s="9" t="s">
        <v>481</v>
      </c>
      <c r="M1190" s="10" t="s">
        <v>482</v>
      </c>
      <c r="N1190" s="22"/>
      <c r="O1190" s="17"/>
      <c r="P1190" s="17"/>
      <c r="Q1190" s="18" t="s">
        <v>78</v>
      </c>
      <c r="R1190" s="18" t="s">
        <v>79</v>
      </c>
      <c r="S1190" s="18" t="s">
        <v>61</v>
      </c>
      <c r="T1190" s="18" t="s">
        <v>62</v>
      </c>
      <c r="U1190" s="19" t="s">
        <v>80</v>
      </c>
    </row>
    <row r="1191" spans="1:21" ht="15.75" customHeight="1" x14ac:dyDescent="0.25">
      <c r="A1191" s="27" t="s">
        <v>7268</v>
      </c>
      <c r="B1191" s="28" t="s">
        <v>7269</v>
      </c>
      <c r="C1191" s="29" t="s">
        <v>7270</v>
      </c>
      <c r="D1191" s="37" t="s">
        <v>109</v>
      </c>
      <c r="E1191" s="29" t="s">
        <v>47</v>
      </c>
      <c r="F1191" s="31">
        <v>159</v>
      </c>
      <c r="G1191" s="25" t="s">
        <v>110</v>
      </c>
      <c r="H1191" s="29" t="s">
        <v>86</v>
      </c>
      <c r="I1191" s="32" t="s">
        <v>7271</v>
      </c>
      <c r="J1191" s="28" t="s">
        <v>7272</v>
      </c>
      <c r="K1191" s="29" t="s">
        <v>7273</v>
      </c>
      <c r="L1191" s="27" t="s">
        <v>90</v>
      </c>
      <c r="M1191" s="28" t="s">
        <v>91</v>
      </c>
      <c r="N1191" s="38"/>
      <c r="O1191" s="34"/>
      <c r="P1191" s="34"/>
      <c r="Q1191" s="35" t="s">
        <v>78</v>
      </c>
      <c r="R1191" s="35" t="s">
        <v>79</v>
      </c>
      <c r="S1191" s="35" t="s">
        <v>61</v>
      </c>
      <c r="T1191" s="35" t="s">
        <v>62</v>
      </c>
      <c r="U1191" s="36" t="s">
        <v>80</v>
      </c>
    </row>
    <row r="1192" spans="1:21" ht="15.75" customHeight="1" x14ac:dyDescent="0.25">
      <c r="A1192" s="9" t="s">
        <v>7274</v>
      </c>
      <c r="B1192" s="10" t="s">
        <v>7275</v>
      </c>
      <c r="C1192" s="11" t="s">
        <v>7276</v>
      </c>
      <c r="D1192" s="21" t="s">
        <v>109</v>
      </c>
      <c r="E1192" s="11" t="s">
        <v>47</v>
      </c>
      <c r="F1192" s="11" t="s">
        <v>7277</v>
      </c>
      <c r="G1192" s="25" t="s">
        <v>110</v>
      </c>
      <c r="H1192" s="11" t="s">
        <v>330</v>
      </c>
      <c r="I1192" s="15" t="s">
        <v>7278</v>
      </c>
      <c r="J1192" s="10" t="s">
        <v>7279</v>
      </c>
      <c r="K1192" s="11" t="s">
        <v>7280</v>
      </c>
      <c r="L1192" s="9" t="s">
        <v>481</v>
      </c>
      <c r="M1192" s="10" t="s">
        <v>482</v>
      </c>
      <c r="N1192" s="22"/>
      <c r="O1192" s="17"/>
      <c r="P1192" s="17"/>
      <c r="Q1192" s="18" t="s">
        <v>78</v>
      </c>
      <c r="R1192" s="18" t="s">
        <v>79</v>
      </c>
      <c r="S1192" s="18" t="s">
        <v>61</v>
      </c>
      <c r="T1192" s="18" t="s">
        <v>62</v>
      </c>
      <c r="U1192" s="19" t="s">
        <v>80</v>
      </c>
    </row>
    <row r="1193" spans="1:21" ht="15.75" customHeight="1" x14ac:dyDescent="0.25">
      <c r="A1193" s="27" t="s">
        <v>7281</v>
      </c>
      <c r="B1193" s="28" t="s">
        <v>7282</v>
      </c>
      <c r="C1193" s="29" t="s">
        <v>7283</v>
      </c>
      <c r="D1193" s="37" t="s">
        <v>109</v>
      </c>
      <c r="E1193" s="29" t="s">
        <v>67</v>
      </c>
      <c r="F1193" s="31">
        <v>-129</v>
      </c>
      <c r="G1193" s="24" t="s">
        <v>85</v>
      </c>
      <c r="H1193" s="29" t="s">
        <v>421</v>
      </c>
      <c r="I1193" s="32" t="s">
        <v>6856</v>
      </c>
      <c r="J1193" s="28" t="s">
        <v>7284</v>
      </c>
      <c r="K1193" s="29" t="s">
        <v>7285</v>
      </c>
      <c r="L1193" s="27" t="s">
        <v>248</v>
      </c>
      <c r="M1193" s="28" t="s">
        <v>249</v>
      </c>
      <c r="N1193" s="38"/>
      <c r="O1193" s="34"/>
      <c r="P1193" s="34"/>
      <c r="Q1193" s="35" t="s">
        <v>78</v>
      </c>
      <c r="R1193" s="35" t="s">
        <v>79</v>
      </c>
      <c r="S1193" s="35" t="s">
        <v>61</v>
      </c>
      <c r="T1193" s="35" t="s">
        <v>62</v>
      </c>
      <c r="U1193" s="36" t="s">
        <v>80</v>
      </c>
    </row>
    <row r="1194" spans="1:21" ht="15.75" customHeight="1" x14ac:dyDescent="0.25">
      <c r="A1194" s="9" t="s">
        <v>7286</v>
      </c>
      <c r="B1194" s="10" t="s">
        <v>7287</v>
      </c>
      <c r="C1194" s="11" t="s">
        <v>7288</v>
      </c>
      <c r="D1194" s="21" t="s">
        <v>109</v>
      </c>
      <c r="E1194" s="11" t="s">
        <v>47</v>
      </c>
      <c r="F1194" s="13">
        <v>243.5</v>
      </c>
      <c r="G1194" s="25" t="s">
        <v>110</v>
      </c>
      <c r="H1194" s="11" t="s">
        <v>129</v>
      </c>
      <c r="I1194" s="15" t="s">
        <v>7289</v>
      </c>
      <c r="J1194" s="10" t="s">
        <v>7290</v>
      </c>
      <c r="K1194" s="11" t="s">
        <v>7291</v>
      </c>
      <c r="L1194" s="9" t="s">
        <v>90</v>
      </c>
      <c r="M1194" s="10" t="s">
        <v>91</v>
      </c>
      <c r="N1194" s="22"/>
      <c r="O1194" s="17"/>
      <c r="P1194" s="17"/>
      <c r="Q1194" s="18" t="s">
        <v>78</v>
      </c>
      <c r="R1194" s="18" t="s">
        <v>79</v>
      </c>
      <c r="S1194" s="18" t="s">
        <v>61</v>
      </c>
      <c r="T1194" s="18" t="s">
        <v>62</v>
      </c>
      <c r="U1194" s="19" t="s">
        <v>80</v>
      </c>
    </row>
    <row r="1195" spans="1:21" ht="15.75" customHeight="1" x14ac:dyDescent="0.25">
      <c r="A1195" s="27" t="s">
        <v>7292</v>
      </c>
      <c r="B1195" s="28" t="s">
        <v>7293</v>
      </c>
      <c r="C1195" s="29" t="s">
        <v>7294</v>
      </c>
      <c r="D1195" s="37" t="s">
        <v>109</v>
      </c>
      <c r="E1195" s="29" t="s">
        <v>1264</v>
      </c>
      <c r="F1195" s="29"/>
      <c r="G1195" s="24" t="s">
        <v>85</v>
      </c>
      <c r="H1195" s="29" t="s">
        <v>100</v>
      </c>
      <c r="I1195" s="32" t="s">
        <v>7295</v>
      </c>
      <c r="J1195" s="28" t="s">
        <v>7296</v>
      </c>
      <c r="K1195" s="29"/>
      <c r="L1195" s="27"/>
      <c r="M1195" s="28"/>
      <c r="N1195" s="38"/>
      <c r="O1195" s="34"/>
      <c r="P1195" s="34"/>
      <c r="Q1195" s="35" t="s">
        <v>78</v>
      </c>
      <c r="R1195" s="35" t="s">
        <v>79</v>
      </c>
      <c r="S1195" s="35" t="s">
        <v>61</v>
      </c>
      <c r="T1195" s="35" t="s">
        <v>62</v>
      </c>
      <c r="U1195" s="36" t="s">
        <v>80</v>
      </c>
    </row>
    <row r="1196" spans="1:21" ht="15.75" customHeight="1" x14ac:dyDescent="0.25">
      <c r="A1196" s="9" t="s">
        <v>7297</v>
      </c>
      <c r="B1196" s="10" t="s">
        <v>7298</v>
      </c>
      <c r="C1196" s="11"/>
      <c r="D1196" s="12" t="s">
        <v>7299</v>
      </c>
      <c r="E1196" s="11" t="s">
        <v>47</v>
      </c>
      <c r="F1196" s="13">
        <v>98</v>
      </c>
      <c r="G1196" s="14" t="s">
        <v>119</v>
      </c>
      <c r="H1196" s="11" t="s">
        <v>48</v>
      </c>
      <c r="I1196" s="15" t="s">
        <v>7300</v>
      </c>
      <c r="J1196" s="10" t="s">
        <v>7301</v>
      </c>
      <c r="K1196" s="11" t="s">
        <v>7302</v>
      </c>
      <c r="L1196" s="9" t="s">
        <v>158</v>
      </c>
      <c r="M1196" s="10" t="s">
        <v>159</v>
      </c>
      <c r="N1196" s="22"/>
      <c r="O1196" s="17"/>
      <c r="P1196" s="17"/>
      <c r="Q1196" s="18" t="s">
        <v>78</v>
      </c>
      <c r="R1196" s="18" t="s">
        <v>79</v>
      </c>
      <c r="S1196" s="18" t="s">
        <v>61</v>
      </c>
      <c r="T1196" s="18" t="s">
        <v>62</v>
      </c>
      <c r="U1196" s="19" t="s">
        <v>80</v>
      </c>
    </row>
    <row r="1197" spans="1:21" ht="15.75" customHeight="1" x14ac:dyDescent="0.25">
      <c r="A1197" s="27" t="s">
        <v>7303</v>
      </c>
      <c r="B1197" s="28" t="s">
        <v>7304</v>
      </c>
      <c r="C1197" s="29" t="s">
        <v>7305</v>
      </c>
      <c r="D1197" s="37" t="s">
        <v>109</v>
      </c>
      <c r="E1197" s="29" t="s">
        <v>98</v>
      </c>
      <c r="F1197" s="29" t="s">
        <v>7306</v>
      </c>
      <c r="G1197" s="24" t="s">
        <v>85</v>
      </c>
      <c r="H1197" s="29" t="s">
        <v>100</v>
      </c>
      <c r="I1197" s="32" t="s">
        <v>6630</v>
      </c>
      <c r="J1197" s="28" t="s">
        <v>7307</v>
      </c>
      <c r="K1197" s="29"/>
      <c r="L1197" s="27"/>
      <c r="M1197" s="28"/>
      <c r="N1197" s="38"/>
      <c r="O1197" s="34"/>
      <c r="P1197" s="34"/>
      <c r="Q1197" s="35" t="s">
        <v>78</v>
      </c>
      <c r="R1197" s="35" t="s">
        <v>79</v>
      </c>
      <c r="S1197" s="35" t="s">
        <v>61</v>
      </c>
      <c r="T1197" s="35" t="s">
        <v>62</v>
      </c>
      <c r="U1197" s="36" t="s">
        <v>80</v>
      </c>
    </row>
    <row r="1198" spans="1:21" ht="15.75" customHeight="1" x14ac:dyDescent="0.25">
      <c r="A1198" s="9" t="s">
        <v>7308</v>
      </c>
      <c r="B1198" s="10" t="s">
        <v>7309</v>
      </c>
      <c r="C1198" s="11" t="s">
        <v>7310</v>
      </c>
      <c r="D1198" s="21" t="s">
        <v>109</v>
      </c>
      <c r="E1198" s="11" t="s">
        <v>98</v>
      </c>
      <c r="F1198" s="11"/>
      <c r="G1198" s="24" t="s">
        <v>85</v>
      </c>
      <c r="H1198" s="11" t="s">
        <v>100</v>
      </c>
      <c r="I1198" s="15" t="s">
        <v>1684</v>
      </c>
      <c r="J1198" s="10" t="s">
        <v>7311</v>
      </c>
      <c r="K1198" s="11"/>
      <c r="L1198" s="9"/>
      <c r="M1198" s="10"/>
      <c r="N1198" s="22"/>
      <c r="O1198" s="17"/>
      <c r="P1198" s="17"/>
      <c r="Q1198" s="18" t="s">
        <v>78</v>
      </c>
      <c r="R1198" s="18" t="s">
        <v>79</v>
      </c>
      <c r="S1198" s="18" t="s">
        <v>61</v>
      </c>
      <c r="T1198" s="18" t="s">
        <v>62</v>
      </c>
      <c r="U1198" s="19" t="s">
        <v>80</v>
      </c>
    </row>
    <row r="1199" spans="1:21" ht="15.75" customHeight="1" x14ac:dyDescent="0.25">
      <c r="A1199" s="27" t="s">
        <v>7312</v>
      </c>
      <c r="B1199" s="28" t="s">
        <v>7313</v>
      </c>
      <c r="C1199" s="29" t="s">
        <v>7314</v>
      </c>
      <c r="D1199" s="37" t="s">
        <v>109</v>
      </c>
      <c r="E1199" s="29" t="s">
        <v>98</v>
      </c>
      <c r="F1199" s="29"/>
      <c r="G1199" s="24" t="s">
        <v>85</v>
      </c>
      <c r="H1199" s="29" t="s">
        <v>100</v>
      </c>
      <c r="I1199" s="32" t="s">
        <v>7315</v>
      </c>
      <c r="J1199" s="28" t="s">
        <v>7316</v>
      </c>
      <c r="K1199" s="29"/>
      <c r="L1199" s="27"/>
      <c r="M1199" s="28"/>
      <c r="N1199" s="38"/>
      <c r="O1199" s="34"/>
      <c r="P1199" s="34"/>
      <c r="Q1199" s="35" t="s">
        <v>78</v>
      </c>
      <c r="R1199" s="35" t="s">
        <v>79</v>
      </c>
      <c r="S1199" s="35" t="s">
        <v>61</v>
      </c>
      <c r="T1199" s="35" t="s">
        <v>62</v>
      </c>
      <c r="U1199" s="36" t="s">
        <v>80</v>
      </c>
    </row>
    <row r="1200" spans="1:21" ht="15.75" customHeight="1" x14ac:dyDescent="0.25">
      <c r="A1200" s="9" t="s">
        <v>7317</v>
      </c>
      <c r="B1200" s="10" t="s">
        <v>7318</v>
      </c>
      <c r="C1200" s="11" t="s">
        <v>7319</v>
      </c>
      <c r="D1200" s="12" t="s">
        <v>7320</v>
      </c>
      <c r="E1200" s="11" t="s">
        <v>1264</v>
      </c>
      <c r="F1200" s="11"/>
      <c r="G1200" s="20" t="s">
        <v>85</v>
      </c>
      <c r="H1200" s="11" t="s">
        <v>100</v>
      </c>
      <c r="I1200" s="15" t="s">
        <v>7321</v>
      </c>
      <c r="J1200" s="10" t="s">
        <v>7322</v>
      </c>
      <c r="K1200" s="11" t="s">
        <v>7323</v>
      </c>
      <c r="L1200" s="9" t="s">
        <v>90</v>
      </c>
      <c r="M1200" s="10" t="s">
        <v>91</v>
      </c>
      <c r="N1200" s="16" t="s">
        <v>75</v>
      </c>
      <c r="O1200" s="17" t="s">
        <v>92</v>
      </c>
      <c r="P1200" s="17" t="s">
        <v>93</v>
      </c>
      <c r="Q1200" s="18" t="s">
        <v>78</v>
      </c>
      <c r="R1200" s="18" t="s">
        <v>79</v>
      </c>
      <c r="S1200" s="18" t="s">
        <v>61</v>
      </c>
      <c r="T1200" s="18" t="s">
        <v>62</v>
      </c>
      <c r="U1200" s="19" t="s">
        <v>80</v>
      </c>
    </row>
    <row r="1201" spans="1:21" ht="15.75" customHeight="1" x14ac:dyDescent="0.25">
      <c r="A1201" s="27" t="s">
        <v>7324</v>
      </c>
      <c r="B1201" s="28" t="s">
        <v>7325</v>
      </c>
      <c r="C1201" s="29" t="s">
        <v>7326</v>
      </c>
      <c r="D1201" s="30" t="s">
        <v>7327</v>
      </c>
      <c r="E1201" s="29" t="s">
        <v>98</v>
      </c>
      <c r="F1201" s="29"/>
      <c r="G1201" s="20" t="s">
        <v>119</v>
      </c>
      <c r="H1201" s="29" t="s">
        <v>100</v>
      </c>
      <c r="I1201" s="32" t="s">
        <v>2052</v>
      </c>
      <c r="J1201" s="28" t="s">
        <v>7328</v>
      </c>
      <c r="K1201" s="29" t="s">
        <v>7329</v>
      </c>
      <c r="L1201" s="27" t="s">
        <v>90</v>
      </c>
      <c r="M1201" s="28" t="s">
        <v>91</v>
      </c>
      <c r="N1201" s="33" t="s">
        <v>75</v>
      </c>
      <c r="O1201" s="34" t="s">
        <v>92</v>
      </c>
      <c r="P1201" s="34" t="s">
        <v>93</v>
      </c>
      <c r="Q1201" s="35" t="s">
        <v>78</v>
      </c>
      <c r="R1201" s="35" t="s">
        <v>79</v>
      </c>
      <c r="S1201" s="35" t="s">
        <v>61</v>
      </c>
      <c r="T1201" s="35" t="s">
        <v>62</v>
      </c>
      <c r="U1201" s="36" t="s">
        <v>80</v>
      </c>
    </row>
    <row r="1202" spans="1:21" ht="15.75" customHeight="1" x14ac:dyDescent="0.25">
      <c r="A1202" s="9" t="s">
        <v>7330</v>
      </c>
      <c r="B1202" s="10" t="s">
        <v>7331</v>
      </c>
      <c r="C1202" s="11" t="s">
        <v>7332</v>
      </c>
      <c r="D1202" s="12" t="s">
        <v>7327</v>
      </c>
      <c r="E1202" s="11" t="s">
        <v>98</v>
      </c>
      <c r="F1202" s="11"/>
      <c r="G1202" s="20" t="s">
        <v>119</v>
      </c>
      <c r="H1202" s="11" t="s">
        <v>120</v>
      </c>
      <c r="I1202" s="15" t="s">
        <v>4222</v>
      </c>
      <c r="J1202" s="10" t="s">
        <v>7333</v>
      </c>
      <c r="K1202" s="11" t="s">
        <v>7334</v>
      </c>
      <c r="L1202" s="9" t="s">
        <v>90</v>
      </c>
      <c r="M1202" s="10" t="s">
        <v>91</v>
      </c>
      <c r="N1202" s="16" t="s">
        <v>75</v>
      </c>
      <c r="O1202" s="17" t="s">
        <v>92</v>
      </c>
      <c r="P1202" s="17" t="s">
        <v>93</v>
      </c>
      <c r="Q1202" s="18" t="s">
        <v>78</v>
      </c>
      <c r="R1202" s="18" t="s">
        <v>79</v>
      </c>
      <c r="S1202" s="18" t="s">
        <v>61</v>
      </c>
      <c r="T1202" s="18" t="s">
        <v>62</v>
      </c>
      <c r="U1202" s="19" t="s">
        <v>80</v>
      </c>
    </row>
    <row r="1203" spans="1:21" ht="15.75" customHeight="1" x14ac:dyDescent="0.25">
      <c r="A1203" s="27" t="s">
        <v>7335</v>
      </c>
      <c r="B1203" s="28" t="s">
        <v>7336</v>
      </c>
      <c r="C1203" s="29" t="s">
        <v>7337</v>
      </c>
      <c r="D1203" s="30" t="s">
        <v>7338</v>
      </c>
      <c r="E1203" s="29" t="s">
        <v>67</v>
      </c>
      <c r="F1203" s="31">
        <v>-88.5</v>
      </c>
      <c r="G1203" s="20" t="s">
        <v>119</v>
      </c>
      <c r="H1203" s="29" t="s">
        <v>69</v>
      </c>
      <c r="I1203" s="32" t="s">
        <v>1310</v>
      </c>
      <c r="J1203" s="28" t="s">
        <v>7339</v>
      </c>
      <c r="K1203" s="29" t="s">
        <v>7340</v>
      </c>
      <c r="L1203" s="27" t="s">
        <v>140</v>
      </c>
      <c r="M1203" s="28" t="s">
        <v>141</v>
      </c>
      <c r="N1203" s="33" t="s">
        <v>75</v>
      </c>
      <c r="O1203" s="34" t="s">
        <v>265</v>
      </c>
      <c r="P1203" s="34" t="s">
        <v>266</v>
      </c>
      <c r="Q1203" s="35" t="s">
        <v>78</v>
      </c>
      <c r="R1203" s="35" t="s">
        <v>79</v>
      </c>
      <c r="S1203" s="35" t="s">
        <v>61</v>
      </c>
      <c r="T1203" s="35" t="s">
        <v>62</v>
      </c>
      <c r="U1203" s="36" t="s">
        <v>80</v>
      </c>
    </row>
    <row r="1204" spans="1:21" ht="15.75" customHeight="1" x14ac:dyDescent="0.25">
      <c r="A1204" s="9" t="s">
        <v>7341</v>
      </c>
      <c r="B1204" s="10" t="s">
        <v>7342</v>
      </c>
      <c r="C1204" s="11" t="s">
        <v>7343</v>
      </c>
      <c r="D1204" s="12" t="s">
        <v>7344</v>
      </c>
      <c r="E1204" s="11" t="s">
        <v>47</v>
      </c>
      <c r="F1204" s="13">
        <v>150.80000000000001</v>
      </c>
      <c r="G1204" s="20" t="s">
        <v>119</v>
      </c>
      <c r="H1204" s="11" t="s">
        <v>86</v>
      </c>
      <c r="I1204" s="15" t="s">
        <v>3351</v>
      </c>
      <c r="J1204" s="10" t="s">
        <v>7345</v>
      </c>
      <c r="K1204" s="11" t="s">
        <v>7346</v>
      </c>
      <c r="L1204" s="9" t="s">
        <v>158</v>
      </c>
      <c r="M1204" s="10" t="s">
        <v>159</v>
      </c>
      <c r="N1204" s="16" t="s">
        <v>75</v>
      </c>
      <c r="O1204" s="17" t="s">
        <v>382</v>
      </c>
      <c r="P1204" s="17" t="s">
        <v>383</v>
      </c>
      <c r="Q1204" s="18" t="s">
        <v>78</v>
      </c>
      <c r="R1204" s="18" t="s">
        <v>79</v>
      </c>
      <c r="S1204" s="18" t="s">
        <v>61</v>
      </c>
      <c r="T1204" s="18" t="s">
        <v>62</v>
      </c>
      <c r="U1204" s="19" t="s">
        <v>80</v>
      </c>
    </row>
    <row r="1205" spans="1:21" ht="15.75" customHeight="1" x14ac:dyDescent="0.25">
      <c r="A1205" s="27" t="s">
        <v>7347</v>
      </c>
      <c r="B1205" s="28" t="s">
        <v>7348</v>
      </c>
      <c r="C1205" s="29" t="s">
        <v>7349</v>
      </c>
      <c r="D1205" s="30" t="s">
        <v>7350</v>
      </c>
      <c r="E1205" s="29" t="s">
        <v>98</v>
      </c>
      <c r="F1205" s="29" t="s">
        <v>118</v>
      </c>
      <c r="G1205" s="20" t="s">
        <v>119</v>
      </c>
      <c r="H1205" s="29" t="s">
        <v>100</v>
      </c>
      <c r="I1205" s="32" t="s">
        <v>7351</v>
      </c>
      <c r="J1205" s="28" t="s">
        <v>7352</v>
      </c>
      <c r="K1205" s="29"/>
      <c r="L1205" s="27"/>
      <c r="M1205" s="28"/>
      <c r="N1205" s="39" t="s">
        <v>179</v>
      </c>
      <c r="O1205" s="34" t="s">
        <v>292</v>
      </c>
      <c r="P1205" s="34" t="s">
        <v>293</v>
      </c>
      <c r="Q1205" s="35" t="s">
        <v>78</v>
      </c>
      <c r="R1205" s="35" t="s">
        <v>79</v>
      </c>
      <c r="S1205" s="35" t="s">
        <v>61</v>
      </c>
      <c r="T1205" s="35" t="s">
        <v>62</v>
      </c>
      <c r="U1205" s="36" t="s">
        <v>80</v>
      </c>
    </row>
    <row r="1206" spans="1:21" ht="15.75" customHeight="1" x14ac:dyDescent="0.25">
      <c r="A1206" s="9" t="s">
        <v>7353</v>
      </c>
      <c r="B1206" s="10" t="s">
        <v>7354</v>
      </c>
      <c r="C1206" s="11" t="s">
        <v>7355</v>
      </c>
      <c r="D1206" s="21" t="s">
        <v>109</v>
      </c>
      <c r="E1206" s="11" t="s">
        <v>1264</v>
      </c>
      <c r="F1206" s="13">
        <v>3695</v>
      </c>
      <c r="G1206" s="24" t="s">
        <v>85</v>
      </c>
      <c r="H1206" s="11" t="s">
        <v>129</v>
      </c>
      <c r="I1206" s="15" t="s">
        <v>2069</v>
      </c>
      <c r="J1206" s="10" t="s">
        <v>7356</v>
      </c>
      <c r="K1206" s="11"/>
      <c r="L1206" s="9"/>
      <c r="M1206" s="10"/>
      <c r="N1206" s="22"/>
      <c r="O1206" s="17"/>
      <c r="P1206" s="17"/>
      <c r="Q1206" s="18" t="s">
        <v>78</v>
      </c>
      <c r="R1206" s="18" t="s">
        <v>79</v>
      </c>
      <c r="S1206" s="18" t="s">
        <v>61</v>
      </c>
      <c r="T1206" s="18" t="s">
        <v>62</v>
      </c>
      <c r="U1206" s="19" t="s">
        <v>80</v>
      </c>
    </row>
    <row r="1207" spans="1:21" ht="15.75" customHeight="1" x14ac:dyDescent="0.25">
      <c r="A1207" s="27" t="s">
        <v>7357</v>
      </c>
      <c r="B1207" s="28" t="s">
        <v>7358</v>
      </c>
      <c r="C1207" s="29" t="s">
        <v>7359</v>
      </c>
      <c r="D1207" s="30" t="s">
        <v>7360</v>
      </c>
      <c r="E1207" s="29" t="s">
        <v>47</v>
      </c>
      <c r="F1207" s="31">
        <v>155</v>
      </c>
      <c r="G1207" s="20" t="s">
        <v>119</v>
      </c>
      <c r="H1207" s="29" t="s">
        <v>86</v>
      </c>
      <c r="I1207" s="32" t="s">
        <v>6248</v>
      </c>
      <c r="J1207" s="28" t="s">
        <v>7358</v>
      </c>
      <c r="K1207" s="29" t="s">
        <v>132</v>
      </c>
      <c r="L1207" s="27" t="s">
        <v>90</v>
      </c>
      <c r="M1207" s="28" t="s">
        <v>91</v>
      </c>
      <c r="N1207" s="33" t="s">
        <v>75</v>
      </c>
      <c r="O1207" s="34" t="s">
        <v>124</v>
      </c>
      <c r="P1207" s="34" t="s">
        <v>125</v>
      </c>
      <c r="Q1207" s="35" t="s">
        <v>78</v>
      </c>
      <c r="R1207" s="35" t="s">
        <v>79</v>
      </c>
      <c r="S1207" s="35" t="s">
        <v>61</v>
      </c>
      <c r="T1207" s="35" t="s">
        <v>62</v>
      </c>
      <c r="U1207" s="36" t="s">
        <v>80</v>
      </c>
    </row>
    <row r="1208" spans="1:21" ht="15.75" customHeight="1" x14ac:dyDescent="0.25">
      <c r="A1208" s="9" t="s">
        <v>7361</v>
      </c>
      <c r="B1208" s="10" t="s">
        <v>7362</v>
      </c>
      <c r="C1208" s="11" t="s">
        <v>7363</v>
      </c>
      <c r="D1208" s="12" t="s">
        <v>3649</v>
      </c>
      <c r="E1208" s="11" t="s">
        <v>47</v>
      </c>
      <c r="F1208" s="13">
        <v>340</v>
      </c>
      <c r="G1208" s="14" t="s">
        <v>110</v>
      </c>
      <c r="H1208" s="11" t="s">
        <v>129</v>
      </c>
      <c r="I1208" s="15" t="s">
        <v>5062</v>
      </c>
      <c r="J1208" s="10" t="s">
        <v>7364</v>
      </c>
      <c r="K1208" s="11"/>
      <c r="L1208" s="9"/>
      <c r="M1208" s="10"/>
      <c r="N1208" s="23" t="s">
        <v>179</v>
      </c>
      <c r="O1208" s="17" t="s">
        <v>869</v>
      </c>
      <c r="P1208" s="17" t="s">
        <v>870</v>
      </c>
      <c r="Q1208" s="18" t="s">
        <v>78</v>
      </c>
      <c r="R1208" s="18" t="s">
        <v>79</v>
      </c>
      <c r="S1208" s="18" t="s">
        <v>61</v>
      </c>
      <c r="T1208" s="18" t="s">
        <v>62</v>
      </c>
      <c r="U1208" s="19" t="s">
        <v>80</v>
      </c>
    </row>
    <row r="1209" spans="1:21" ht="15.75" customHeight="1" x14ac:dyDescent="0.25">
      <c r="A1209" s="27" t="s">
        <v>7365</v>
      </c>
      <c r="B1209" s="28" t="s">
        <v>7366</v>
      </c>
      <c r="C1209" s="29" t="s">
        <v>7367</v>
      </c>
      <c r="D1209" s="30" t="s">
        <v>6307</v>
      </c>
      <c r="E1209" s="29" t="s">
        <v>98</v>
      </c>
      <c r="F1209" s="29" t="s">
        <v>7368</v>
      </c>
      <c r="G1209" s="20" t="s">
        <v>68</v>
      </c>
      <c r="H1209" s="29" t="s">
        <v>120</v>
      </c>
      <c r="I1209" s="32" t="s">
        <v>2075</v>
      </c>
      <c r="J1209" s="28" t="s">
        <v>7369</v>
      </c>
      <c r="K1209" s="29" t="s">
        <v>7370</v>
      </c>
      <c r="L1209" s="27" t="s">
        <v>2294</v>
      </c>
      <c r="M1209" s="28" t="s">
        <v>2295</v>
      </c>
      <c r="N1209" s="33" t="s">
        <v>75</v>
      </c>
      <c r="O1209" s="34" t="s">
        <v>1560</v>
      </c>
      <c r="P1209" s="34" t="s">
        <v>1561</v>
      </c>
      <c r="Q1209" s="35" t="s">
        <v>78</v>
      </c>
      <c r="R1209" s="35" t="s">
        <v>79</v>
      </c>
      <c r="S1209" s="35" t="s">
        <v>61</v>
      </c>
      <c r="T1209" s="35" t="s">
        <v>62</v>
      </c>
      <c r="U1209" s="36" t="s">
        <v>80</v>
      </c>
    </row>
    <row r="1210" spans="1:21" ht="15.75" customHeight="1" x14ac:dyDescent="0.25">
      <c r="A1210" s="9" t="s">
        <v>7371</v>
      </c>
      <c r="B1210" s="10" t="s">
        <v>7372</v>
      </c>
      <c r="C1210" s="11" t="s">
        <v>7373</v>
      </c>
      <c r="D1210" s="12" t="s">
        <v>7374</v>
      </c>
      <c r="E1210" s="11" t="s">
        <v>98</v>
      </c>
      <c r="F1210" s="11"/>
      <c r="G1210" s="20" t="s">
        <v>119</v>
      </c>
      <c r="H1210" s="11" t="s">
        <v>100</v>
      </c>
      <c r="I1210" s="15" t="s">
        <v>7375</v>
      </c>
      <c r="J1210" s="10" t="s">
        <v>7376</v>
      </c>
      <c r="K1210" s="11"/>
      <c r="L1210" s="9"/>
      <c r="M1210" s="10"/>
      <c r="N1210" s="16" t="s">
        <v>75</v>
      </c>
      <c r="O1210" s="17" t="s">
        <v>124</v>
      </c>
      <c r="P1210" s="17" t="s">
        <v>125</v>
      </c>
      <c r="Q1210" s="18" t="s">
        <v>78</v>
      </c>
      <c r="R1210" s="18" t="s">
        <v>79</v>
      </c>
      <c r="S1210" s="18" t="s">
        <v>61</v>
      </c>
      <c r="T1210" s="18" t="s">
        <v>62</v>
      </c>
      <c r="U1210" s="19" t="s">
        <v>80</v>
      </c>
    </row>
    <row r="1211" spans="1:21" ht="15.75" customHeight="1" x14ac:dyDescent="0.25">
      <c r="A1211" s="27" t="s">
        <v>7377</v>
      </c>
      <c r="B1211" s="28" t="s">
        <v>7378</v>
      </c>
      <c r="C1211" s="29" t="s">
        <v>7379</v>
      </c>
      <c r="D1211" s="30" t="s">
        <v>7380</v>
      </c>
      <c r="E1211" s="29" t="s">
        <v>98</v>
      </c>
      <c r="F1211" s="31">
        <v>1.4</v>
      </c>
      <c r="G1211" s="20" t="s">
        <v>85</v>
      </c>
      <c r="H1211" s="29" t="s">
        <v>69</v>
      </c>
      <c r="I1211" s="32" t="s">
        <v>7381</v>
      </c>
      <c r="J1211" s="28" t="s">
        <v>7382</v>
      </c>
      <c r="K1211" s="29" t="s">
        <v>332</v>
      </c>
      <c r="L1211" s="27" t="s">
        <v>197</v>
      </c>
      <c r="M1211" s="28" t="s">
        <v>198</v>
      </c>
      <c r="N1211" s="33" t="s">
        <v>75</v>
      </c>
      <c r="O1211" s="34" t="s">
        <v>355</v>
      </c>
      <c r="P1211" s="34" t="s">
        <v>356</v>
      </c>
      <c r="Q1211" s="35" t="s">
        <v>78</v>
      </c>
      <c r="R1211" s="35" t="s">
        <v>79</v>
      </c>
      <c r="S1211" s="35" t="s">
        <v>61</v>
      </c>
      <c r="T1211" s="35" t="s">
        <v>62</v>
      </c>
      <c r="U1211" s="36" t="s">
        <v>80</v>
      </c>
    </row>
    <row r="1212" spans="1:21" ht="15.75" customHeight="1" x14ac:dyDescent="0.25">
      <c r="A1212" s="9" t="s">
        <v>7383</v>
      </c>
      <c r="B1212" s="10" t="s">
        <v>7384</v>
      </c>
      <c r="C1212" s="11" t="s">
        <v>7385</v>
      </c>
      <c r="D1212" s="21" t="s">
        <v>109</v>
      </c>
      <c r="E1212" s="11" t="s">
        <v>47</v>
      </c>
      <c r="F1212" s="13">
        <v>68</v>
      </c>
      <c r="G1212" s="14" t="s">
        <v>119</v>
      </c>
      <c r="H1212" s="11" t="s">
        <v>48</v>
      </c>
      <c r="I1212" s="15" t="s">
        <v>7386</v>
      </c>
      <c r="J1212" s="10" t="s">
        <v>7387</v>
      </c>
      <c r="K1212" s="11" t="s">
        <v>7179</v>
      </c>
      <c r="L1212" s="9" t="s">
        <v>158</v>
      </c>
      <c r="M1212" s="10" t="s">
        <v>159</v>
      </c>
      <c r="N1212" s="22"/>
      <c r="O1212" s="17"/>
      <c r="P1212" s="17"/>
      <c r="Q1212" s="18" t="s">
        <v>78</v>
      </c>
      <c r="R1212" s="18" t="s">
        <v>79</v>
      </c>
      <c r="S1212" s="18" t="s">
        <v>61</v>
      </c>
      <c r="T1212" s="18" t="s">
        <v>62</v>
      </c>
      <c r="U1212" s="19" t="s">
        <v>80</v>
      </c>
    </row>
    <row r="1213" spans="1:21" ht="15.75" customHeight="1" x14ac:dyDescent="0.25">
      <c r="A1213" s="27" t="s">
        <v>7388</v>
      </c>
      <c r="B1213" s="28" t="s">
        <v>6280</v>
      </c>
      <c r="C1213" s="29" t="s">
        <v>7389</v>
      </c>
      <c r="D1213" s="30" t="s">
        <v>7390</v>
      </c>
      <c r="E1213" s="29" t="s">
        <v>47</v>
      </c>
      <c r="F1213" s="31">
        <v>100</v>
      </c>
      <c r="G1213" s="14" t="s">
        <v>119</v>
      </c>
      <c r="H1213" s="29" t="s">
        <v>330</v>
      </c>
      <c r="I1213" s="32" t="s">
        <v>7391</v>
      </c>
      <c r="J1213" s="28" t="s">
        <v>7392</v>
      </c>
      <c r="K1213" s="29" t="s">
        <v>7393</v>
      </c>
      <c r="L1213" s="27" t="s">
        <v>481</v>
      </c>
      <c r="M1213" s="28" t="s">
        <v>482</v>
      </c>
      <c r="N1213" s="39" t="s">
        <v>179</v>
      </c>
      <c r="O1213" s="34" t="s">
        <v>869</v>
      </c>
      <c r="P1213" s="34" t="s">
        <v>870</v>
      </c>
      <c r="Q1213" s="35" t="s">
        <v>78</v>
      </c>
      <c r="R1213" s="35" t="s">
        <v>79</v>
      </c>
      <c r="S1213" s="35" t="s">
        <v>61</v>
      </c>
      <c r="T1213" s="35" t="s">
        <v>62</v>
      </c>
      <c r="U1213" s="36" t="s">
        <v>80</v>
      </c>
    </row>
    <row r="1214" spans="1:21" ht="15.75" customHeight="1" x14ac:dyDescent="0.25">
      <c r="A1214" s="9" t="s">
        <v>7394</v>
      </c>
      <c r="B1214" s="10" t="s">
        <v>7395</v>
      </c>
      <c r="C1214" s="11" t="s">
        <v>7396</v>
      </c>
      <c r="D1214" s="21" t="s">
        <v>109</v>
      </c>
      <c r="E1214" s="11" t="s">
        <v>98</v>
      </c>
      <c r="F1214" s="11"/>
      <c r="G1214" s="14" t="s">
        <v>119</v>
      </c>
      <c r="H1214" s="11" t="s">
        <v>120</v>
      </c>
      <c r="I1214" s="15" t="s">
        <v>7397</v>
      </c>
      <c r="J1214" s="10" t="s">
        <v>7398</v>
      </c>
      <c r="K1214" s="11" t="s">
        <v>7399</v>
      </c>
      <c r="L1214" s="9" t="s">
        <v>1203</v>
      </c>
      <c r="M1214" s="10" t="s">
        <v>1204</v>
      </c>
      <c r="N1214" s="22"/>
      <c r="O1214" s="17"/>
      <c r="P1214" s="17"/>
      <c r="Q1214" s="18" t="s">
        <v>78</v>
      </c>
      <c r="R1214" s="18" t="s">
        <v>79</v>
      </c>
      <c r="S1214" s="18" t="s">
        <v>61</v>
      </c>
      <c r="T1214" s="18" t="s">
        <v>62</v>
      </c>
      <c r="U1214" s="19" t="s">
        <v>80</v>
      </c>
    </row>
    <row r="1215" spans="1:21" ht="15.75" customHeight="1" x14ac:dyDescent="0.25">
      <c r="A1215" s="27" t="s">
        <v>7400</v>
      </c>
      <c r="B1215" s="28" t="s">
        <v>7401</v>
      </c>
      <c r="C1215" s="29" t="s">
        <v>7402</v>
      </c>
      <c r="D1215" s="30" t="s">
        <v>7403</v>
      </c>
      <c r="E1215" s="29" t="s">
        <v>67</v>
      </c>
      <c r="F1215" s="31">
        <v>-23</v>
      </c>
      <c r="G1215" s="20" t="s">
        <v>85</v>
      </c>
      <c r="H1215" s="29" t="s">
        <v>421</v>
      </c>
      <c r="I1215" s="32" t="s">
        <v>7404</v>
      </c>
      <c r="J1215" s="28" t="s">
        <v>7405</v>
      </c>
      <c r="K1215" s="29"/>
      <c r="L1215" s="27"/>
      <c r="M1215" s="28"/>
      <c r="N1215" s="33" t="s">
        <v>75</v>
      </c>
      <c r="O1215" s="34" t="s">
        <v>180</v>
      </c>
      <c r="P1215" s="34" t="s">
        <v>181</v>
      </c>
      <c r="Q1215" s="35" t="s">
        <v>78</v>
      </c>
      <c r="R1215" s="35" t="s">
        <v>79</v>
      </c>
      <c r="S1215" s="35" t="s">
        <v>61</v>
      </c>
      <c r="T1215" s="35" t="s">
        <v>62</v>
      </c>
      <c r="U1215" s="36" t="s">
        <v>80</v>
      </c>
    </row>
    <row r="1216" spans="1:21" ht="15.75" customHeight="1" x14ac:dyDescent="0.25">
      <c r="A1216" s="9" t="s">
        <v>7406</v>
      </c>
      <c r="B1216" s="10" t="s">
        <v>7407</v>
      </c>
      <c r="C1216" s="11" t="s">
        <v>7408</v>
      </c>
      <c r="D1216" s="12" t="s">
        <v>7409</v>
      </c>
      <c r="E1216" s="11" t="s">
        <v>47</v>
      </c>
      <c r="F1216" s="13">
        <v>31.3</v>
      </c>
      <c r="G1216" s="20" t="s">
        <v>85</v>
      </c>
      <c r="H1216" s="11" t="s">
        <v>69</v>
      </c>
      <c r="I1216" s="15" t="s">
        <v>7410</v>
      </c>
      <c r="J1216" s="10" t="s">
        <v>7407</v>
      </c>
      <c r="K1216" s="11" t="s">
        <v>7411</v>
      </c>
      <c r="L1216" s="9" t="s">
        <v>158</v>
      </c>
      <c r="M1216" s="10" t="s">
        <v>159</v>
      </c>
      <c r="N1216" s="16" t="s">
        <v>75</v>
      </c>
      <c r="O1216" s="17" t="s">
        <v>492</v>
      </c>
      <c r="P1216" s="17" t="s">
        <v>493</v>
      </c>
      <c r="Q1216" s="18" t="s">
        <v>78</v>
      </c>
      <c r="R1216" s="18" t="s">
        <v>79</v>
      </c>
      <c r="S1216" s="18" t="s">
        <v>61</v>
      </c>
      <c r="T1216" s="18" t="s">
        <v>62</v>
      </c>
      <c r="U1216" s="19" t="s">
        <v>80</v>
      </c>
    </row>
    <row r="1217" spans="1:21" ht="15.75" customHeight="1" x14ac:dyDescent="0.25">
      <c r="A1217" s="27" t="s">
        <v>7412</v>
      </c>
      <c r="B1217" s="28" t="s">
        <v>7413</v>
      </c>
      <c r="C1217" s="29" t="s">
        <v>7414</v>
      </c>
      <c r="D1217" s="30" t="s">
        <v>7415</v>
      </c>
      <c r="E1217" s="29" t="s">
        <v>98</v>
      </c>
      <c r="F1217" s="29"/>
      <c r="G1217" s="24" t="s">
        <v>119</v>
      </c>
      <c r="H1217" s="29" t="s">
        <v>100</v>
      </c>
      <c r="I1217" s="32" t="s">
        <v>7416</v>
      </c>
      <c r="J1217" s="28" t="s">
        <v>7417</v>
      </c>
      <c r="K1217" s="29"/>
      <c r="L1217" s="27"/>
      <c r="M1217" s="28"/>
      <c r="N1217" s="38"/>
      <c r="O1217" s="34" t="s">
        <v>869</v>
      </c>
      <c r="P1217" s="34" t="s">
        <v>870</v>
      </c>
      <c r="Q1217" s="35" t="s">
        <v>78</v>
      </c>
      <c r="R1217" s="35" t="s">
        <v>79</v>
      </c>
      <c r="S1217" s="35" t="s">
        <v>61</v>
      </c>
      <c r="T1217" s="35" t="s">
        <v>62</v>
      </c>
      <c r="U1217" s="36" t="s">
        <v>80</v>
      </c>
    </row>
    <row r="1218" spans="1:21" ht="15.75" customHeight="1" x14ac:dyDescent="0.25">
      <c r="A1218" s="9" t="s">
        <v>7418</v>
      </c>
      <c r="B1218" s="10" t="s">
        <v>7419</v>
      </c>
      <c r="C1218" s="11" t="s">
        <v>7420</v>
      </c>
      <c r="D1218" s="12" t="s">
        <v>7421</v>
      </c>
      <c r="E1218" s="11" t="s">
        <v>47</v>
      </c>
      <c r="F1218" s="13">
        <v>68</v>
      </c>
      <c r="G1218" s="20" t="s">
        <v>119</v>
      </c>
      <c r="H1218" s="11" t="s">
        <v>48</v>
      </c>
      <c r="I1218" s="15" t="s">
        <v>543</v>
      </c>
      <c r="J1218" s="10" t="s">
        <v>7422</v>
      </c>
      <c r="K1218" s="11" t="s">
        <v>7423</v>
      </c>
      <c r="L1218" s="9" t="s">
        <v>158</v>
      </c>
      <c r="M1218" s="10" t="s">
        <v>159</v>
      </c>
      <c r="N1218" s="16" t="s">
        <v>75</v>
      </c>
      <c r="O1218" s="17" t="s">
        <v>770</v>
      </c>
      <c r="P1218" s="17" t="s">
        <v>771</v>
      </c>
      <c r="Q1218" s="18" t="s">
        <v>78</v>
      </c>
      <c r="R1218" s="18" t="s">
        <v>79</v>
      </c>
      <c r="S1218" s="18" t="s">
        <v>61</v>
      </c>
      <c r="T1218" s="18" t="s">
        <v>62</v>
      </c>
      <c r="U1218" s="19" t="s">
        <v>80</v>
      </c>
    </row>
    <row r="1219" spans="1:21" ht="15.75" customHeight="1" x14ac:dyDescent="0.25">
      <c r="A1219" s="27" t="s">
        <v>7424</v>
      </c>
      <c r="B1219" s="28" t="s">
        <v>7425</v>
      </c>
      <c r="C1219" s="29" t="s">
        <v>7426</v>
      </c>
      <c r="D1219" s="30" t="s">
        <v>655</v>
      </c>
      <c r="E1219" s="29" t="s">
        <v>98</v>
      </c>
      <c r="F1219" s="31">
        <v>265.5</v>
      </c>
      <c r="G1219" s="24" t="s">
        <v>110</v>
      </c>
      <c r="H1219" s="29" t="s">
        <v>129</v>
      </c>
      <c r="I1219" s="32" t="s">
        <v>7427</v>
      </c>
      <c r="J1219" s="28" t="s">
        <v>7428</v>
      </c>
      <c r="K1219" s="29"/>
      <c r="L1219" s="27"/>
      <c r="M1219" s="28"/>
      <c r="N1219" s="39" t="s">
        <v>179</v>
      </c>
      <c r="O1219" s="34"/>
      <c r="P1219" s="34"/>
      <c r="Q1219" s="35" t="s">
        <v>78</v>
      </c>
      <c r="R1219" s="35" t="s">
        <v>79</v>
      </c>
      <c r="S1219" s="35" t="s">
        <v>61</v>
      </c>
      <c r="T1219" s="35" t="s">
        <v>62</v>
      </c>
      <c r="U1219" s="36" t="s">
        <v>80</v>
      </c>
    </row>
    <row r="1220" spans="1:21" ht="15.75" customHeight="1" x14ac:dyDescent="0.25">
      <c r="A1220" s="9" t="s">
        <v>7429</v>
      </c>
      <c r="B1220" s="10" t="s">
        <v>7430</v>
      </c>
      <c r="C1220" s="11" t="s">
        <v>7431</v>
      </c>
      <c r="D1220" s="12" t="s">
        <v>7432</v>
      </c>
      <c r="E1220" s="11" t="s">
        <v>47</v>
      </c>
      <c r="F1220" s="13">
        <v>36</v>
      </c>
      <c r="G1220" s="20" t="s">
        <v>119</v>
      </c>
      <c r="H1220" s="11" t="s">
        <v>69</v>
      </c>
      <c r="I1220" s="15" t="s">
        <v>3408</v>
      </c>
      <c r="J1220" s="10" t="s">
        <v>7433</v>
      </c>
      <c r="K1220" s="11" t="s">
        <v>7434</v>
      </c>
      <c r="L1220" s="9" t="s">
        <v>158</v>
      </c>
      <c r="M1220" s="10" t="s">
        <v>159</v>
      </c>
      <c r="N1220" s="16" t="s">
        <v>75</v>
      </c>
      <c r="O1220" s="17" t="s">
        <v>382</v>
      </c>
      <c r="P1220" s="17" t="s">
        <v>383</v>
      </c>
      <c r="Q1220" s="18" t="s">
        <v>78</v>
      </c>
      <c r="R1220" s="18" t="s">
        <v>79</v>
      </c>
      <c r="S1220" s="18" t="s">
        <v>61</v>
      </c>
      <c r="T1220" s="18" t="s">
        <v>62</v>
      </c>
      <c r="U1220" s="19" t="s">
        <v>80</v>
      </c>
    </row>
    <row r="1221" spans="1:21" ht="15.75" customHeight="1" x14ac:dyDescent="0.25">
      <c r="A1221" s="27" t="s">
        <v>7435</v>
      </c>
      <c r="B1221" s="28" t="s">
        <v>7436</v>
      </c>
      <c r="C1221" s="29" t="s">
        <v>7437</v>
      </c>
      <c r="D1221" s="30" t="s">
        <v>7438</v>
      </c>
      <c r="E1221" s="29" t="s">
        <v>47</v>
      </c>
      <c r="F1221" s="31">
        <v>60</v>
      </c>
      <c r="G1221" s="20" t="s">
        <v>119</v>
      </c>
      <c r="H1221" s="29" t="s">
        <v>48</v>
      </c>
      <c r="I1221" s="32" t="s">
        <v>3267</v>
      </c>
      <c r="J1221" s="28" t="s">
        <v>7439</v>
      </c>
      <c r="K1221" s="29" t="s">
        <v>1937</v>
      </c>
      <c r="L1221" s="27" t="s">
        <v>158</v>
      </c>
      <c r="M1221" s="28" t="s">
        <v>159</v>
      </c>
      <c r="N1221" s="33" t="s">
        <v>75</v>
      </c>
      <c r="O1221" s="34" t="s">
        <v>650</v>
      </c>
      <c r="P1221" s="34" t="s">
        <v>651</v>
      </c>
      <c r="Q1221" s="35" t="s">
        <v>78</v>
      </c>
      <c r="R1221" s="35" t="s">
        <v>79</v>
      </c>
      <c r="S1221" s="35" t="s">
        <v>61</v>
      </c>
      <c r="T1221" s="35" t="s">
        <v>62</v>
      </c>
      <c r="U1221" s="36" t="s">
        <v>80</v>
      </c>
    </row>
    <row r="1222" spans="1:21" ht="15.75" customHeight="1" x14ac:dyDescent="0.25">
      <c r="A1222" s="9" t="s">
        <v>7440</v>
      </c>
      <c r="B1222" s="10" t="s">
        <v>7441</v>
      </c>
      <c r="C1222" s="11" t="s">
        <v>7442</v>
      </c>
      <c r="D1222" s="12" t="s">
        <v>7438</v>
      </c>
      <c r="E1222" s="11" t="s">
        <v>47</v>
      </c>
      <c r="F1222" s="13">
        <v>63.3</v>
      </c>
      <c r="G1222" s="20" t="s">
        <v>119</v>
      </c>
      <c r="H1222" s="11" t="s">
        <v>48</v>
      </c>
      <c r="I1222" s="15" t="s">
        <v>7302</v>
      </c>
      <c r="J1222" s="10" t="s">
        <v>7443</v>
      </c>
      <c r="K1222" s="11" t="s">
        <v>1937</v>
      </c>
      <c r="L1222" s="9" t="s">
        <v>158</v>
      </c>
      <c r="M1222" s="10" t="s">
        <v>159</v>
      </c>
      <c r="N1222" s="16" t="s">
        <v>75</v>
      </c>
      <c r="O1222" s="17" t="s">
        <v>650</v>
      </c>
      <c r="P1222" s="17" t="s">
        <v>651</v>
      </c>
      <c r="Q1222" s="18" t="s">
        <v>78</v>
      </c>
      <c r="R1222" s="18" t="s">
        <v>79</v>
      </c>
      <c r="S1222" s="18" t="s">
        <v>61</v>
      </c>
      <c r="T1222" s="18" t="s">
        <v>62</v>
      </c>
      <c r="U1222" s="19" t="s">
        <v>80</v>
      </c>
    </row>
    <row r="1223" spans="1:21" ht="15.75" customHeight="1" x14ac:dyDescent="0.25">
      <c r="A1223" s="27" t="s">
        <v>7444</v>
      </c>
      <c r="B1223" s="28" t="s">
        <v>7445</v>
      </c>
      <c r="C1223" s="29" t="s">
        <v>7446</v>
      </c>
      <c r="D1223" s="30" t="s">
        <v>7447</v>
      </c>
      <c r="E1223" s="29" t="s">
        <v>98</v>
      </c>
      <c r="F1223" s="31">
        <v>1.72</v>
      </c>
      <c r="G1223" s="20" t="s">
        <v>85</v>
      </c>
      <c r="H1223" s="29" t="s">
        <v>69</v>
      </c>
      <c r="I1223" s="32" t="s">
        <v>6323</v>
      </c>
      <c r="J1223" s="28" t="s">
        <v>7448</v>
      </c>
      <c r="K1223" s="29" t="s">
        <v>332</v>
      </c>
      <c r="L1223" s="27" t="s">
        <v>90</v>
      </c>
      <c r="M1223" s="28" t="s">
        <v>91</v>
      </c>
      <c r="N1223" s="33" t="s">
        <v>75</v>
      </c>
      <c r="O1223" s="34" t="s">
        <v>355</v>
      </c>
      <c r="P1223" s="34" t="s">
        <v>356</v>
      </c>
      <c r="Q1223" s="35" t="s">
        <v>78</v>
      </c>
      <c r="R1223" s="35" t="s">
        <v>79</v>
      </c>
      <c r="S1223" s="35" t="s">
        <v>61</v>
      </c>
      <c r="T1223" s="35" t="s">
        <v>62</v>
      </c>
      <c r="U1223" s="36" t="s">
        <v>80</v>
      </c>
    </row>
    <row r="1224" spans="1:21" ht="15.75" customHeight="1" x14ac:dyDescent="0.25">
      <c r="A1224" s="9" t="s">
        <v>7449</v>
      </c>
      <c r="B1224" s="10" t="s">
        <v>7450</v>
      </c>
      <c r="C1224" s="11" t="s">
        <v>7451</v>
      </c>
      <c r="D1224" s="21" t="s">
        <v>109</v>
      </c>
      <c r="E1224" s="11" t="s">
        <v>98</v>
      </c>
      <c r="F1224" s="11"/>
      <c r="G1224" s="24" t="s">
        <v>85</v>
      </c>
      <c r="H1224" s="11" t="s">
        <v>100</v>
      </c>
      <c r="I1224" s="15" t="s">
        <v>3469</v>
      </c>
      <c r="J1224" s="10" t="s">
        <v>7452</v>
      </c>
      <c r="K1224" s="11"/>
      <c r="L1224" s="9"/>
      <c r="M1224" s="10"/>
      <c r="N1224" s="22"/>
      <c r="O1224" s="17"/>
      <c r="P1224" s="17"/>
      <c r="Q1224" s="18" t="s">
        <v>78</v>
      </c>
      <c r="R1224" s="18" t="s">
        <v>79</v>
      </c>
      <c r="S1224" s="18" t="s">
        <v>61</v>
      </c>
      <c r="T1224" s="18" t="s">
        <v>62</v>
      </c>
      <c r="U1224" s="19" t="s">
        <v>80</v>
      </c>
    </row>
    <row r="1225" spans="1:21" ht="15.75" customHeight="1" x14ac:dyDescent="0.25">
      <c r="A1225" s="27" t="s">
        <v>7453</v>
      </c>
      <c r="B1225" s="28" t="s">
        <v>7454</v>
      </c>
      <c r="C1225" s="29" t="s">
        <v>7455</v>
      </c>
      <c r="D1225" s="30" t="s">
        <v>7456</v>
      </c>
      <c r="E1225" s="29" t="s">
        <v>98</v>
      </c>
      <c r="F1225" s="31">
        <v>1.68</v>
      </c>
      <c r="G1225" s="26" t="s">
        <v>68</v>
      </c>
      <c r="H1225" s="29" t="s">
        <v>69</v>
      </c>
      <c r="I1225" s="32" t="s">
        <v>7457</v>
      </c>
      <c r="J1225" s="28" t="s">
        <v>7458</v>
      </c>
      <c r="K1225" s="29" t="s">
        <v>332</v>
      </c>
      <c r="L1225" s="27" t="s">
        <v>197</v>
      </c>
      <c r="M1225" s="28" t="s">
        <v>198</v>
      </c>
      <c r="N1225" s="39" t="s">
        <v>179</v>
      </c>
      <c r="O1225" s="34" t="s">
        <v>1448</v>
      </c>
      <c r="P1225" s="34" t="s">
        <v>1449</v>
      </c>
      <c r="Q1225" s="35" t="s">
        <v>78</v>
      </c>
      <c r="R1225" s="35" t="s">
        <v>79</v>
      </c>
      <c r="S1225" s="35" t="s">
        <v>61</v>
      </c>
      <c r="T1225" s="35" t="s">
        <v>62</v>
      </c>
      <c r="U1225" s="36" t="s">
        <v>80</v>
      </c>
    </row>
    <row r="1226" spans="1:21" ht="15.75" customHeight="1" x14ac:dyDescent="0.25">
      <c r="A1226" s="9" t="s">
        <v>7459</v>
      </c>
      <c r="B1226" s="10" t="s">
        <v>7460</v>
      </c>
      <c r="C1226" s="11" t="s">
        <v>7461</v>
      </c>
      <c r="D1226" s="12" t="s">
        <v>7462</v>
      </c>
      <c r="E1226" s="11" t="s">
        <v>98</v>
      </c>
      <c r="F1226" s="13">
        <v>1.4</v>
      </c>
      <c r="G1226" s="20" t="s">
        <v>85</v>
      </c>
      <c r="H1226" s="11" t="s">
        <v>69</v>
      </c>
      <c r="I1226" s="15" t="s">
        <v>7463</v>
      </c>
      <c r="J1226" s="10" t="s">
        <v>7464</v>
      </c>
      <c r="K1226" s="11" t="s">
        <v>2809</v>
      </c>
      <c r="L1226" s="9" t="s">
        <v>90</v>
      </c>
      <c r="M1226" s="10" t="s">
        <v>91</v>
      </c>
      <c r="N1226" s="16" t="s">
        <v>75</v>
      </c>
      <c r="O1226" s="17" t="s">
        <v>124</v>
      </c>
      <c r="P1226" s="17" t="s">
        <v>125</v>
      </c>
      <c r="Q1226" s="18" t="s">
        <v>78</v>
      </c>
      <c r="R1226" s="18" t="s">
        <v>79</v>
      </c>
      <c r="S1226" s="18" t="s">
        <v>61</v>
      </c>
      <c r="T1226" s="18" t="s">
        <v>62</v>
      </c>
      <c r="U1226" s="19" t="s">
        <v>80</v>
      </c>
    </row>
    <row r="1227" spans="1:21" ht="15.75" customHeight="1" x14ac:dyDescent="0.25">
      <c r="A1227" s="27" t="s">
        <v>7465</v>
      </c>
      <c r="B1227" s="28" t="s">
        <v>7466</v>
      </c>
      <c r="C1227" s="29" t="s">
        <v>7467</v>
      </c>
      <c r="D1227" s="37" t="s">
        <v>109</v>
      </c>
      <c r="E1227" s="29" t="s">
        <v>1264</v>
      </c>
      <c r="F1227" s="29"/>
      <c r="G1227" s="24" t="s">
        <v>85</v>
      </c>
      <c r="H1227" s="29" t="s">
        <v>100</v>
      </c>
      <c r="I1227" s="32" t="s">
        <v>2439</v>
      </c>
      <c r="J1227" s="28" t="s">
        <v>7468</v>
      </c>
      <c r="K1227" s="29"/>
      <c r="L1227" s="27"/>
      <c r="M1227" s="28"/>
      <c r="N1227" s="38"/>
      <c r="O1227" s="34"/>
      <c r="P1227" s="34"/>
      <c r="Q1227" s="35" t="s">
        <v>78</v>
      </c>
      <c r="R1227" s="35" t="s">
        <v>79</v>
      </c>
      <c r="S1227" s="35" t="s">
        <v>61</v>
      </c>
      <c r="T1227" s="35" t="s">
        <v>62</v>
      </c>
      <c r="U1227" s="36" t="s">
        <v>80</v>
      </c>
    </row>
    <row r="1228" spans="1:21" ht="15.75" customHeight="1" x14ac:dyDescent="0.25">
      <c r="A1228" s="9" t="s">
        <v>7469</v>
      </c>
      <c r="B1228" s="10" t="s">
        <v>7470</v>
      </c>
      <c r="C1228" s="11" t="s">
        <v>7471</v>
      </c>
      <c r="D1228" s="12" t="s">
        <v>1476</v>
      </c>
      <c r="E1228" s="11" t="s">
        <v>1264</v>
      </c>
      <c r="F1228" s="13">
        <v>318</v>
      </c>
      <c r="G1228" s="26" t="s">
        <v>68</v>
      </c>
      <c r="H1228" s="11" t="s">
        <v>129</v>
      </c>
      <c r="I1228" s="15" t="s">
        <v>7472</v>
      </c>
      <c r="J1228" s="10" t="s">
        <v>7473</v>
      </c>
      <c r="K1228" s="11" t="s">
        <v>332</v>
      </c>
      <c r="L1228" s="9" t="s">
        <v>197</v>
      </c>
      <c r="M1228" s="10" t="s">
        <v>198</v>
      </c>
      <c r="N1228" s="23" t="s">
        <v>179</v>
      </c>
      <c r="O1228" s="17" t="s">
        <v>1448</v>
      </c>
      <c r="P1228" s="17" t="s">
        <v>1449</v>
      </c>
      <c r="Q1228" s="18" t="s">
        <v>78</v>
      </c>
      <c r="R1228" s="18" t="s">
        <v>79</v>
      </c>
      <c r="S1228" s="18" t="s">
        <v>61</v>
      </c>
      <c r="T1228" s="18" t="s">
        <v>62</v>
      </c>
      <c r="U1228" s="19" t="s">
        <v>80</v>
      </c>
    </row>
    <row r="1229" spans="1:21" ht="15.75" customHeight="1" x14ac:dyDescent="0.25">
      <c r="A1229" s="27" t="s">
        <v>7474</v>
      </c>
      <c r="B1229" s="28" t="s">
        <v>7475</v>
      </c>
      <c r="C1229" s="29" t="s">
        <v>7476</v>
      </c>
      <c r="D1229" s="30" t="s">
        <v>7477</v>
      </c>
      <c r="E1229" s="29" t="s">
        <v>47</v>
      </c>
      <c r="F1229" s="31">
        <v>260</v>
      </c>
      <c r="G1229" s="14" t="s">
        <v>119</v>
      </c>
      <c r="H1229" s="29" t="s">
        <v>129</v>
      </c>
      <c r="I1229" s="32" t="s">
        <v>7478</v>
      </c>
      <c r="J1229" s="28" t="s">
        <v>7479</v>
      </c>
      <c r="K1229" s="29"/>
      <c r="L1229" s="27"/>
      <c r="M1229" s="28"/>
      <c r="N1229" s="39" t="s">
        <v>179</v>
      </c>
      <c r="O1229" s="34" t="s">
        <v>869</v>
      </c>
      <c r="P1229" s="34" t="s">
        <v>870</v>
      </c>
      <c r="Q1229" s="35" t="s">
        <v>78</v>
      </c>
      <c r="R1229" s="35" t="s">
        <v>79</v>
      </c>
      <c r="S1229" s="35" t="s">
        <v>61</v>
      </c>
      <c r="T1229" s="35" t="s">
        <v>62</v>
      </c>
      <c r="U1229" s="36" t="s">
        <v>80</v>
      </c>
    </row>
    <row r="1230" spans="1:21" ht="15.75" customHeight="1" x14ac:dyDescent="0.25">
      <c r="A1230" s="9" t="s">
        <v>7480</v>
      </c>
      <c r="B1230" s="10" t="s">
        <v>7481</v>
      </c>
      <c r="C1230" s="11" t="s">
        <v>7482</v>
      </c>
      <c r="D1230" s="12" t="s">
        <v>7483</v>
      </c>
      <c r="E1230" s="11" t="s">
        <v>98</v>
      </c>
      <c r="F1230" s="11"/>
      <c r="G1230" s="26" t="s">
        <v>119</v>
      </c>
      <c r="H1230" s="11" t="s">
        <v>100</v>
      </c>
      <c r="I1230" s="15" t="s">
        <v>7484</v>
      </c>
      <c r="J1230" s="10" t="s">
        <v>7485</v>
      </c>
      <c r="K1230" s="11" t="s">
        <v>332</v>
      </c>
      <c r="L1230" s="9" t="s">
        <v>197</v>
      </c>
      <c r="M1230" s="10" t="s">
        <v>198</v>
      </c>
      <c r="N1230" s="23" t="s">
        <v>179</v>
      </c>
      <c r="O1230" s="17" t="s">
        <v>934</v>
      </c>
      <c r="P1230" s="17" t="s">
        <v>935</v>
      </c>
      <c r="Q1230" s="18" t="s">
        <v>78</v>
      </c>
      <c r="R1230" s="18" t="s">
        <v>79</v>
      </c>
      <c r="S1230" s="18" t="s">
        <v>61</v>
      </c>
      <c r="T1230" s="18" t="s">
        <v>62</v>
      </c>
      <c r="U1230" s="19" t="s">
        <v>80</v>
      </c>
    </row>
    <row r="1231" spans="1:21" ht="15.75" customHeight="1" x14ac:dyDescent="0.25">
      <c r="A1231" s="27" t="s">
        <v>7486</v>
      </c>
      <c r="B1231" s="28" t="s">
        <v>7487</v>
      </c>
      <c r="C1231" s="29" t="s">
        <v>7488</v>
      </c>
      <c r="D1231" s="37" t="s">
        <v>109</v>
      </c>
      <c r="E1231" s="29" t="s">
        <v>47</v>
      </c>
      <c r="F1231" s="31">
        <v>66</v>
      </c>
      <c r="G1231" s="24" t="s">
        <v>85</v>
      </c>
      <c r="H1231" s="29" t="s">
        <v>48</v>
      </c>
      <c r="I1231" s="32" t="s">
        <v>7489</v>
      </c>
      <c r="J1231" s="28" t="s">
        <v>7490</v>
      </c>
      <c r="K1231" s="29"/>
      <c r="L1231" s="27"/>
      <c r="M1231" s="28"/>
      <c r="N1231" s="38"/>
      <c r="O1231" s="34"/>
      <c r="P1231" s="34"/>
      <c r="Q1231" s="35" t="s">
        <v>78</v>
      </c>
      <c r="R1231" s="35" t="s">
        <v>79</v>
      </c>
      <c r="S1231" s="35" t="s">
        <v>61</v>
      </c>
      <c r="T1231" s="35" t="s">
        <v>62</v>
      </c>
      <c r="U1231" s="36" t="s">
        <v>80</v>
      </c>
    </row>
    <row r="1232" spans="1:21" ht="15.75" customHeight="1" x14ac:dyDescent="0.25">
      <c r="A1232" s="9" t="s">
        <v>7491</v>
      </c>
      <c r="B1232" s="10" t="s">
        <v>7492</v>
      </c>
      <c r="C1232" s="11" t="s">
        <v>7493</v>
      </c>
      <c r="D1232" s="21" t="s">
        <v>109</v>
      </c>
      <c r="E1232" s="11" t="s">
        <v>98</v>
      </c>
      <c r="F1232" s="11"/>
      <c r="G1232" s="24" t="s">
        <v>85</v>
      </c>
      <c r="H1232" s="11" t="s">
        <v>100</v>
      </c>
      <c r="I1232" s="15" t="s">
        <v>7494</v>
      </c>
      <c r="J1232" s="10" t="s">
        <v>7495</v>
      </c>
      <c r="K1232" s="11"/>
      <c r="L1232" s="9"/>
      <c r="M1232" s="10"/>
      <c r="N1232" s="22"/>
      <c r="O1232" s="17"/>
      <c r="P1232" s="17"/>
      <c r="Q1232" s="18" t="s">
        <v>78</v>
      </c>
      <c r="R1232" s="18" t="s">
        <v>79</v>
      </c>
      <c r="S1232" s="18" t="s">
        <v>61</v>
      </c>
      <c r="T1232" s="18" t="s">
        <v>62</v>
      </c>
      <c r="U1232" s="19" t="s">
        <v>80</v>
      </c>
    </row>
    <row r="1233" spans="1:21" ht="15.75" customHeight="1" x14ac:dyDescent="0.25">
      <c r="A1233" s="27" t="s">
        <v>7496</v>
      </c>
      <c r="B1233" s="28" t="s">
        <v>7497</v>
      </c>
      <c r="C1233" s="29" t="s">
        <v>7498</v>
      </c>
      <c r="D1233" s="37" t="s">
        <v>109</v>
      </c>
      <c r="E1233" s="29" t="s">
        <v>1264</v>
      </c>
      <c r="F1233" s="29" t="s">
        <v>7499</v>
      </c>
      <c r="G1233" s="24" t="s">
        <v>85</v>
      </c>
      <c r="H1233" s="29" t="s">
        <v>100</v>
      </c>
      <c r="I1233" s="32" t="s">
        <v>3579</v>
      </c>
      <c r="J1233" s="28" t="s">
        <v>7500</v>
      </c>
      <c r="K1233" s="29"/>
      <c r="L1233" s="27"/>
      <c r="M1233" s="28"/>
      <c r="N1233" s="38"/>
      <c r="O1233" s="34"/>
      <c r="P1233" s="34"/>
      <c r="Q1233" s="35" t="s">
        <v>78</v>
      </c>
      <c r="R1233" s="35" t="s">
        <v>79</v>
      </c>
      <c r="S1233" s="35" t="s">
        <v>61</v>
      </c>
      <c r="T1233" s="35" t="s">
        <v>62</v>
      </c>
      <c r="U1233" s="36" t="s">
        <v>80</v>
      </c>
    </row>
    <row r="1234" spans="1:21" ht="15.75" customHeight="1" x14ac:dyDescent="0.25">
      <c r="A1234" s="9" t="s">
        <v>7501</v>
      </c>
      <c r="B1234" s="10" t="s">
        <v>7502</v>
      </c>
      <c r="C1234" s="11" t="s">
        <v>7503</v>
      </c>
      <c r="D1234" s="21" t="s">
        <v>109</v>
      </c>
      <c r="E1234" s="11" t="s">
        <v>47</v>
      </c>
      <c r="F1234" s="13">
        <v>245</v>
      </c>
      <c r="G1234" s="24" t="s">
        <v>85</v>
      </c>
      <c r="H1234" s="11" t="s">
        <v>129</v>
      </c>
      <c r="I1234" s="15" t="s">
        <v>3561</v>
      </c>
      <c r="J1234" s="10" t="s">
        <v>7504</v>
      </c>
      <c r="K1234" s="11"/>
      <c r="L1234" s="9"/>
      <c r="M1234" s="10"/>
      <c r="N1234" s="22"/>
      <c r="O1234" s="17"/>
      <c r="P1234" s="17"/>
      <c r="Q1234" s="18" t="s">
        <v>78</v>
      </c>
      <c r="R1234" s="18" t="s">
        <v>79</v>
      </c>
      <c r="S1234" s="18" t="s">
        <v>61</v>
      </c>
      <c r="T1234" s="18" t="s">
        <v>62</v>
      </c>
      <c r="U1234" s="19" t="s">
        <v>80</v>
      </c>
    </row>
    <row r="1235" spans="1:21" ht="15.75" customHeight="1" x14ac:dyDescent="0.25">
      <c r="A1235" s="27" t="s">
        <v>7505</v>
      </c>
      <c r="B1235" s="28" t="s">
        <v>7506</v>
      </c>
      <c r="C1235" s="29" t="s">
        <v>7507</v>
      </c>
      <c r="D1235" s="37" t="s">
        <v>109</v>
      </c>
      <c r="E1235" s="29" t="s">
        <v>98</v>
      </c>
      <c r="F1235" s="31">
        <v>241</v>
      </c>
      <c r="G1235" s="24" t="s">
        <v>85</v>
      </c>
      <c r="H1235" s="29" t="s">
        <v>129</v>
      </c>
      <c r="I1235" s="32" t="s">
        <v>5773</v>
      </c>
      <c r="J1235" s="28" t="s">
        <v>7508</v>
      </c>
      <c r="K1235" s="29"/>
      <c r="L1235" s="27"/>
      <c r="M1235" s="28"/>
      <c r="N1235" s="38"/>
      <c r="O1235" s="34"/>
      <c r="P1235" s="34"/>
      <c r="Q1235" s="35" t="s">
        <v>78</v>
      </c>
      <c r="R1235" s="35" t="s">
        <v>79</v>
      </c>
      <c r="S1235" s="35" t="s">
        <v>61</v>
      </c>
      <c r="T1235" s="35" t="s">
        <v>62</v>
      </c>
      <c r="U1235" s="36" t="s">
        <v>80</v>
      </c>
    </row>
    <row r="1236" spans="1:21" ht="15.75" customHeight="1" x14ac:dyDescent="0.25">
      <c r="A1236" s="9" t="s">
        <v>7509</v>
      </c>
      <c r="B1236" s="10" t="s">
        <v>7510</v>
      </c>
      <c r="C1236" s="11" t="s">
        <v>7511</v>
      </c>
      <c r="D1236" s="21" t="s">
        <v>109</v>
      </c>
      <c r="E1236" s="11" t="s">
        <v>98</v>
      </c>
      <c r="F1236" s="11"/>
      <c r="G1236" s="24" t="s">
        <v>85</v>
      </c>
      <c r="H1236" s="11" t="s">
        <v>100</v>
      </c>
      <c r="I1236" s="15" t="s">
        <v>5779</v>
      </c>
      <c r="J1236" s="10" t="s">
        <v>7512</v>
      </c>
      <c r="K1236" s="11"/>
      <c r="L1236" s="9"/>
      <c r="M1236" s="10"/>
      <c r="N1236" s="22"/>
      <c r="O1236" s="17"/>
      <c r="P1236" s="17"/>
      <c r="Q1236" s="18" t="s">
        <v>78</v>
      </c>
      <c r="R1236" s="18" t="s">
        <v>79</v>
      </c>
      <c r="S1236" s="18" t="s">
        <v>61</v>
      </c>
      <c r="T1236" s="18" t="s">
        <v>62</v>
      </c>
      <c r="U1236" s="19" t="s">
        <v>80</v>
      </c>
    </row>
    <row r="1237" spans="1:21" ht="15.75" customHeight="1" x14ac:dyDescent="0.25">
      <c r="A1237" s="27" t="s">
        <v>7513</v>
      </c>
      <c r="B1237" s="28" t="s">
        <v>7514</v>
      </c>
      <c r="C1237" s="29" t="s">
        <v>7515</v>
      </c>
      <c r="D1237" s="37" t="s">
        <v>109</v>
      </c>
      <c r="E1237" s="29" t="s">
        <v>47</v>
      </c>
      <c r="F1237" s="31">
        <v>135</v>
      </c>
      <c r="G1237" s="24" t="s">
        <v>85</v>
      </c>
      <c r="H1237" s="29" t="s">
        <v>330</v>
      </c>
      <c r="I1237" s="32" t="s">
        <v>7516</v>
      </c>
      <c r="J1237" s="28" t="s">
        <v>7517</v>
      </c>
      <c r="K1237" s="29"/>
      <c r="L1237" s="27"/>
      <c r="M1237" s="28"/>
      <c r="N1237" s="38"/>
      <c r="O1237" s="34"/>
      <c r="P1237" s="34"/>
      <c r="Q1237" s="35" t="s">
        <v>78</v>
      </c>
      <c r="R1237" s="35" t="s">
        <v>79</v>
      </c>
      <c r="S1237" s="35" t="s">
        <v>61</v>
      </c>
      <c r="T1237" s="35" t="s">
        <v>62</v>
      </c>
      <c r="U1237" s="36" t="s">
        <v>80</v>
      </c>
    </row>
    <row r="1238" spans="1:21" ht="15.75" customHeight="1" x14ac:dyDescent="0.25">
      <c r="A1238" s="9" t="s">
        <v>7518</v>
      </c>
      <c r="B1238" s="10" t="s">
        <v>7519</v>
      </c>
      <c r="C1238" s="11" t="s">
        <v>7520</v>
      </c>
      <c r="D1238" s="21" t="s">
        <v>109</v>
      </c>
      <c r="E1238" s="11" t="s">
        <v>98</v>
      </c>
      <c r="F1238" s="11"/>
      <c r="G1238" s="24" t="s">
        <v>85</v>
      </c>
      <c r="H1238" s="11" t="s">
        <v>100</v>
      </c>
      <c r="I1238" s="15" t="s">
        <v>2932</v>
      </c>
      <c r="J1238" s="10" t="s">
        <v>7521</v>
      </c>
      <c r="K1238" s="11"/>
      <c r="L1238" s="9"/>
      <c r="M1238" s="10"/>
      <c r="N1238" s="22"/>
      <c r="O1238" s="17"/>
      <c r="P1238" s="17"/>
      <c r="Q1238" s="18" t="s">
        <v>78</v>
      </c>
      <c r="R1238" s="18" t="s">
        <v>79</v>
      </c>
      <c r="S1238" s="18" t="s">
        <v>61</v>
      </c>
      <c r="T1238" s="18" t="s">
        <v>62</v>
      </c>
      <c r="U1238" s="19" t="s">
        <v>80</v>
      </c>
    </row>
    <row r="1239" spans="1:21" ht="15.75" customHeight="1" x14ac:dyDescent="0.25">
      <c r="A1239" s="27" t="s">
        <v>7522</v>
      </c>
      <c r="B1239" s="28" t="s">
        <v>7523</v>
      </c>
      <c r="C1239" s="29" t="s">
        <v>7524</v>
      </c>
      <c r="D1239" s="30" t="s">
        <v>2085</v>
      </c>
      <c r="E1239" s="29" t="s">
        <v>47</v>
      </c>
      <c r="F1239" s="31">
        <v>127</v>
      </c>
      <c r="G1239" s="14" t="s">
        <v>119</v>
      </c>
      <c r="H1239" s="29" t="s">
        <v>330</v>
      </c>
      <c r="I1239" s="32" t="s">
        <v>1389</v>
      </c>
      <c r="J1239" s="28" t="s">
        <v>7525</v>
      </c>
      <c r="K1239" s="29" t="s">
        <v>7526</v>
      </c>
      <c r="L1239" s="27" t="s">
        <v>90</v>
      </c>
      <c r="M1239" s="28" t="s">
        <v>91</v>
      </c>
      <c r="N1239" s="39" t="s">
        <v>179</v>
      </c>
      <c r="O1239" s="34" t="s">
        <v>712</v>
      </c>
      <c r="P1239" s="34" t="s">
        <v>713</v>
      </c>
      <c r="Q1239" s="35" t="s">
        <v>78</v>
      </c>
      <c r="R1239" s="35" t="s">
        <v>79</v>
      </c>
      <c r="S1239" s="35" t="s">
        <v>61</v>
      </c>
      <c r="T1239" s="35" t="s">
        <v>62</v>
      </c>
      <c r="U1239" s="36" t="s">
        <v>80</v>
      </c>
    </row>
    <row r="1240" spans="1:21" ht="15.75" customHeight="1" x14ac:dyDescent="0.25">
      <c r="A1240" s="9" t="s">
        <v>7527</v>
      </c>
      <c r="B1240" s="10" t="s">
        <v>7528</v>
      </c>
      <c r="C1240" s="11" t="s">
        <v>7529</v>
      </c>
      <c r="D1240" s="21" t="s">
        <v>109</v>
      </c>
      <c r="E1240" s="11" t="s">
        <v>67</v>
      </c>
      <c r="F1240" s="13">
        <v>-26</v>
      </c>
      <c r="G1240" s="24" t="s">
        <v>85</v>
      </c>
      <c r="H1240" s="11" t="s">
        <v>69</v>
      </c>
      <c r="I1240" s="15" t="s">
        <v>7530</v>
      </c>
      <c r="J1240" s="10" t="s">
        <v>7531</v>
      </c>
      <c r="K1240" s="11" t="s">
        <v>7532</v>
      </c>
      <c r="L1240" s="9" t="s">
        <v>248</v>
      </c>
      <c r="M1240" s="10" t="s">
        <v>249</v>
      </c>
      <c r="N1240" s="22"/>
      <c r="O1240" s="17"/>
      <c r="P1240" s="17"/>
      <c r="Q1240" s="18" t="s">
        <v>78</v>
      </c>
      <c r="R1240" s="18" t="s">
        <v>79</v>
      </c>
      <c r="S1240" s="18" t="s">
        <v>61</v>
      </c>
      <c r="T1240" s="18" t="s">
        <v>62</v>
      </c>
      <c r="U1240" s="19" t="s">
        <v>80</v>
      </c>
    </row>
    <row r="1241" spans="1:21" ht="15.75" customHeight="1" x14ac:dyDescent="0.25">
      <c r="A1241" s="27" t="s">
        <v>7533</v>
      </c>
      <c r="B1241" s="28" t="s">
        <v>7534</v>
      </c>
      <c r="C1241" s="29" t="s">
        <v>7535</v>
      </c>
      <c r="D1241" s="30" t="s">
        <v>7536</v>
      </c>
      <c r="E1241" s="29" t="s">
        <v>47</v>
      </c>
      <c r="F1241" s="31">
        <v>180</v>
      </c>
      <c r="G1241" s="20" t="s">
        <v>119</v>
      </c>
      <c r="H1241" s="29" t="s">
        <v>86</v>
      </c>
      <c r="I1241" s="32" t="s">
        <v>2209</v>
      </c>
      <c r="J1241" s="28" t="s">
        <v>7537</v>
      </c>
      <c r="K1241" s="29" t="s">
        <v>7538</v>
      </c>
      <c r="L1241" s="27" t="s">
        <v>90</v>
      </c>
      <c r="M1241" s="28" t="s">
        <v>91</v>
      </c>
      <c r="N1241" s="33" t="s">
        <v>75</v>
      </c>
      <c r="O1241" s="34" t="s">
        <v>124</v>
      </c>
      <c r="P1241" s="34" t="s">
        <v>125</v>
      </c>
      <c r="Q1241" s="35" t="s">
        <v>78</v>
      </c>
      <c r="R1241" s="35" t="s">
        <v>79</v>
      </c>
      <c r="S1241" s="35" t="s">
        <v>61</v>
      </c>
      <c r="T1241" s="35" t="s">
        <v>62</v>
      </c>
      <c r="U1241" s="36" t="s">
        <v>80</v>
      </c>
    </row>
    <row r="1242" spans="1:21" ht="15.75" customHeight="1" x14ac:dyDescent="0.25">
      <c r="A1242" s="9" t="s">
        <v>7539</v>
      </c>
      <c r="B1242" s="10" t="s">
        <v>7540</v>
      </c>
      <c r="C1242" s="11" t="s">
        <v>7541</v>
      </c>
      <c r="D1242" s="21" t="s">
        <v>109</v>
      </c>
      <c r="E1242" s="11" t="s">
        <v>98</v>
      </c>
      <c r="F1242" s="11"/>
      <c r="G1242" s="25" t="s">
        <v>110</v>
      </c>
      <c r="H1242" s="11" t="s">
        <v>100</v>
      </c>
      <c r="I1242" s="15" t="s">
        <v>7542</v>
      </c>
      <c r="J1242" s="10" t="s">
        <v>7543</v>
      </c>
      <c r="K1242" s="11" t="s">
        <v>7544</v>
      </c>
      <c r="L1242" s="9" t="s">
        <v>90</v>
      </c>
      <c r="M1242" s="10" t="s">
        <v>91</v>
      </c>
      <c r="N1242" s="22"/>
      <c r="O1242" s="17"/>
      <c r="P1242" s="17"/>
      <c r="Q1242" s="18" t="s">
        <v>78</v>
      </c>
      <c r="R1242" s="18" t="s">
        <v>79</v>
      </c>
      <c r="S1242" s="18" t="s">
        <v>61</v>
      </c>
      <c r="T1242" s="18" t="s">
        <v>62</v>
      </c>
      <c r="U1242" s="19" t="s">
        <v>80</v>
      </c>
    </row>
    <row r="1243" spans="1:21" ht="15.75" customHeight="1" x14ac:dyDescent="0.25">
      <c r="A1243" s="27" t="s">
        <v>7545</v>
      </c>
      <c r="B1243" s="28" t="s">
        <v>7546</v>
      </c>
      <c r="C1243" s="29" t="s">
        <v>7547</v>
      </c>
      <c r="D1243" s="37" t="s">
        <v>109</v>
      </c>
      <c r="E1243" s="29" t="s">
        <v>98</v>
      </c>
      <c r="F1243" s="29" t="s">
        <v>7548</v>
      </c>
      <c r="G1243" s="24" t="s">
        <v>85</v>
      </c>
      <c r="H1243" s="29" t="s">
        <v>100</v>
      </c>
      <c r="I1243" s="32" t="s">
        <v>7549</v>
      </c>
      <c r="J1243" s="28" t="s">
        <v>7550</v>
      </c>
      <c r="K1243" s="29"/>
      <c r="L1243" s="27"/>
      <c r="M1243" s="28"/>
      <c r="N1243" s="38"/>
      <c r="O1243" s="34"/>
      <c r="P1243" s="34"/>
      <c r="Q1243" s="35" t="s">
        <v>78</v>
      </c>
      <c r="R1243" s="35" t="s">
        <v>79</v>
      </c>
      <c r="S1243" s="35" t="s">
        <v>61</v>
      </c>
      <c r="T1243" s="35" t="s">
        <v>62</v>
      </c>
      <c r="U1243" s="36" t="s">
        <v>80</v>
      </c>
    </row>
    <row r="1244" spans="1:21" ht="15.75" customHeight="1" x14ac:dyDescent="0.25">
      <c r="A1244" s="9" t="s">
        <v>7551</v>
      </c>
      <c r="B1244" s="10" t="s">
        <v>7552</v>
      </c>
      <c r="C1244" s="11" t="s">
        <v>7553</v>
      </c>
      <c r="D1244" s="21" t="s">
        <v>109</v>
      </c>
      <c r="E1244" s="11" t="s">
        <v>98</v>
      </c>
      <c r="F1244" s="11"/>
      <c r="G1244" s="24" t="s">
        <v>85</v>
      </c>
      <c r="H1244" s="11" t="s">
        <v>100</v>
      </c>
      <c r="I1244" s="15" t="s">
        <v>7554</v>
      </c>
      <c r="J1244" s="10" t="s">
        <v>7555</v>
      </c>
      <c r="K1244" s="11"/>
      <c r="L1244" s="9"/>
      <c r="M1244" s="10"/>
      <c r="N1244" s="22"/>
      <c r="O1244" s="17"/>
      <c r="P1244" s="17"/>
      <c r="Q1244" s="18" t="s">
        <v>78</v>
      </c>
      <c r="R1244" s="18" t="s">
        <v>79</v>
      </c>
      <c r="S1244" s="18" t="s">
        <v>61</v>
      </c>
      <c r="T1244" s="18" t="s">
        <v>62</v>
      </c>
      <c r="U1244" s="19" t="s">
        <v>80</v>
      </c>
    </row>
    <row r="1245" spans="1:21" ht="15.75" customHeight="1" x14ac:dyDescent="0.25">
      <c r="A1245" s="27" t="s">
        <v>7556</v>
      </c>
      <c r="B1245" s="28" t="s">
        <v>7557</v>
      </c>
      <c r="C1245" s="29" t="s">
        <v>7558</v>
      </c>
      <c r="D1245" s="37" t="s">
        <v>109</v>
      </c>
      <c r="E1245" s="29" t="s">
        <v>47</v>
      </c>
      <c r="F1245" s="31">
        <v>96</v>
      </c>
      <c r="G1245" s="24" t="s">
        <v>85</v>
      </c>
      <c r="H1245" s="29" t="s">
        <v>48</v>
      </c>
      <c r="I1245" s="32" t="s">
        <v>7559</v>
      </c>
      <c r="J1245" s="28" t="s">
        <v>7560</v>
      </c>
      <c r="K1245" s="29"/>
      <c r="L1245" s="27"/>
      <c r="M1245" s="28"/>
      <c r="N1245" s="38"/>
      <c r="O1245" s="34"/>
      <c r="P1245" s="34"/>
      <c r="Q1245" s="35" t="s">
        <v>78</v>
      </c>
      <c r="R1245" s="35" t="s">
        <v>79</v>
      </c>
      <c r="S1245" s="35" t="s">
        <v>61</v>
      </c>
      <c r="T1245" s="35" t="s">
        <v>62</v>
      </c>
      <c r="U1245" s="36" t="s">
        <v>80</v>
      </c>
    </row>
    <row r="1246" spans="1:21" ht="15.75" customHeight="1" x14ac:dyDescent="0.25">
      <c r="A1246" s="9" t="s">
        <v>7561</v>
      </c>
      <c r="B1246" s="10" t="s">
        <v>7562</v>
      </c>
      <c r="C1246" s="11" t="s">
        <v>7563</v>
      </c>
      <c r="D1246" s="21" t="s">
        <v>109</v>
      </c>
      <c r="E1246" s="11" t="s">
        <v>98</v>
      </c>
      <c r="F1246" s="11"/>
      <c r="G1246" s="24" t="s">
        <v>85</v>
      </c>
      <c r="H1246" s="11" t="s">
        <v>120</v>
      </c>
      <c r="I1246" s="15" t="s">
        <v>7564</v>
      </c>
      <c r="J1246" s="10" t="s">
        <v>7565</v>
      </c>
      <c r="K1246" s="11"/>
      <c r="L1246" s="9"/>
      <c r="M1246" s="10"/>
      <c r="N1246" s="22"/>
      <c r="O1246" s="17"/>
      <c r="P1246" s="17"/>
      <c r="Q1246" s="18" t="s">
        <v>78</v>
      </c>
      <c r="R1246" s="18" t="s">
        <v>79</v>
      </c>
      <c r="S1246" s="18" t="s">
        <v>61</v>
      </c>
      <c r="T1246" s="18" t="s">
        <v>62</v>
      </c>
      <c r="U1246" s="19" t="s">
        <v>80</v>
      </c>
    </row>
    <row r="1247" spans="1:21" ht="15.75" customHeight="1" x14ac:dyDescent="0.25">
      <c r="A1247" s="27" t="s">
        <v>7566</v>
      </c>
      <c r="B1247" s="28" t="s">
        <v>7567</v>
      </c>
      <c r="C1247" s="29" t="s">
        <v>7568</v>
      </c>
      <c r="D1247" s="30" t="s">
        <v>7569</v>
      </c>
      <c r="E1247" s="29" t="s">
        <v>47</v>
      </c>
      <c r="F1247" s="31">
        <v>188</v>
      </c>
      <c r="G1247" s="14" t="s">
        <v>119</v>
      </c>
      <c r="H1247" s="29" t="s">
        <v>86</v>
      </c>
      <c r="I1247" s="32" t="s">
        <v>7570</v>
      </c>
      <c r="J1247" s="28" t="s">
        <v>7571</v>
      </c>
      <c r="K1247" s="29" t="s">
        <v>348</v>
      </c>
      <c r="L1247" s="27" t="s">
        <v>197</v>
      </c>
      <c r="M1247" s="28" t="s">
        <v>198</v>
      </c>
      <c r="N1247" s="39" t="s">
        <v>179</v>
      </c>
      <c r="O1247" s="34" t="s">
        <v>869</v>
      </c>
      <c r="P1247" s="34" t="s">
        <v>870</v>
      </c>
      <c r="Q1247" s="35" t="s">
        <v>78</v>
      </c>
      <c r="R1247" s="35" t="s">
        <v>79</v>
      </c>
      <c r="S1247" s="35" t="s">
        <v>61</v>
      </c>
      <c r="T1247" s="35" t="s">
        <v>62</v>
      </c>
      <c r="U1247" s="36" t="s">
        <v>80</v>
      </c>
    </row>
    <row r="1248" spans="1:21" ht="15.75" customHeight="1" x14ac:dyDescent="0.25">
      <c r="A1248" s="9" t="s">
        <v>7572</v>
      </c>
      <c r="B1248" s="10" t="s">
        <v>7573</v>
      </c>
      <c r="C1248" s="11" t="s">
        <v>7574</v>
      </c>
      <c r="D1248" s="21" t="s">
        <v>109</v>
      </c>
      <c r="E1248" s="11" t="s">
        <v>47</v>
      </c>
      <c r="F1248" s="13">
        <v>113</v>
      </c>
      <c r="G1248" s="24" t="s">
        <v>85</v>
      </c>
      <c r="H1248" s="11" t="s">
        <v>330</v>
      </c>
      <c r="I1248" s="15" t="s">
        <v>7575</v>
      </c>
      <c r="J1248" s="10" t="s">
        <v>7576</v>
      </c>
      <c r="K1248" s="11"/>
      <c r="L1248" s="9"/>
      <c r="M1248" s="10"/>
      <c r="N1248" s="22"/>
      <c r="O1248" s="17"/>
      <c r="P1248" s="17"/>
      <c r="Q1248" s="18" t="s">
        <v>78</v>
      </c>
      <c r="R1248" s="18" t="s">
        <v>79</v>
      </c>
      <c r="S1248" s="18" t="s">
        <v>61</v>
      </c>
      <c r="T1248" s="18" t="s">
        <v>62</v>
      </c>
      <c r="U1248" s="19" t="s">
        <v>80</v>
      </c>
    </row>
    <row r="1249" spans="1:21" ht="15.75" customHeight="1" x14ac:dyDescent="0.25">
      <c r="A1249" s="27" t="s">
        <v>7577</v>
      </c>
      <c r="B1249" s="28" t="s">
        <v>7578</v>
      </c>
      <c r="C1249" s="29" t="s">
        <v>7579</v>
      </c>
      <c r="D1249" s="37" t="s">
        <v>109</v>
      </c>
      <c r="E1249" s="29" t="s">
        <v>47</v>
      </c>
      <c r="F1249" s="31">
        <v>256</v>
      </c>
      <c r="G1249" s="24" t="s">
        <v>85</v>
      </c>
      <c r="H1249" s="29" t="s">
        <v>129</v>
      </c>
      <c r="I1249" s="32" t="s">
        <v>7580</v>
      </c>
      <c r="J1249" s="28" t="s">
        <v>7581</v>
      </c>
      <c r="K1249" s="29"/>
      <c r="L1249" s="27"/>
      <c r="M1249" s="28"/>
      <c r="N1249" s="38"/>
      <c r="O1249" s="34"/>
      <c r="P1249" s="34"/>
      <c r="Q1249" s="35" t="s">
        <v>78</v>
      </c>
      <c r="R1249" s="35" t="s">
        <v>79</v>
      </c>
      <c r="S1249" s="35" t="s">
        <v>61</v>
      </c>
      <c r="T1249" s="35" t="s">
        <v>62</v>
      </c>
      <c r="U1249" s="36" t="s">
        <v>80</v>
      </c>
    </row>
    <row r="1250" spans="1:21" ht="15.75" customHeight="1" x14ac:dyDescent="0.25">
      <c r="A1250" s="9" t="s">
        <v>7582</v>
      </c>
      <c r="B1250" s="10" t="s">
        <v>7583</v>
      </c>
      <c r="C1250" s="11" t="s">
        <v>7584</v>
      </c>
      <c r="D1250" s="21" t="s">
        <v>109</v>
      </c>
      <c r="E1250" s="11" t="s">
        <v>47</v>
      </c>
      <c r="F1250" s="13">
        <v>249</v>
      </c>
      <c r="G1250" s="24" t="s">
        <v>85</v>
      </c>
      <c r="H1250" s="11" t="s">
        <v>129</v>
      </c>
      <c r="I1250" s="15" t="s">
        <v>7585</v>
      </c>
      <c r="J1250" s="10" t="s">
        <v>7586</v>
      </c>
      <c r="K1250" s="11"/>
      <c r="L1250" s="9"/>
      <c r="M1250" s="10"/>
      <c r="N1250" s="22"/>
      <c r="O1250" s="17"/>
      <c r="P1250" s="17"/>
      <c r="Q1250" s="18" t="s">
        <v>78</v>
      </c>
      <c r="R1250" s="18" t="s">
        <v>79</v>
      </c>
      <c r="S1250" s="18" t="s">
        <v>61</v>
      </c>
      <c r="T1250" s="18" t="s">
        <v>62</v>
      </c>
      <c r="U1250" s="19" t="s">
        <v>80</v>
      </c>
    </row>
    <row r="1251" spans="1:21" ht="15.75" customHeight="1" x14ac:dyDescent="0.25">
      <c r="A1251" s="27" t="s">
        <v>7587</v>
      </c>
      <c r="B1251" s="28" t="s">
        <v>7588</v>
      </c>
      <c r="C1251" s="29" t="s">
        <v>7589</v>
      </c>
      <c r="D1251" s="30" t="s">
        <v>2963</v>
      </c>
      <c r="E1251" s="29" t="s">
        <v>47</v>
      </c>
      <c r="F1251" s="31">
        <v>417</v>
      </c>
      <c r="G1251" s="20" t="s">
        <v>119</v>
      </c>
      <c r="H1251" s="29" t="s">
        <v>129</v>
      </c>
      <c r="I1251" s="32" t="s">
        <v>2271</v>
      </c>
      <c r="J1251" s="28" t="s">
        <v>7590</v>
      </c>
      <c r="K1251" s="29" t="s">
        <v>348</v>
      </c>
      <c r="L1251" s="27" t="s">
        <v>197</v>
      </c>
      <c r="M1251" s="28" t="s">
        <v>198</v>
      </c>
      <c r="N1251" s="39" t="s">
        <v>179</v>
      </c>
      <c r="O1251" s="34" t="s">
        <v>104</v>
      </c>
      <c r="P1251" s="34" t="s">
        <v>105</v>
      </c>
      <c r="Q1251" s="35" t="s">
        <v>78</v>
      </c>
      <c r="R1251" s="35" t="s">
        <v>79</v>
      </c>
      <c r="S1251" s="35" t="s">
        <v>61</v>
      </c>
      <c r="T1251" s="35" t="s">
        <v>62</v>
      </c>
      <c r="U1251" s="36" t="s">
        <v>80</v>
      </c>
    </row>
    <row r="1252" spans="1:21" ht="15.75" customHeight="1" x14ac:dyDescent="0.25">
      <c r="A1252" s="9" t="s">
        <v>7591</v>
      </c>
      <c r="B1252" s="10" t="s">
        <v>7592</v>
      </c>
      <c r="C1252" s="11" t="s">
        <v>7593</v>
      </c>
      <c r="D1252" s="21" t="s">
        <v>109</v>
      </c>
      <c r="E1252" s="11" t="s">
        <v>1264</v>
      </c>
      <c r="F1252" s="13">
        <v>2000</v>
      </c>
      <c r="G1252" s="24" t="s">
        <v>85</v>
      </c>
      <c r="H1252" s="11" t="s">
        <v>129</v>
      </c>
      <c r="I1252" s="15" t="s">
        <v>7594</v>
      </c>
      <c r="J1252" s="10" t="s">
        <v>7595</v>
      </c>
      <c r="K1252" s="11"/>
      <c r="L1252" s="9"/>
      <c r="M1252" s="10"/>
      <c r="N1252" s="22"/>
      <c r="O1252" s="17"/>
      <c r="P1252" s="17"/>
      <c r="Q1252" s="18" t="s">
        <v>78</v>
      </c>
      <c r="R1252" s="18" t="s">
        <v>79</v>
      </c>
      <c r="S1252" s="18" t="s">
        <v>61</v>
      </c>
      <c r="T1252" s="18" t="s">
        <v>62</v>
      </c>
      <c r="U1252" s="19" t="s">
        <v>80</v>
      </c>
    </row>
    <row r="1253" spans="1:21" ht="15.75" customHeight="1" x14ac:dyDescent="0.25">
      <c r="A1253" s="27" t="s">
        <v>7596</v>
      </c>
      <c r="B1253" s="28" t="s">
        <v>7597</v>
      </c>
      <c r="C1253" s="29" t="s">
        <v>7598</v>
      </c>
      <c r="D1253" s="30" t="s">
        <v>7599</v>
      </c>
      <c r="E1253" s="29" t="s">
        <v>47</v>
      </c>
      <c r="F1253" s="31">
        <v>136</v>
      </c>
      <c r="G1253" s="20" t="s">
        <v>119</v>
      </c>
      <c r="H1253" s="29" t="s">
        <v>330</v>
      </c>
      <c r="I1253" s="32" t="s">
        <v>649</v>
      </c>
      <c r="J1253" s="28" t="s">
        <v>7600</v>
      </c>
      <c r="K1253" s="29" t="s">
        <v>7601</v>
      </c>
      <c r="L1253" s="27" t="s">
        <v>158</v>
      </c>
      <c r="M1253" s="28" t="s">
        <v>159</v>
      </c>
      <c r="N1253" s="33" t="s">
        <v>75</v>
      </c>
      <c r="O1253" s="34" t="s">
        <v>779</v>
      </c>
      <c r="P1253" s="34" t="s">
        <v>780</v>
      </c>
      <c r="Q1253" s="35" t="s">
        <v>78</v>
      </c>
      <c r="R1253" s="35" t="s">
        <v>79</v>
      </c>
      <c r="S1253" s="35" t="s">
        <v>61</v>
      </c>
      <c r="T1253" s="35" t="s">
        <v>62</v>
      </c>
      <c r="U1253" s="36" t="s">
        <v>80</v>
      </c>
    </row>
    <row r="1254" spans="1:21" ht="15.75" customHeight="1" x14ac:dyDescent="0.25">
      <c r="A1254" s="9" t="s">
        <v>7602</v>
      </c>
      <c r="B1254" s="10" t="s">
        <v>7603</v>
      </c>
      <c r="C1254" s="11" t="s">
        <v>7604</v>
      </c>
      <c r="D1254" s="12" t="s">
        <v>7605</v>
      </c>
      <c r="E1254" s="11" t="s">
        <v>98</v>
      </c>
      <c r="F1254" s="11" t="s">
        <v>3307</v>
      </c>
      <c r="G1254" s="14" t="s">
        <v>119</v>
      </c>
      <c r="H1254" s="11" t="s">
        <v>100</v>
      </c>
      <c r="I1254" s="15" t="s">
        <v>3803</v>
      </c>
      <c r="J1254" s="10" t="s">
        <v>7606</v>
      </c>
      <c r="K1254" s="11"/>
      <c r="L1254" s="9"/>
      <c r="M1254" s="10"/>
      <c r="N1254" s="23" t="s">
        <v>179</v>
      </c>
      <c r="O1254" s="17" t="s">
        <v>869</v>
      </c>
      <c r="P1254" s="17" t="s">
        <v>870</v>
      </c>
      <c r="Q1254" s="18" t="s">
        <v>78</v>
      </c>
      <c r="R1254" s="18" t="s">
        <v>79</v>
      </c>
      <c r="S1254" s="18" t="s">
        <v>61</v>
      </c>
      <c r="T1254" s="18" t="s">
        <v>62</v>
      </c>
      <c r="U1254" s="19" t="s">
        <v>80</v>
      </c>
    </row>
    <row r="1255" spans="1:21" ht="15.75" customHeight="1" x14ac:dyDescent="0.25">
      <c r="A1255" s="27" t="s">
        <v>7607</v>
      </c>
      <c r="B1255" s="28" t="s">
        <v>7608</v>
      </c>
      <c r="C1255" s="29" t="s">
        <v>7609</v>
      </c>
      <c r="D1255" s="37" t="s">
        <v>109</v>
      </c>
      <c r="E1255" s="29" t="s">
        <v>98</v>
      </c>
      <c r="F1255" s="29"/>
      <c r="G1255" s="24" t="s">
        <v>85</v>
      </c>
      <c r="H1255" s="29" t="s">
        <v>120</v>
      </c>
      <c r="I1255" s="32" t="s">
        <v>1455</v>
      </c>
      <c r="J1255" s="28" t="s">
        <v>7610</v>
      </c>
      <c r="K1255" s="29"/>
      <c r="L1255" s="27"/>
      <c r="M1255" s="28"/>
      <c r="N1255" s="38"/>
      <c r="O1255" s="34"/>
      <c r="P1255" s="34"/>
      <c r="Q1255" s="35" t="s">
        <v>78</v>
      </c>
      <c r="R1255" s="35" t="s">
        <v>79</v>
      </c>
      <c r="S1255" s="35" t="s">
        <v>61</v>
      </c>
      <c r="T1255" s="35" t="s">
        <v>62</v>
      </c>
      <c r="U1255" s="36" t="s">
        <v>80</v>
      </c>
    </row>
    <row r="1256" spans="1:21" ht="15.75" customHeight="1" x14ac:dyDescent="0.25">
      <c r="A1256" s="9" t="s">
        <v>7611</v>
      </c>
      <c r="B1256" s="10" t="s">
        <v>7612</v>
      </c>
      <c r="C1256" s="11" t="s">
        <v>7613</v>
      </c>
      <c r="D1256" s="21" t="s">
        <v>109</v>
      </c>
      <c r="E1256" s="11" t="s">
        <v>98</v>
      </c>
      <c r="F1256" s="13">
        <v>212</v>
      </c>
      <c r="G1256" s="24" t="s">
        <v>85</v>
      </c>
      <c r="H1256" s="11" t="s">
        <v>129</v>
      </c>
      <c r="I1256" s="15" t="s">
        <v>7614</v>
      </c>
      <c r="J1256" s="10" t="s">
        <v>7615</v>
      </c>
      <c r="K1256" s="11"/>
      <c r="L1256" s="9"/>
      <c r="M1256" s="10"/>
      <c r="N1256" s="22"/>
      <c r="O1256" s="17"/>
      <c r="P1256" s="17"/>
      <c r="Q1256" s="18" t="s">
        <v>78</v>
      </c>
      <c r="R1256" s="18" t="s">
        <v>79</v>
      </c>
      <c r="S1256" s="18" t="s">
        <v>61</v>
      </c>
      <c r="T1256" s="18" t="s">
        <v>62</v>
      </c>
      <c r="U1256" s="19" t="s">
        <v>80</v>
      </c>
    </row>
    <row r="1257" spans="1:21" ht="15.75" customHeight="1" x14ac:dyDescent="0.25">
      <c r="A1257" s="27" t="s">
        <v>7616</v>
      </c>
      <c r="B1257" s="28" t="s">
        <v>7617</v>
      </c>
      <c r="C1257" s="29" t="s">
        <v>7618</v>
      </c>
      <c r="D1257" s="37" t="s">
        <v>109</v>
      </c>
      <c r="E1257" s="29" t="s">
        <v>98</v>
      </c>
      <c r="F1257" s="29"/>
      <c r="G1257" s="24" t="s">
        <v>85</v>
      </c>
      <c r="H1257" s="29" t="s">
        <v>100</v>
      </c>
      <c r="I1257" s="32" t="s">
        <v>5925</v>
      </c>
      <c r="J1257" s="28" t="s">
        <v>7619</v>
      </c>
      <c r="K1257" s="29"/>
      <c r="L1257" s="27"/>
      <c r="M1257" s="28"/>
      <c r="N1257" s="38"/>
      <c r="O1257" s="34"/>
      <c r="P1257" s="34"/>
      <c r="Q1257" s="35" t="s">
        <v>78</v>
      </c>
      <c r="R1257" s="35" t="s">
        <v>79</v>
      </c>
      <c r="S1257" s="35" t="s">
        <v>61</v>
      </c>
      <c r="T1257" s="35" t="s">
        <v>62</v>
      </c>
      <c r="U1257" s="36" t="s">
        <v>80</v>
      </c>
    </row>
    <row r="1258" spans="1:21" ht="15.75" customHeight="1" x14ac:dyDescent="0.25">
      <c r="A1258" s="9" t="s">
        <v>7620</v>
      </c>
      <c r="B1258" s="10" t="s">
        <v>7621</v>
      </c>
      <c r="C1258" s="11" t="s">
        <v>7622</v>
      </c>
      <c r="D1258" s="21" t="s">
        <v>109</v>
      </c>
      <c r="E1258" s="11" t="s">
        <v>67</v>
      </c>
      <c r="F1258" s="13">
        <v>6.9</v>
      </c>
      <c r="G1258" s="24" t="s">
        <v>85</v>
      </c>
      <c r="H1258" s="11" t="s">
        <v>69</v>
      </c>
      <c r="I1258" s="15" t="s">
        <v>6423</v>
      </c>
      <c r="J1258" s="10" t="s">
        <v>7623</v>
      </c>
      <c r="K1258" s="11" t="s">
        <v>7624</v>
      </c>
      <c r="L1258" s="9" t="s">
        <v>248</v>
      </c>
      <c r="M1258" s="10" t="s">
        <v>249</v>
      </c>
      <c r="N1258" s="22"/>
      <c r="O1258" s="17"/>
      <c r="P1258" s="17"/>
      <c r="Q1258" s="18" t="s">
        <v>78</v>
      </c>
      <c r="R1258" s="18" t="s">
        <v>79</v>
      </c>
      <c r="S1258" s="18" t="s">
        <v>61</v>
      </c>
      <c r="T1258" s="18" t="s">
        <v>62</v>
      </c>
      <c r="U1258" s="19" t="s">
        <v>80</v>
      </c>
    </row>
    <row r="1259" spans="1:21" ht="15.75" customHeight="1" x14ac:dyDescent="0.25">
      <c r="A1259" s="27" t="s">
        <v>7625</v>
      </c>
      <c r="B1259" s="28" t="s">
        <v>7626</v>
      </c>
      <c r="C1259" s="29" t="s">
        <v>7627</v>
      </c>
      <c r="D1259" s="37" t="s">
        <v>109</v>
      </c>
      <c r="E1259" s="29" t="s">
        <v>98</v>
      </c>
      <c r="F1259" s="29"/>
      <c r="G1259" s="24" t="s">
        <v>85</v>
      </c>
      <c r="H1259" s="29" t="s">
        <v>100</v>
      </c>
      <c r="I1259" s="32" t="s">
        <v>7628</v>
      </c>
      <c r="J1259" s="28" t="s">
        <v>7629</v>
      </c>
      <c r="K1259" s="29"/>
      <c r="L1259" s="27"/>
      <c r="M1259" s="28"/>
      <c r="N1259" s="38"/>
      <c r="O1259" s="34"/>
      <c r="P1259" s="34"/>
      <c r="Q1259" s="35" t="s">
        <v>78</v>
      </c>
      <c r="R1259" s="35" t="s">
        <v>79</v>
      </c>
      <c r="S1259" s="35" t="s">
        <v>61</v>
      </c>
      <c r="T1259" s="35" t="s">
        <v>62</v>
      </c>
      <c r="U1259" s="36" t="s">
        <v>80</v>
      </c>
    </row>
    <row r="1260" spans="1:21" ht="15.75" customHeight="1" x14ac:dyDescent="0.25">
      <c r="A1260" s="9" t="s">
        <v>7630</v>
      </c>
      <c r="B1260" s="10" t="s">
        <v>7631</v>
      </c>
      <c r="C1260" s="11" t="s">
        <v>7632</v>
      </c>
      <c r="D1260" s="21" t="s">
        <v>109</v>
      </c>
      <c r="E1260" s="11" t="s">
        <v>47</v>
      </c>
      <c r="F1260" s="13">
        <v>129</v>
      </c>
      <c r="G1260" s="25" t="s">
        <v>110</v>
      </c>
      <c r="H1260" s="11" t="s">
        <v>330</v>
      </c>
      <c r="I1260" s="15" t="s">
        <v>2355</v>
      </c>
      <c r="J1260" s="10" t="s">
        <v>7633</v>
      </c>
      <c r="K1260" s="11" t="s">
        <v>2307</v>
      </c>
      <c r="L1260" s="9" t="s">
        <v>90</v>
      </c>
      <c r="M1260" s="10" t="s">
        <v>91</v>
      </c>
      <c r="N1260" s="22"/>
      <c r="O1260" s="17"/>
      <c r="P1260" s="17"/>
      <c r="Q1260" s="18" t="s">
        <v>78</v>
      </c>
      <c r="R1260" s="18" t="s">
        <v>79</v>
      </c>
      <c r="S1260" s="18" t="s">
        <v>61</v>
      </c>
      <c r="T1260" s="18" t="s">
        <v>62</v>
      </c>
      <c r="U1260" s="19" t="s">
        <v>80</v>
      </c>
    </row>
    <row r="1261" spans="1:21" ht="15.75" customHeight="1" x14ac:dyDescent="0.25">
      <c r="A1261" s="27" t="s">
        <v>7634</v>
      </c>
      <c r="B1261" s="28" t="s">
        <v>7635</v>
      </c>
      <c r="C1261" s="29" t="s">
        <v>7636</v>
      </c>
      <c r="D1261" s="37" t="s">
        <v>109</v>
      </c>
      <c r="E1261" s="29" t="s">
        <v>98</v>
      </c>
      <c r="F1261" s="31">
        <v>284</v>
      </c>
      <c r="G1261" s="25" t="s">
        <v>110</v>
      </c>
      <c r="H1261" s="29" t="s">
        <v>129</v>
      </c>
      <c r="I1261" s="32" t="s">
        <v>7434</v>
      </c>
      <c r="J1261" s="28" t="s">
        <v>7637</v>
      </c>
      <c r="K1261" s="29" t="s">
        <v>2587</v>
      </c>
      <c r="L1261" s="27" t="s">
        <v>90</v>
      </c>
      <c r="M1261" s="28" t="s">
        <v>91</v>
      </c>
      <c r="N1261" s="38"/>
      <c r="O1261" s="34"/>
      <c r="P1261" s="34"/>
      <c r="Q1261" s="35" t="s">
        <v>78</v>
      </c>
      <c r="R1261" s="35" t="s">
        <v>79</v>
      </c>
      <c r="S1261" s="35" t="s">
        <v>61</v>
      </c>
      <c r="T1261" s="35" t="s">
        <v>62</v>
      </c>
      <c r="U1261" s="36" t="s">
        <v>80</v>
      </c>
    </row>
    <row r="1262" spans="1:21" ht="15.75" customHeight="1" x14ac:dyDescent="0.25">
      <c r="A1262" s="9" t="s">
        <v>7638</v>
      </c>
      <c r="B1262" s="10" t="s">
        <v>7639</v>
      </c>
      <c r="C1262" s="11" t="s">
        <v>7640</v>
      </c>
      <c r="D1262" s="21" t="s">
        <v>109</v>
      </c>
      <c r="E1262" s="11" t="s">
        <v>98</v>
      </c>
      <c r="F1262" s="13">
        <v>319</v>
      </c>
      <c r="G1262" s="24" t="s">
        <v>85</v>
      </c>
      <c r="H1262" s="11" t="s">
        <v>129</v>
      </c>
      <c r="I1262" s="15" t="s">
        <v>687</v>
      </c>
      <c r="J1262" s="10" t="s">
        <v>7641</v>
      </c>
      <c r="K1262" s="11"/>
      <c r="L1262" s="9"/>
      <c r="M1262" s="10"/>
      <c r="N1262" s="22"/>
      <c r="O1262" s="17"/>
      <c r="P1262" s="17"/>
      <c r="Q1262" s="18" t="s">
        <v>78</v>
      </c>
      <c r="R1262" s="18" t="s">
        <v>79</v>
      </c>
      <c r="S1262" s="18" t="s">
        <v>61</v>
      </c>
      <c r="T1262" s="18" t="s">
        <v>62</v>
      </c>
      <c r="U1262" s="19" t="s">
        <v>80</v>
      </c>
    </row>
    <row r="1263" spans="1:21" ht="15.75" customHeight="1" x14ac:dyDescent="0.25">
      <c r="A1263" s="27" t="s">
        <v>7642</v>
      </c>
      <c r="B1263" s="28" t="s">
        <v>7643</v>
      </c>
      <c r="C1263" s="29" t="s">
        <v>7644</v>
      </c>
      <c r="D1263" s="30" t="s">
        <v>7645</v>
      </c>
      <c r="E1263" s="29" t="s">
        <v>47</v>
      </c>
      <c r="F1263" s="31">
        <v>92</v>
      </c>
      <c r="G1263" s="20" t="s">
        <v>85</v>
      </c>
      <c r="H1263" s="29" t="s">
        <v>48</v>
      </c>
      <c r="I1263" s="32" t="s">
        <v>7646</v>
      </c>
      <c r="J1263" s="28" t="s">
        <v>7647</v>
      </c>
      <c r="K1263" s="29" t="s">
        <v>4273</v>
      </c>
      <c r="L1263" s="27" t="s">
        <v>90</v>
      </c>
      <c r="M1263" s="28" t="s">
        <v>91</v>
      </c>
      <c r="N1263" s="33" t="s">
        <v>75</v>
      </c>
      <c r="O1263" s="34" t="s">
        <v>544</v>
      </c>
      <c r="P1263" s="34" t="s">
        <v>545</v>
      </c>
      <c r="Q1263" s="35" t="s">
        <v>78</v>
      </c>
      <c r="R1263" s="35" t="s">
        <v>79</v>
      </c>
      <c r="S1263" s="35" t="s">
        <v>61</v>
      </c>
      <c r="T1263" s="35" t="s">
        <v>62</v>
      </c>
      <c r="U1263" s="36" t="s">
        <v>80</v>
      </c>
    </row>
    <row r="1264" spans="1:21" ht="15.75" customHeight="1" x14ac:dyDescent="0.25">
      <c r="A1264" s="9" t="s">
        <v>7648</v>
      </c>
      <c r="B1264" s="10" t="s">
        <v>7649</v>
      </c>
      <c r="C1264" s="11" t="s">
        <v>7650</v>
      </c>
      <c r="D1264" s="21" t="s">
        <v>109</v>
      </c>
      <c r="E1264" s="11" t="s">
        <v>47</v>
      </c>
      <c r="F1264" s="13">
        <v>167</v>
      </c>
      <c r="G1264" s="25" t="s">
        <v>110</v>
      </c>
      <c r="H1264" s="11" t="s">
        <v>86</v>
      </c>
      <c r="I1264" s="15" t="s">
        <v>7651</v>
      </c>
      <c r="J1264" s="10" t="s">
        <v>7652</v>
      </c>
      <c r="K1264" s="11" t="s">
        <v>132</v>
      </c>
      <c r="L1264" s="9" t="s">
        <v>90</v>
      </c>
      <c r="M1264" s="10" t="s">
        <v>91</v>
      </c>
      <c r="N1264" s="22"/>
      <c r="O1264" s="17"/>
      <c r="P1264" s="17"/>
      <c r="Q1264" s="18" t="s">
        <v>78</v>
      </c>
      <c r="R1264" s="18" t="s">
        <v>79</v>
      </c>
      <c r="S1264" s="18" t="s">
        <v>61</v>
      </c>
      <c r="T1264" s="18" t="s">
        <v>62</v>
      </c>
      <c r="U1264" s="19" t="s">
        <v>80</v>
      </c>
    </row>
    <row r="1265" spans="1:21" ht="15.75" customHeight="1" x14ac:dyDescent="0.25">
      <c r="A1265" s="27" t="s">
        <v>7653</v>
      </c>
      <c r="B1265" s="28" t="s">
        <v>7654</v>
      </c>
      <c r="C1265" s="29" t="s">
        <v>7655</v>
      </c>
      <c r="D1265" s="37" t="s">
        <v>109</v>
      </c>
      <c r="E1265" s="29" t="s">
        <v>98</v>
      </c>
      <c r="F1265" s="29" t="s">
        <v>99</v>
      </c>
      <c r="G1265" s="24" t="s">
        <v>85</v>
      </c>
      <c r="H1265" s="29" t="s">
        <v>100</v>
      </c>
      <c r="I1265" s="32" t="s">
        <v>7656</v>
      </c>
      <c r="J1265" s="28" t="s">
        <v>7657</v>
      </c>
      <c r="K1265" s="29"/>
      <c r="L1265" s="27"/>
      <c r="M1265" s="28"/>
      <c r="N1265" s="38"/>
      <c r="O1265" s="34"/>
      <c r="P1265" s="34"/>
      <c r="Q1265" s="35" t="s">
        <v>78</v>
      </c>
      <c r="R1265" s="35" t="s">
        <v>79</v>
      </c>
      <c r="S1265" s="35" t="s">
        <v>61</v>
      </c>
      <c r="T1265" s="35" t="s">
        <v>62</v>
      </c>
      <c r="U1265" s="36" t="s">
        <v>80</v>
      </c>
    </row>
    <row r="1266" spans="1:21" ht="15.75" customHeight="1" x14ac:dyDescent="0.25">
      <c r="A1266" s="9" t="s">
        <v>7658</v>
      </c>
      <c r="B1266" s="10" t="s">
        <v>7659</v>
      </c>
      <c r="C1266" s="11" t="s">
        <v>7660</v>
      </c>
      <c r="D1266" s="21" t="s">
        <v>109</v>
      </c>
      <c r="E1266" s="11" t="s">
        <v>47</v>
      </c>
      <c r="F1266" s="11"/>
      <c r="G1266" s="24" t="s">
        <v>85</v>
      </c>
      <c r="H1266" s="11" t="s">
        <v>120</v>
      </c>
      <c r="I1266" s="15" t="s">
        <v>7661</v>
      </c>
      <c r="J1266" s="10" t="s">
        <v>7662</v>
      </c>
      <c r="K1266" s="11"/>
      <c r="L1266" s="9"/>
      <c r="M1266" s="10"/>
      <c r="N1266" s="22"/>
      <c r="O1266" s="17"/>
      <c r="P1266" s="17"/>
      <c r="Q1266" s="18" t="s">
        <v>78</v>
      </c>
      <c r="R1266" s="18" t="s">
        <v>79</v>
      </c>
      <c r="S1266" s="18" t="s">
        <v>61</v>
      </c>
      <c r="T1266" s="18" t="s">
        <v>62</v>
      </c>
      <c r="U1266" s="19" t="s">
        <v>80</v>
      </c>
    </row>
    <row r="1267" spans="1:21" ht="15.75" customHeight="1" x14ac:dyDescent="0.25">
      <c r="A1267" s="27" t="s">
        <v>7663</v>
      </c>
      <c r="B1267" s="28" t="s">
        <v>7664</v>
      </c>
      <c r="C1267" s="29" t="s">
        <v>7665</v>
      </c>
      <c r="D1267" s="37" t="s">
        <v>109</v>
      </c>
      <c r="E1267" s="29" t="s">
        <v>1264</v>
      </c>
      <c r="F1267" s="29"/>
      <c r="G1267" s="24" t="s">
        <v>85</v>
      </c>
      <c r="H1267" s="29" t="s">
        <v>100</v>
      </c>
      <c r="I1267" s="32" t="s">
        <v>7666</v>
      </c>
      <c r="J1267" s="28" t="s">
        <v>7667</v>
      </c>
      <c r="K1267" s="29"/>
      <c r="L1267" s="27"/>
      <c r="M1267" s="28"/>
      <c r="N1267" s="38"/>
      <c r="O1267" s="34"/>
      <c r="P1267" s="34"/>
      <c r="Q1267" s="35" t="s">
        <v>78</v>
      </c>
      <c r="R1267" s="35" t="s">
        <v>79</v>
      </c>
      <c r="S1267" s="35" t="s">
        <v>61</v>
      </c>
      <c r="T1267" s="35" t="s">
        <v>62</v>
      </c>
      <c r="U1267" s="36" t="s">
        <v>80</v>
      </c>
    </row>
    <row r="1268" spans="1:21" ht="15.75" customHeight="1" x14ac:dyDescent="0.25">
      <c r="A1268" s="9" t="s">
        <v>7668</v>
      </c>
      <c r="B1268" s="10" t="s">
        <v>7669</v>
      </c>
      <c r="C1268" s="11" t="s">
        <v>7670</v>
      </c>
      <c r="D1268" s="12" t="s">
        <v>7671</v>
      </c>
      <c r="E1268" s="11" t="s">
        <v>67</v>
      </c>
      <c r="F1268" s="13">
        <v>-151.80000000000001</v>
      </c>
      <c r="G1268" s="20" t="s">
        <v>119</v>
      </c>
      <c r="H1268" s="11" t="s">
        <v>69</v>
      </c>
      <c r="I1268" s="15" t="s">
        <v>7672</v>
      </c>
      <c r="J1268" s="10" t="s">
        <v>7673</v>
      </c>
      <c r="K1268" s="11" t="s">
        <v>7674</v>
      </c>
      <c r="L1268" s="9" t="s">
        <v>140</v>
      </c>
      <c r="M1268" s="10" t="s">
        <v>141</v>
      </c>
      <c r="N1268" s="16" t="s">
        <v>75</v>
      </c>
      <c r="O1268" s="17" t="s">
        <v>7675</v>
      </c>
      <c r="P1268" s="17" t="s">
        <v>7676</v>
      </c>
      <c r="Q1268" s="18" t="s">
        <v>78</v>
      </c>
      <c r="R1268" s="18" t="s">
        <v>79</v>
      </c>
      <c r="S1268" s="18" t="s">
        <v>61</v>
      </c>
      <c r="T1268" s="18" t="s">
        <v>62</v>
      </c>
      <c r="U1268" s="19" t="s">
        <v>80</v>
      </c>
    </row>
    <row r="1269" spans="1:21" ht="15.75" customHeight="1" x14ac:dyDescent="0.25">
      <c r="A1269" s="27" t="s">
        <v>7677</v>
      </c>
      <c r="B1269" s="28" t="s">
        <v>7678</v>
      </c>
      <c r="C1269" s="29" t="s">
        <v>7679</v>
      </c>
      <c r="D1269" s="30" t="s">
        <v>3537</v>
      </c>
      <c r="E1269" s="29" t="s">
        <v>98</v>
      </c>
      <c r="F1269" s="31">
        <v>261</v>
      </c>
      <c r="G1269" s="14" t="s">
        <v>119</v>
      </c>
      <c r="H1269" s="29" t="s">
        <v>129</v>
      </c>
      <c r="I1269" s="32" t="s">
        <v>7680</v>
      </c>
      <c r="J1269" s="28" t="s">
        <v>7681</v>
      </c>
      <c r="K1269" s="29"/>
      <c r="L1269" s="27"/>
      <c r="M1269" s="28"/>
      <c r="N1269" s="39" t="s">
        <v>179</v>
      </c>
      <c r="O1269" s="34" t="s">
        <v>869</v>
      </c>
      <c r="P1269" s="34" t="s">
        <v>870</v>
      </c>
      <c r="Q1269" s="35" t="s">
        <v>78</v>
      </c>
      <c r="R1269" s="35" t="s">
        <v>79</v>
      </c>
      <c r="S1269" s="35" t="s">
        <v>61</v>
      </c>
      <c r="T1269" s="35" t="s">
        <v>62</v>
      </c>
      <c r="U1269" s="36" t="s">
        <v>80</v>
      </c>
    </row>
    <row r="1270" spans="1:21" ht="15.75" customHeight="1" x14ac:dyDescent="0.25">
      <c r="A1270" s="9" t="s">
        <v>7682</v>
      </c>
      <c r="B1270" s="10" t="s">
        <v>7683</v>
      </c>
      <c r="C1270" s="11" t="s">
        <v>7684</v>
      </c>
      <c r="D1270" s="21" t="s">
        <v>109</v>
      </c>
      <c r="E1270" s="11" t="s">
        <v>98</v>
      </c>
      <c r="F1270" s="11" t="s">
        <v>7685</v>
      </c>
      <c r="G1270" s="24" t="s">
        <v>85</v>
      </c>
      <c r="H1270" s="11" t="s">
        <v>120</v>
      </c>
      <c r="I1270" s="15" t="s">
        <v>7686</v>
      </c>
      <c r="J1270" s="10" t="s">
        <v>7687</v>
      </c>
      <c r="K1270" s="11"/>
      <c r="L1270" s="9"/>
      <c r="M1270" s="10"/>
      <c r="N1270" s="22"/>
      <c r="O1270" s="17"/>
      <c r="P1270" s="17"/>
      <c r="Q1270" s="18" t="s">
        <v>78</v>
      </c>
      <c r="R1270" s="18" t="s">
        <v>79</v>
      </c>
      <c r="S1270" s="18" t="s">
        <v>61</v>
      </c>
      <c r="T1270" s="18" t="s">
        <v>62</v>
      </c>
      <c r="U1270" s="19" t="s">
        <v>80</v>
      </c>
    </row>
    <row r="1271" spans="1:21" ht="15.75" customHeight="1" x14ac:dyDescent="0.25">
      <c r="A1271" s="27" t="s">
        <v>7688</v>
      </c>
      <c r="B1271" s="28" t="s">
        <v>7689</v>
      </c>
      <c r="C1271" s="29" t="s">
        <v>7690</v>
      </c>
      <c r="D1271" s="30" t="s">
        <v>193</v>
      </c>
      <c r="E1271" s="29"/>
      <c r="F1271" s="29" t="s">
        <v>118</v>
      </c>
      <c r="G1271" s="20" t="s">
        <v>85</v>
      </c>
      <c r="H1271" s="29" t="s">
        <v>120</v>
      </c>
      <c r="I1271" s="32" t="s">
        <v>7691</v>
      </c>
      <c r="J1271" s="28" t="s">
        <v>7692</v>
      </c>
      <c r="K1271" s="29" t="s">
        <v>7693</v>
      </c>
      <c r="L1271" s="27" t="s">
        <v>197</v>
      </c>
      <c r="M1271" s="28" t="s">
        <v>198</v>
      </c>
      <c r="N1271" s="33" t="s">
        <v>75</v>
      </c>
      <c r="O1271" s="34" t="s">
        <v>180</v>
      </c>
      <c r="P1271" s="34" t="s">
        <v>181</v>
      </c>
      <c r="Q1271" s="35" t="s">
        <v>78</v>
      </c>
      <c r="R1271" s="35" t="s">
        <v>79</v>
      </c>
      <c r="S1271" s="35" t="s">
        <v>61</v>
      </c>
      <c r="T1271" s="35" t="s">
        <v>62</v>
      </c>
      <c r="U1271" s="36" t="s">
        <v>80</v>
      </c>
    </row>
    <row r="1272" spans="1:21" ht="15.75" customHeight="1" x14ac:dyDescent="0.25">
      <c r="A1272" s="9" t="s">
        <v>7694</v>
      </c>
      <c r="B1272" s="10" t="s">
        <v>7695</v>
      </c>
      <c r="C1272" s="11" t="s">
        <v>7696</v>
      </c>
      <c r="D1272" s="21" t="s">
        <v>109</v>
      </c>
      <c r="E1272" s="11" t="s">
        <v>47</v>
      </c>
      <c r="F1272" s="13">
        <v>89</v>
      </c>
      <c r="G1272" s="14" t="s">
        <v>119</v>
      </c>
      <c r="H1272" s="11" t="s">
        <v>48</v>
      </c>
      <c r="I1272" s="15" t="s">
        <v>7697</v>
      </c>
      <c r="J1272" s="10" t="s">
        <v>7698</v>
      </c>
      <c r="K1272" s="11" t="s">
        <v>7699</v>
      </c>
      <c r="L1272" s="9" t="s">
        <v>158</v>
      </c>
      <c r="M1272" s="10" t="s">
        <v>159</v>
      </c>
      <c r="N1272" s="22"/>
      <c r="O1272" s="17"/>
      <c r="P1272" s="17"/>
      <c r="Q1272" s="18" t="s">
        <v>78</v>
      </c>
      <c r="R1272" s="18" t="s">
        <v>79</v>
      </c>
      <c r="S1272" s="18" t="s">
        <v>61</v>
      </c>
      <c r="T1272" s="18" t="s">
        <v>62</v>
      </c>
      <c r="U1272" s="19" t="s">
        <v>80</v>
      </c>
    </row>
    <row r="1273" spans="1:21" ht="15.75" customHeight="1" x14ac:dyDescent="0.25">
      <c r="A1273" s="27" t="s">
        <v>7700</v>
      </c>
      <c r="B1273" s="28" t="s">
        <v>7701</v>
      </c>
      <c r="C1273" s="29" t="s">
        <v>7702</v>
      </c>
      <c r="D1273" s="37" t="s">
        <v>109</v>
      </c>
      <c r="E1273" s="29" t="s">
        <v>98</v>
      </c>
      <c r="F1273" s="29" t="s">
        <v>7703</v>
      </c>
      <c r="G1273" s="24" t="s">
        <v>85</v>
      </c>
      <c r="H1273" s="29" t="s">
        <v>120</v>
      </c>
      <c r="I1273" s="32" t="s">
        <v>7704</v>
      </c>
      <c r="J1273" s="28" t="s">
        <v>7705</v>
      </c>
      <c r="K1273" s="29"/>
      <c r="L1273" s="27"/>
      <c r="M1273" s="28"/>
      <c r="N1273" s="38"/>
      <c r="O1273" s="34"/>
      <c r="P1273" s="34"/>
      <c r="Q1273" s="35" t="s">
        <v>78</v>
      </c>
      <c r="R1273" s="35" t="s">
        <v>79</v>
      </c>
      <c r="S1273" s="35" t="s">
        <v>61</v>
      </c>
      <c r="T1273" s="35" t="s">
        <v>62</v>
      </c>
      <c r="U1273" s="36" t="s">
        <v>80</v>
      </c>
    </row>
    <row r="1274" spans="1:21" ht="15.75" customHeight="1" x14ac:dyDescent="0.25">
      <c r="A1274" s="9" t="s">
        <v>7706</v>
      </c>
      <c r="B1274" s="10" t="s">
        <v>7707</v>
      </c>
      <c r="C1274" s="11" t="s">
        <v>7708</v>
      </c>
      <c r="D1274" s="21" t="s">
        <v>109</v>
      </c>
      <c r="E1274" s="11" t="s">
        <v>98</v>
      </c>
      <c r="F1274" s="13">
        <v>1300</v>
      </c>
      <c r="G1274" s="24" t="s">
        <v>85</v>
      </c>
      <c r="H1274" s="11" t="s">
        <v>129</v>
      </c>
      <c r="I1274" s="15" t="s">
        <v>7709</v>
      </c>
      <c r="J1274" s="10" t="s">
        <v>7710</v>
      </c>
      <c r="K1274" s="11"/>
      <c r="L1274" s="9"/>
      <c r="M1274" s="10"/>
      <c r="N1274" s="22"/>
      <c r="O1274" s="17"/>
      <c r="P1274" s="17"/>
      <c r="Q1274" s="18" t="s">
        <v>78</v>
      </c>
      <c r="R1274" s="18" t="s">
        <v>79</v>
      </c>
      <c r="S1274" s="18" t="s">
        <v>61</v>
      </c>
      <c r="T1274" s="18" t="s">
        <v>62</v>
      </c>
      <c r="U1274" s="19" t="s">
        <v>80</v>
      </c>
    </row>
    <row r="1275" spans="1:21" ht="15.75" customHeight="1" x14ac:dyDescent="0.25">
      <c r="A1275" s="27" t="s">
        <v>7711</v>
      </c>
      <c r="B1275" s="28" t="s">
        <v>7712</v>
      </c>
      <c r="C1275" s="29" t="s">
        <v>7713</v>
      </c>
      <c r="D1275" s="30" t="s">
        <v>7714</v>
      </c>
      <c r="E1275" s="29" t="s">
        <v>98</v>
      </c>
      <c r="F1275" s="29"/>
      <c r="G1275" s="20" t="s">
        <v>85</v>
      </c>
      <c r="H1275" s="29" t="s">
        <v>100</v>
      </c>
      <c r="I1275" s="32" t="s">
        <v>7715</v>
      </c>
      <c r="J1275" s="28" t="s">
        <v>7716</v>
      </c>
      <c r="K1275" s="29" t="s">
        <v>239</v>
      </c>
      <c r="L1275" s="27" t="s">
        <v>90</v>
      </c>
      <c r="M1275" s="28" t="s">
        <v>91</v>
      </c>
      <c r="N1275" s="33" t="s">
        <v>75</v>
      </c>
      <c r="O1275" s="34" t="s">
        <v>124</v>
      </c>
      <c r="P1275" s="34" t="s">
        <v>125</v>
      </c>
      <c r="Q1275" s="35" t="s">
        <v>78</v>
      </c>
      <c r="R1275" s="35" t="s">
        <v>79</v>
      </c>
      <c r="S1275" s="35" t="s">
        <v>61</v>
      </c>
      <c r="T1275" s="35" t="s">
        <v>62</v>
      </c>
      <c r="U1275" s="36" t="s">
        <v>80</v>
      </c>
    </row>
    <row r="1276" spans="1:21" ht="15.75" customHeight="1" x14ac:dyDescent="0.25">
      <c r="A1276" s="9" t="s">
        <v>7717</v>
      </c>
      <c r="B1276" s="10" t="s">
        <v>7718</v>
      </c>
      <c r="C1276" s="11" t="s">
        <v>7719</v>
      </c>
      <c r="D1276" s="21" t="s">
        <v>109</v>
      </c>
      <c r="E1276" s="11"/>
      <c r="F1276" s="13">
        <v>4820</v>
      </c>
      <c r="G1276" s="24" t="s">
        <v>85</v>
      </c>
      <c r="H1276" s="11" t="s">
        <v>129</v>
      </c>
      <c r="I1276" s="15" t="s">
        <v>7720</v>
      </c>
      <c r="J1276" s="10" t="s">
        <v>7721</v>
      </c>
      <c r="K1276" s="11"/>
      <c r="L1276" s="9"/>
      <c r="M1276" s="10"/>
      <c r="N1276" s="22"/>
      <c r="O1276" s="17"/>
      <c r="P1276" s="17"/>
      <c r="Q1276" s="18" t="s">
        <v>78</v>
      </c>
      <c r="R1276" s="18" t="s">
        <v>79</v>
      </c>
      <c r="S1276" s="18" t="s">
        <v>61</v>
      </c>
      <c r="T1276" s="18" t="s">
        <v>62</v>
      </c>
      <c r="U1276" s="19" t="s">
        <v>80</v>
      </c>
    </row>
    <row r="1277" spans="1:21" ht="15.75" customHeight="1" x14ac:dyDescent="0.25">
      <c r="A1277" s="27" t="s">
        <v>7722</v>
      </c>
      <c r="B1277" s="28" t="s">
        <v>7723</v>
      </c>
      <c r="C1277" s="29" t="s">
        <v>7724</v>
      </c>
      <c r="D1277" s="37" t="s">
        <v>109</v>
      </c>
      <c r="E1277" s="29" t="s">
        <v>1264</v>
      </c>
      <c r="F1277" s="31">
        <v>6000</v>
      </c>
      <c r="G1277" s="24" t="s">
        <v>85</v>
      </c>
      <c r="H1277" s="29" t="s">
        <v>129</v>
      </c>
      <c r="I1277" s="32" t="s">
        <v>3073</v>
      </c>
      <c r="J1277" s="28" t="s">
        <v>7725</v>
      </c>
      <c r="K1277" s="29"/>
      <c r="L1277" s="27"/>
      <c r="M1277" s="28"/>
      <c r="N1277" s="38"/>
      <c r="O1277" s="34"/>
      <c r="P1277" s="34"/>
      <c r="Q1277" s="35" t="s">
        <v>78</v>
      </c>
      <c r="R1277" s="35" t="s">
        <v>79</v>
      </c>
      <c r="S1277" s="35" t="s">
        <v>61</v>
      </c>
      <c r="T1277" s="35" t="s">
        <v>62</v>
      </c>
      <c r="U1277" s="36" t="s">
        <v>80</v>
      </c>
    </row>
    <row r="1278" spans="1:21" ht="15.75" customHeight="1" x14ac:dyDescent="0.25">
      <c r="A1278" s="9" t="s">
        <v>7726</v>
      </c>
      <c r="B1278" s="10" t="s">
        <v>7727</v>
      </c>
      <c r="C1278" s="11" t="s">
        <v>7728</v>
      </c>
      <c r="D1278" s="21" t="s">
        <v>109</v>
      </c>
      <c r="E1278" s="11"/>
      <c r="F1278" s="11"/>
      <c r="G1278" s="24" t="s">
        <v>85</v>
      </c>
      <c r="H1278" s="11" t="s">
        <v>120</v>
      </c>
      <c r="I1278" s="15" t="s">
        <v>7729</v>
      </c>
      <c r="J1278" s="10" t="s">
        <v>7730</v>
      </c>
      <c r="K1278" s="11"/>
      <c r="L1278" s="9"/>
      <c r="M1278" s="10"/>
      <c r="N1278" s="22"/>
      <c r="O1278" s="17"/>
      <c r="P1278" s="17"/>
      <c r="Q1278" s="18" t="s">
        <v>78</v>
      </c>
      <c r="R1278" s="18" t="s">
        <v>79</v>
      </c>
      <c r="S1278" s="18" t="s">
        <v>61</v>
      </c>
      <c r="T1278" s="18" t="s">
        <v>62</v>
      </c>
      <c r="U1278" s="19" t="s">
        <v>80</v>
      </c>
    </row>
    <row r="1279" spans="1:21" ht="15.75" customHeight="1" x14ac:dyDescent="0.25">
      <c r="A1279" s="27" t="s">
        <v>7731</v>
      </c>
      <c r="B1279" s="28" t="s">
        <v>7732</v>
      </c>
      <c r="C1279" s="29" t="s">
        <v>7733</v>
      </c>
      <c r="D1279" s="37" t="s">
        <v>109</v>
      </c>
      <c r="E1279" s="29" t="s">
        <v>67</v>
      </c>
      <c r="F1279" s="31">
        <v>-62</v>
      </c>
      <c r="G1279" s="24" t="s">
        <v>85</v>
      </c>
      <c r="H1279" s="29" t="s">
        <v>421</v>
      </c>
      <c r="I1279" s="32" t="s">
        <v>7734</v>
      </c>
      <c r="J1279" s="28" t="s">
        <v>7732</v>
      </c>
      <c r="K1279" s="29"/>
      <c r="L1279" s="27"/>
      <c r="M1279" s="28"/>
      <c r="N1279" s="38"/>
      <c r="O1279" s="34"/>
      <c r="P1279" s="34"/>
      <c r="Q1279" s="35" t="s">
        <v>78</v>
      </c>
      <c r="R1279" s="35" t="s">
        <v>79</v>
      </c>
      <c r="S1279" s="35" t="s">
        <v>61</v>
      </c>
      <c r="T1279" s="35" t="s">
        <v>62</v>
      </c>
      <c r="U1279" s="36" t="s">
        <v>80</v>
      </c>
    </row>
    <row r="1280" spans="1:21" ht="15.75" customHeight="1" x14ac:dyDescent="0.25">
      <c r="A1280" s="9" t="s">
        <v>7735</v>
      </c>
      <c r="B1280" s="10" t="s">
        <v>7736</v>
      </c>
      <c r="C1280" s="11" t="s">
        <v>7737</v>
      </c>
      <c r="D1280" s="21" t="s">
        <v>109</v>
      </c>
      <c r="E1280" s="11" t="s">
        <v>98</v>
      </c>
      <c r="F1280" s="13">
        <v>2500</v>
      </c>
      <c r="G1280" s="24" t="s">
        <v>85</v>
      </c>
      <c r="H1280" s="11" t="s">
        <v>129</v>
      </c>
      <c r="I1280" s="15" t="s">
        <v>7738</v>
      </c>
      <c r="J1280" s="10" t="s">
        <v>7739</v>
      </c>
      <c r="K1280" s="11"/>
      <c r="L1280" s="9"/>
      <c r="M1280" s="10"/>
      <c r="N1280" s="22"/>
      <c r="O1280" s="17"/>
      <c r="P1280" s="17"/>
      <c r="Q1280" s="18" t="s">
        <v>78</v>
      </c>
      <c r="R1280" s="18" t="s">
        <v>79</v>
      </c>
      <c r="S1280" s="18" t="s">
        <v>61</v>
      </c>
      <c r="T1280" s="18" t="s">
        <v>62</v>
      </c>
      <c r="U1280" s="19" t="s">
        <v>80</v>
      </c>
    </row>
    <row r="1281" spans="1:21" ht="15.75" customHeight="1" x14ac:dyDescent="0.25">
      <c r="A1281" s="27" t="s">
        <v>7740</v>
      </c>
      <c r="B1281" s="28" t="s">
        <v>7741</v>
      </c>
      <c r="C1281" s="29" t="s">
        <v>7742</v>
      </c>
      <c r="D1281" s="37" t="s">
        <v>109</v>
      </c>
      <c r="E1281" s="29" t="s">
        <v>98</v>
      </c>
      <c r="F1281" s="29"/>
      <c r="G1281" s="24" t="s">
        <v>85</v>
      </c>
      <c r="H1281" s="29" t="s">
        <v>100</v>
      </c>
      <c r="I1281" s="32" t="s">
        <v>7743</v>
      </c>
      <c r="J1281" s="28" t="s">
        <v>7744</v>
      </c>
      <c r="K1281" s="29"/>
      <c r="L1281" s="27"/>
      <c r="M1281" s="28"/>
      <c r="N1281" s="38"/>
      <c r="O1281" s="34"/>
      <c r="P1281" s="34"/>
      <c r="Q1281" s="35" t="s">
        <v>78</v>
      </c>
      <c r="R1281" s="35" t="s">
        <v>79</v>
      </c>
      <c r="S1281" s="35" t="s">
        <v>61</v>
      </c>
      <c r="T1281" s="35" t="s">
        <v>62</v>
      </c>
      <c r="U1281" s="36" t="s">
        <v>80</v>
      </c>
    </row>
    <row r="1282" spans="1:21" ht="15.75" customHeight="1" x14ac:dyDescent="0.25">
      <c r="A1282" s="9" t="s">
        <v>7745</v>
      </c>
      <c r="B1282" s="10" t="s">
        <v>7746</v>
      </c>
      <c r="C1282" s="11" t="s">
        <v>7747</v>
      </c>
      <c r="D1282" s="12" t="s">
        <v>7748</v>
      </c>
      <c r="E1282" s="11" t="s">
        <v>98</v>
      </c>
      <c r="F1282" s="13">
        <v>3787</v>
      </c>
      <c r="G1282" s="20" t="s">
        <v>85</v>
      </c>
      <c r="H1282" s="11" t="s">
        <v>129</v>
      </c>
      <c r="I1282" s="15" t="s">
        <v>4993</v>
      </c>
      <c r="J1282" s="10" t="s">
        <v>7749</v>
      </c>
      <c r="K1282" s="11" t="s">
        <v>7750</v>
      </c>
      <c r="L1282" s="9" t="s">
        <v>90</v>
      </c>
      <c r="M1282" s="10" t="s">
        <v>91</v>
      </c>
      <c r="N1282" s="16" t="s">
        <v>75</v>
      </c>
      <c r="O1282" s="17" t="s">
        <v>92</v>
      </c>
      <c r="P1282" s="17" t="s">
        <v>93</v>
      </c>
      <c r="Q1282" s="18" t="s">
        <v>78</v>
      </c>
      <c r="R1282" s="18" t="s">
        <v>79</v>
      </c>
      <c r="S1282" s="18" t="s">
        <v>61</v>
      </c>
      <c r="T1282" s="18" t="s">
        <v>62</v>
      </c>
      <c r="U1282" s="19" t="s">
        <v>80</v>
      </c>
    </row>
    <row r="1283" spans="1:21" ht="15.75" customHeight="1" x14ac:dyDescent="0.25">
      <c r="A1283" s="27" t="s">
        <v>7751</v>
      </c>
      <c r="B1283" s="28" t="s">
        <v>7752</v>
      </c>
      <c r="C1283" s="29" t="s">
        <v>7753</v>
      </c>
      <c r="D1283" s="30" t="s">
        <v>7754</v>
      </c>
      <c r="E1283" s="29" t="s">
        <v>67</v>
      </c>
      <c r="F1283" s="31">
        <v>-35.5</v>
      </c>
      <c r="G1283" s="14" t="s">
        <v>708</v>
      </c>
      <c r="H1283" s="29" t="s">
        <v>69</v>
      </c>
      <c r="I1283" s="32" t="s">
        <v>7755</v>
      </c>
      <c r="J1283" s="28" t="s">
        <v>7756</v>
      </c>
      <c r="K1283" s="29" t="s">
        <v>7757</v>
      </c>
      <c r="L1283" s="27" t="s">
        <v>140</v>
      </c>
      <c r="M1283" s="28" t="s">
        <v>141</v>
      </c>
      <c r="N1283" s="33" t="s">
        <v>75</v>
      </c>
      <c r="O1283" s="34" t="s">
        <v>7758</v>
      </c>
      <c r="P1283" s="34" t="s">
        <v>7759</v>
      </c>
      <c r="Q1283" s="35" t="s">
        <v>78</v>
      </c>
      <c r="R1283" s="35" t="s">
        <v>79</v>
      </c>
      <c r="S1283" s="35" t="s">
        <v>61</v>
      </c>
      <c r="T1283" s="35" t="s">
        <v>62</v>
      </c>
      <c r="U1283" s="36" t="s">
        <v>80</v>
      </c>
    </row>
    <row r="1284" spans="1:21" ht="15.75" customHeight="1" x14ac:dyDescent="0.25">
      <c r="A1284" s="9" t="s">
        <v>7760</v>
      </c>
      <c r="B1284" s="10" t="s">
        <v>7761</v>
      </c>
      <c r="C1284" s="11" t="s">
        <v>7762</v>
      </c>
      <c r="D1284" s="21" t="s">
        <v>109</v>
      </c>
      <c r="E1284" s="11" t="s">
        <v>98</v>
      </c>
      <c r="F1284" s="11"/>
      <c r="G1284" s="24" t="s">
        <v>85</v>
      </c>
      <c r="H1284" s="11" t="s">
        <v>100</v>
      </c>
      <c r="I1284" s="15" t="s">
        <v>7763</v>
      </c>
      <c r="J1284" s="10" t="s">
        <v>7764</v>
      </c>
      <c r="K1284" s="11"/>
      <c r="L1284" s="9"/>
      <c r="M1284" s="10"/>
      <c r="N1284" s="22"/>
      <c r="O1284" s="17"/>
      <c r="P1284" s="17"/>
      <c r="Q1284" s="18" t="s">
        <v>78</v>
      </c>
      <c r="R1284" s="18" t="s">
        <v>79</v>
      </c>
      <c r="S1284" s="18" t="s">
        <v>61</v>
      </c>
      <c r="T1284" s="18" t="s">
        <v>62</v>
      </c>
      <c r="U1284" s="19" t="s">
        <v>80</v>
      </c>
    </row>
    <row r="1285" spans="1:21" ht="15.75" customHeight="1" x14ac:dyDescent="0.25">
      <c r="A1285" s="27" t="s">
        <v>7765</v>
      </c>
      <c r="B1285" s="28" t="s">
        <v>7766</v>
      </c>
      <c r="C1285" s="29" t="s">
        <v>7767</v>
      </c>
      <c r="D1285" s="30" t="s">
        <v>7768</v>
      </c>
      <c r="E1285" s="29" t="s">
        <v>98</v>
      </c>
      <c r="F1285" s="29" t="s">
        <v>7769</v>
      </c>
      <c r="G1285" s="20" t="s">
        <v>119</v>
      </c>
      <c r="H1285" s="29" t="s">
        <v>100</v>
      </c>
      <c r="I1285" s="32" t="s">
        <v>7770</v>
      </c>
      <c r="J1285" s="28" t="s">
        <v>7771</v>
      </c>
      <c r="K1285" s="29"/>
      <c r="L1285" s="27"/>
      <c r="M1285" s="28"/>
      <c r="N1285" s="39" t="s">
        <v>179</v>
      </c>
      <c r="O1285" s="34" t="s">
        <v>180</v>
      </c>
      <c r="P1285" s="34" t="s">
        <v>181</v>
      </c>
      <c r="Q1285" s="35" t="s">
        <v>78</v>
      </c>
      <c r="R1285" s="35" t="s">
        <v>79</v>
      </c>
      <c r="S1285" s="35" t="s">
        <v>61</v>
      </c>
      <c r="T1285" s="35" t="s">
        <v>62</v>
      </c>
      <c r="U1285" s="36" t="s">
        <v>80</v>
      </c>
    </row>
    <row r="1286" spans="1:21" ht="15.75" customHeight="1" x14ac:dyDescent="0.25">
      <c r="A1286" s="9" t="s">
        <v>7772</v>
      </c>
      <c r="B1286" s="10" t="s">
        <v>7773</v>
      </c>
      <c r="C1286" s="11" t="s">
        <v>7774</v>
      </c>
      <c r="D1286" s="21" t="s">
        <v>109</v>
      </c>
      <c r="E1286" s="11" t="s">
        <v>47</v>
      </c>
      <c r="F1286" s="13">
        <v>212</v>
      </c>
      <c r="G1286" s="24" t="s">
        <v>85</v>
      </c>
      <c r="H1286" s="11" t="s">
        <v>129</v>
      </c>
      <c r="I1286" s="15" t="s">
        <v>7775</v>
      </c>
      <c r="J1286" s="10" t="s">
        <v>7776</v>
      </c>
      <c r="K1286" s="11"/>
      <c r="L1286" s="9"/>
      <c r="M1286" s="10"/>
      <c r="N1286" s="22"/>
      <c r="O1286" s="17"/>
      <c r="P1286" s="17"/>
      <c r="Q1286" s="18" t="s">
        <v>78</v>
      </c>
      <c r="R1286" s="18" t="s">
        <v>79</v>
      </c>
      <c r="S1286" s="18" t="s">
        <v>61</v>
      </c>
      <c r="T1286" s="18" t="s">
        <v>62</v>
      </c>
      <c r="U1286" s="19" t="s">
        <v>80</v>
      </c>
    </row>
    <row r="1287" spans="1:21" ht="15.75" customHeight="1" x14ac:dyDescent="0.25">
      <c r="A1287" s="27" t="s">
        <v>7777</v>
      </c>
      <c r="B1287" s="28" t="s">
        <v>7778</v>
      </c>
      <c r="C1287" s="29" t="s">
        <v>7779</v>
      </c>
      <c r="D1287" s="30" t="s">
        <v>7780</v>
      </c>
      <c r="E1287" s="29" t="s">
        <v>47</v>
      </c>
      <c r="F1287" s="31">
        <v>71</v>
      </c>
      <c r="G1287" s="20" t="s">
        <v>85</v>
      </c>
      <c r="H1287" s="29" t="s">
        <v>48</v>
      </c>
      <c r="I1287" s="32" t="s">
        <v>7781</v>
      </c>
      <c r="J1287" s="28" t="s">
        <v>7782</v>
      </c>
      <c r="K1287" s="29" t="s">
        <v>7783</v>
      </c>
      <c r="L1287" s="27" t="s">
        <v>158</v>
      </c>
      <c r="M1287" s="28" t="s">
        <v>159</v>
      </c>
      <c r="N1287" s="33" t="s">
        <v>75</v>
      </c>
      <c r="O1287" s="34" t="s">
        <v>382</v>
      </c>
      <c r="P1287" s="34" t="s">
        <v>383</v>
      </c>
      <c r="Q1287" s="35" t="s">
        <v>78</v>
      </c>
      <c r="R1287" s="35" t="s">
        <v>79</v>
      </c>
      <c r="S1287" s="35" t="s">
        <v>61</v>
      </c>
      <c r="T1287" s="35" t="s">
        <v>62</v>
      </c>
      <c r="U1287" s="36" t="s">
        <v>80</v>
      </c>
    </row>
    <row r="1288" spans="1:21" ht="15.75" customHeight="1" x14ac:dyDescent="0.25">
      <c r="A1288" s="9" t="s">
        <v>7784</v>
      </c>
      <c r="B1288" s="10" t="s">
        <v>7785</v>
      </c>
      <c r="C1288" s="11" t="s">
        <v>7786</v>
      </c>
      <c r="D1288" s="21" t="s">
        <v>109</v>
      </c>
      <c r="E1288" s="11" t="s">
        <v>98</v>
      </c>
      <c r="F1288" s="11"/>
      <c r="G1288" s="24" t="s">
        <v>85</v>
      </c>
      <c r="H1288" s="11" t="s">
        <v>100</v>
      </c>
      <c r="I1288" s="15" t="s">
        <v>7787</v>
      </c>
      <c r="J1288" s="10" t="s">
        <v>7788</v>
      </c>
      <c r="K1288" s="11"/>
      <c r="L1288" s="9"/>
      <c r="M1288" s="10"/>
      <c r="N1288" s="22"/>
      <c r="O1288" s="17"/>
      <c r="P1288" s="17"/>
      <c r="Q1288" s="18" t="s">
        <v>78</v>
      </c>
      <c r="R1288" s="18" t="s">
        <v>79</v>
      </c>
      <c r="S1288" s="18" t="s">
        <v>61</v>
      </c>
      <c r="T1288" s="18" t="s">
        <v>62</v>
      </c>
      <c r="U1288" s="19" t="s">
        <v>80</v>
      </c>
    </row>
    <row r="1289" spans="1:21" ht="15.75" customHeight="1" x14ac:dyDescent="0.25">
      <c r="A1289" s="27" t="s">
        <v>7789</v>
      </c>
      <c r="B1289" s="28" t="s">
        <v>7790</v>
      </c>
      <c r="C1289" s="29" t="s">
        <v>7791</v>
      </c>
      <c r="D1289" s="37" t="s">
        <v>109</v>
      </c>
      <c r="E1289" s="29" t="s">
        <v>47</v>
      </c>
      <c r="F1289" s="31">
        <v>164</v>
      </c>
      <c r="G1289" s="25" t="s">
        <v>110</v>
      </c>
      <c r="H1289" s="29" t="s">
        <v>86</v>
      </c>
      <c r="I1289" s="32" t="s">
        <v>4235</v>
      </c>
      <c r="J1289" s="28" t="s">
        <v>7792</v>
      </c>
      <c r="K1289" s="29" t="s">
        <v>7793</v>
      </c>
      <c r="L1289" s="27" t="s">
        <v>481</v>
      </c>
      <c r="M1289" s="28" t="s">
        <v>482</v>
      </c>
      <c r="N1289" s="38"/>
      <c r="O1289" s="34"/>
      <c r="P1289" s="34"/>
      <c r="Q1289" s="35" t="s">
        <v>78</v>
      </c>
      <c r="R1289" s="35" t="s">
        <v>79</v>
      </c>
      <c r="S1289" s="35" t="s">
        <v>61</v>
      </c>
      <c r="T1289" s="35" t="s">
        <v>62</v>
      </c>
      <c r="U1289" s="36" t="s">
        <v>80</v>
      </c>
    </row>
    <row r="1290" spans="1:21" ht="15.75" customHeight="1" x14ac:dyDescent="0.25">
      <c r="A1290" s="9" t="s">
        <v>7794</v>
      </c>
      <c r="B1290" s="10" t="s">
        <v>7795</v>
      </c>
      <c r="C1290" s="11" t="s">
        <v>7796</v>
      </c>
      <c r="D1290" s="21" t="s">
        <v>109</v>
      </c>
      <c r="E1290" s="11" t="s">
        <v>47</v>
      </c>
      <c r="F1290" s="13">
        <v>146</v>
      </c>
      <c r="G1290" s="14" t="s">
        <v>119</v>
      </c>
      <c r="H1290" s="11" t="s">
        <v>330</v>
      </c>
      <c r="I1290" s="15" t="s">
        <v>7797</v>
      </c>
      <c r="J1290" s="10" t="s">
        <v>7798</v>
      </c>
      <c r="K1290" s="11" t="s">
        <v>7278</v>
      </c>
      <c r="L1290" s="9" t="s">
        <v>158</v>
      </c>
      <c r="M1290" s="10" t="s">
        <v>159</v>
      </c>
      <c r="N1290" s="22"/>
      <c r="O1290" s="17"/>
      <c r="P1290" s="17"/>
      <c r="Q1290" s="18" t="s">
        <v>78</v>
      </c>
      <c r="R1290" s="18" t="s">
        <v>79</v>
      </c>
      <c r="S1290" s="18" t="s">
        <v>61</v>
      </c>
      <c r="T1290" s="18" t="s">
        <v>62</v>
      </c>
      <c r="U1290" s="19" t="s">
        <v>80</v>
      </c>
    </row>
    <row r="1291" spans="1:21" ht="15.75" customHeight="1" x14ac:dyDescent="0.25">
      <c r="A1291" s="27" t="s">
        <v>7799</v>
      </c>
      <c r="B1291" s="28" t="s">
        <v>7800</v>
      </c>
      <c r="C1291" s="29" t="s">
        <v>7801</v>
      </c>
      <c r="D1291" s="37" t="s">
        <v>109</v>
      </c>
      <c r="E1291" s="29" t="s">
        <v>47</v>
      </c>
      <c r="F1291" s="31">
        <v>156</v>
      </c>
      <c r="G1291" s="24" t="s">
        <v>85</v>
      </c>
      <c r="H1291" s="29" t="s">
        <v>86</v>
      </c>
      <c r="I1291" s="32" t="s">
        <v>7802</v>
      </c>
      <c r="J1291" s="28" t="s">
        <v>7803</v>
      </c>
      <c r="K1291" s="29"/>
      <c r="L1291" s="27"/>
      <c r="M1291" s="28"/>
      <c r="N1291" s="38"/>
      <c r="O1291" s="34"/>
      <c r="P1291" s="34"/>
      <c r="Q1291" s="35" t="s">
        <v>78</v>
      </c>
      <c r="R1291" s="35" t="s">
        <v>79</v>
      </c>
      <c r="S1291" s="35" t="s">
        <v>61</v>
      </c>
      <c r="T1291" s="35" t="s">
        <v>62</v>
      </c>
      <c r="U1291" s="36" t="s">
        <v>80</v>
      </c>
    </row>
    <row r="1292" spans="1:21" ht="15.75" customHeight="1" x14ac:dyDescent="0.25">
      <c r="A1292" s="9" t="s">
        <v>7804</v>
      </c>
      <c r="B1292" s="10" t="s">
        <v>7805</v>
      </c>
      <c r="C1292" s="11" t="s">
        <v>7806</v>
      </c>
      <c r="D1292" s="12" t="s">
        <v>7807</v>
      </c>
      <c r="E1292" s="11" t="s">
        <v>47</v>
      </c>
      <c r="F1292" s="13">
        <v>159</v>
      </c>
      <c r="G1292" s="20" t="s">
        <v>119</v>
      </c>
      <c r="H1292" s="11" t="s">
        <v>86</v>
      </c>
      <c r="I1292" s="15" t="s">
        <v>7808</v>
      </c>
      <c r="J1292" s="10" t="s">
        <v>7809</v>
      </c>
      <c r="K1292" s="11" t="s">
        <v>7810</v>
      </c>
      <c r="L1292" s="9" t="s">
        <v>481</v>
      </c>
      <c r="M1292" s="10" t="s">
        <v>482</v>
      </c>
      <c r="N1292" s="16" t="s">
        <v>75</v>
      </c>
      <c r="O1292" s="17" t="s">
        <v>4744</v>
      </c>
      <c r="P1292" s="17" t="s">
        <v>4745</v>
      </c>
      <c r="Q1292" s="18" t="s">
        <v>78</v>
      </c>
      <c r="R1292" s="18" t="s">
        <v>79</v>
      </c>
      <c r="S1292" s="18" t="s">
        <v>61</v>
      </c>
      <c r="T1292" s="18" t="s">
        <v>62</v>
      </c>
      <c r="U1292" s="19" t="s">
        <v>80</v>
      </c>
    </row>
    <row r="1293" spans="1:21" ht="15.75" customHeight="1" x14ac:dyDescent="0.25">
      <c r="A1293" s="27" t="s">
        <v>7811</v>
      </c>
      <c r="B1293" s="28" t="s">
        <v>7812</v>
      </c>
      <c r="C1293" s="29" t="s">
        <v>7813</v>
      </c>
      <c r="D1293" s="37" t="s">
        <v>109</v>
      </c>
      <c r="E1293" s="29" t="s">
        <v>47</v>
      </c>
      <c r="F1293" s="31">
        <v>185</v>
      </c>
      <c r="G1293" s="25" t="s">
        <v>110</v>
      </c>
      <c r="H1293" s="29" t="s">
        <v>86</v>
      </c>
      <c r="I1293" s="32" t="s">
        <v>7814</v>
      </c>
      <c r="J1293" s="28" t="s">
        <v>7815</v>
      </c>
      <c r="K1293" s="29" t="s">
        <v>5559</v>
      </c>
      <c r="L1293" s="27" t="s">
        <v>481</v>
      </c>
      <c r="M1293" s="28" t="s">
        <v>482</v>
      </c>
      <c r="N1293" s="38"/>
      <c r="O1293" s="34"/>
      <c r="P1293" s="34"/>
      <c r="Q1293" s="35" t="s">
        <v>78</v>
      </c>
      <c r="R1293" s="35" t="s">
        <v>79</v>
      </c>
      <c r="S1293" s="35" t="s">
        <v>61</v>
      </c>
      <c r="T1293" s="35" t="s">
        <v>62</v>
      </c>
      <c r="U1293" s="36" t="s">
        <v>80</v>
      </c>
    </row>
    <row r="1294" spans="1:21" ht="15.75" customHeight="1" x14ac:dyDescent="0.25">
      <c r="A1294" s="9" t="s">
        <v>7816</v>
      </c>
      <c r="B1294" s="10" t="s">
        <v>7817</v>
      </c>
      <c r="C1294" s="11" t="s">
        <v>7818</v>
      </c>
      <c r="D1294" s="21" t="s">
        <v>109</v>
      </c>
      <c r="E1294" s="11" t="s">
        <v>47</v>
      </c>
      <c r="F1294" s="13">
        <v>256</v>
      </c>
      <c r="G1294" s="25" t="s">
        <v>110</v>
      </c>
      <c r="H1294" s="11" t="s">
        <v>129</v>
      </c>
      <c r="I1294" s="15" t="s">
        <v>7819</v>
      </c>
      <c r="J1294" s="10" t="s">
        <v>7820</v>
      </c>
      <c r="K1294" s="11" t="s">
        <v>7821</v>
      </c>
      <c r="L1294" s="9" t="s">
        <v>481</v>
      </c>
      <c r="M1294" s="10" t="s">
        <v>482</v>
      </c>
      <c r="N1294" s="22"/>
      <c r="O1294" s="17"/>
      <c r="P1294" s="17"/>
      <c r="Q1294" s="18" t="s">
        <v>78</v>
      </c>
      <c r="R1294" s="18" t="s">
        <v>79</v>
      </c>
      <c r="S1294" s="18" t="s">
        <v>61</v>
      </c>
      <c r="T1294" s="18" t="s">
        <v>62</v>
      </c>
      <c r="U1294" s="19" t="s">
        <v>80</v>
      </c>
    </row>
    <row r="1295" spans="1:21" ht="15.75" customHeight="1" x14ac:dyDescent="0.25">
      <c r="A1295" s="27" t="s">
        <v>7822</v>
      </c>
      <c r="B1295" s="28" t="s">
        <v>7823</v>
      </c>
      <c r="C1295" s="29" t="s">
        <v>7824</v>
      </c>
      <c r="D1295" s="37" t="s">
        <v>109</v>
      </c>
      <c r="E1295" s="29" t="s">
        <v>47</v>
      </c>
      <c r="F1295" s="31">
        <v>180</v>
      </c>
      <c r="G1295" s="25" t="s">
        <v>110</v>
      </c>
      <c r="H1295" s="29" t="s">
        <v>86</v>
      </c>
      <c r="I1295" s="32" t="s">
        <v>7825</v>
      </c>
      <c r="J1295" s="28" t="s">
        <v>7826</v>
      </c>
      <c r="K1295" s="29" t="s">
        <v>7827</v>
      </c>
      <c r="L1295" s="27" t="s">
        <v>481</v>
      </c>
      <c r="M1295" s="28" t="s">
        <v>482</v>
      </c>
      <c r="N1295" s="38"/>
      <c r="O1295" s="34"/>
      <c r="P1295" s="34"/>
      <c r="Q1295" s="35" t="s">
        <v>78</v>
      </c>
      <c r="R1295" s="35" t="s">
        <v>79</v>
      </c>
      <c r="S1295" s="35" t="s">
        <v>61</v>
      </c>
      <c r="T1295" s="35" t="s">
        <v>62</v>
      </c>
      <c r="U1295" s="36" t="s">
        <v>80</v>
      </c>
    </row>
    <row r="1296" spans="1:21" ht="15.75" customHeight="1" x14ac:dyDescent="0.25">
      <c r="A1296" s="9" t="s">
        <v>7828</v>
      </c>
      <c r="B1296" s="10" t="s">
        <v>7829</v>
      </c>
      <c r="C1296" s="11" t="s">
        <v>7830</v>
      </c>
      <c r="D1296" s="12" t="s">
        <v>7831</v>
      </c>
      <c r="E1296" s="11" t="s">
        <v>47</v>
      </c>
      <c r="F1296" s="13">
        <v>72</v>
      </c>
      <c r="G1296" s="20" t="s">
        <v>119</v>
      </c>
      <c r="H1296" s="11" t="s">
        <v>48</v>
      </c>
      <c r="I1296" s="15" t="s">
        <v>7832</v>
      </c>
      <c r="J1296" s="10" t="s">
        <v>7833</v>
      </c>
      <c r="K1296" s="11" t="s">
        <v>7834</v>
      </c>
      <c r="L1296" s="9" t="s">
        <v>158</v>
      </c>
      <c r="M1296" s="10" t="s">
        <v>159</v>
      </c>
      <c r="N1296" s="16" t="s">
        <v>75</v>
      </c>
      <c r="O1296" s="17" t="s">
        <v>382</v>
      </c>
      <c r="P1296" s="17" t="s">
        <v>383</v>
      </c>
      <c r="Q1296" s="18" t="s">
        <v>78</v>
      </c>
      <c r="R1296" s="18" t="s">
        <v>79</v>
      </c>
      <c r="S1296" s="18" t="s">
        <v>61</v>
      </c>
      <c r="T1296" s="18" t="s">
        <v>62</v>
      </c>
      <c r="U1296" s="19" t="s">
        <v>80</v>
      </c>
    </row>
    <row r="1297" spans="1:21" ht="15.75" customHeight="1" x14ac:dyDescent="0.25">
      <c r="A1297" s="27" t="s">
        <v>7835</v>
      </c>
      <c r="B1297" s="28" t="s">
        <v>7836</v>
      </c>
      <c r="C1297" s="29" t="s">
        <v>7837</v>
      </c>
      <c r="D1297" s="37" t="s">
        <v>109</v>
      </c>
      <c r="E1297" s="29" t="s">
        <v>98</v>
      </c>
      <c r="F1297" s="31">
        <v>194</v>
      </c>
      <c r="G1297" s="25" t="s">
        <v>110</v>
      </c>
      <c r="H1297" s="29" t="s">
        <v>86</v>
      </c>
      <c r="I1297" s="32" t="s">
        <v>7838</v>
      </c>
      <c r="J1297" s="28" t="s">
        <v>7839</v>
      </c>
      <c r="K1297" s="29" t="s">
        <v>559</v>
      </c>
      <c r="L1297" s="27" t="s">
        <v>90</v>
      </c>
      <c r="M1297" s="28" t="s">
        <v>91</v>
      </c>
      <c r="N1297" s="38"/>
      <c r="O1297" s="34"/>
      <c r="P1297" s="34"/>
      <c r="Q1297" s="35" t="s">
        <v>78</v>
      </c>
      <c r="R1297" s="35" t="s">
        <v>79</v>
      </c>
      <c r="S1297" s="35" t="s">
        <v>61</v>
      </c>
      <c r="T1297" s="35" t="s">
        <v>62</v>
      </c>
      <c r="U1297" s="36" t="s">
        <v>80</v>
      </c>
    </row>
    <row r="1298" spans="1:21" ht="15.75" customHeight="1" x14ac:dyDescent="0.25">
      <c r="A1298" s="9" t="s">
        <v>7840</v>
      </c>
      <c r="B1298" s="10" t="s">
        <v>7841</v>
      </c>
      <c r="C1298" s="11" t="s">
        <v>7842</v>
      </c>
      <c r="D1298" s="21" t="s">
        <v>109</v>
      </c>
      <c r="E1298" s="11" t="s">
        <v>47</v>
      </c>
      <c r="F1298" s="13">
        <v>28</v>
      </c>
      <c r="G1298" s="24" t="s">
        <v>85</v>
      </c>
      <c r="H1298" s="11" t="s">
        <v>69</v>
      </c>
      <c r="I1298" s="15" t="s">
        <v>7843</v>
      </c>
      <c r="J1298" s="10" t="s">
        <v>7844</v>
      </c>
      <c r="K1298" s="11"/>
      <c r="L1298" s="9"/>
      <c r="M1298" s="10"/>
      <c r="N1298" s="22"/>
      <c r="O1298" s="17"/>
      <c r="P1298" s="17"/>
      <c r="Q1298" s="18" t="s">
        <v>78</v>
      </c>
      <c r="R1298" s="18" t="s">
        <v>79</v>
      </c>
      <c r="S1298" s="18" t="s">
        <v>61</v>
      </c>
      <c r="T1298" s="18" t="s">
        <v>62</v>
      </c>
      <c r="U1298" s="19" t="s">
        <v>80</v>
      </c>
    </row>
    <row r="1299" spans="1:21" ht="15.75" customHeight="1" x14ac:dyDescent="0.25">
      <c r="A1299" s="27" t="s">
        <v>7845</v>
      </c>
      <c r="B1299" s="28" t="s">
        <v>7846</v>
      </c>
      <c r="C1299" s="29" t="s">
        <v>7847</v>
      </c>
      <c r="D1299" s="37" t="s">
        <v>109</v>
      </c>
      <c r="E1299" s="29" t="s">
        <v>47</v>
      </c>
      <c r="F1299" s="29">
        <v>10</v>
      </c>
      <c r="G1299" s="14" t="s">
        <v>119</v>
      </c>
      <c r="H1299" s="29" t="s">
        <v>120</v>
      </c>
      <c r="I1299" s="32" t="s">
        <v>7848</v>
      </c>
      <c r="J1299" s="28" t="s">
        <v>7849</v>
      </c>
      <c r="K1299" s="29" t="s">
        <v>903</v>
      </c>
      <c r="L1299" s="27" t="s">
        <v>158</v>
      </c>
      <c r="M1299" s="28" t="s">
        <v>159</v>
      </c>
      <c r="N1299" s="38"/>
      <c r="O1299" s="34"/>
      <c r="P1299" s="34"/>
      <c r="Q1299" s="35" t="s">
        <v>78</v>
      </c>
      <c r="R1299" s="35" t="s">
        <v>79</v>
      </c>
      <c r="S1299" s="35" t="s">
        <v>61</v>
      </c>
      <c r="T1299" s="35" t="s">
        <v>62</v>
      </c>
      <c r="U1299" s="36" t="s">
        <v>80</v>
      </c>
    </row>
    <row r="1300" spans="1:21" ht="15.75" customHeight="1" x14ac:dyDescent="0.25">
      <c r="A1300" s="9" t="s">
        <v>7850</v>
      </c>
      <c r="B1300" s="10" t="s">
        <v>7851</v>
      </c>
      <c r="C1300" s="11" t="s">
        <v>7852</v>
      </c>
      <c r="D1300" s="21" t="s">
        <v>109</v>
      </c>
      <c r="E1300" s="11" t="s">
        <v>98</v>
      </c>
      <c r="F1300" s="13">
        <v>280</v>
      </c>
      <c r="G1300" s="25" t="s">
        <v>110</v>
      </c>
      <c r="H1300" s="11" t="s">
        <v>129</v>
      </c>
      <c r="I1300" s="15" t="s">
        <v>7853</v>
      </c>
      <c r="J1300" s="10" t="s">
        <v>7854</v>
      </c>
      <c r="K1300" s="11" t="s">
        <v>4066</v>
      </c>
      <c r="L1300" s="9" t="s">
        <v>481</v>
      </c>
      <c r="M1300" s="10" t="s">
        <v>482</v>
      </c>
      <c r="N1300" s="22"/>
      <c r="O1300" s="17"/>
      <c r="P1300" s="17"/>
      <c r="Q1300" s="18" t="s">
        <v>78</v>
      </c>
      <c r="R1300" s="18" t="s">
        <v>79</v>
      </c>
      <c r="S1300" s="18" t="s">
        <v>61</v>
      </c>
      <c r="T1300" s="18" t="s">
        <v>62</v>
      </c>
      <c r="U1300" s="19" t="s">
        <v>80</v>
      </c>
    </row>
    <row r="1301" spans="1:21" ht="15.75" customHeight="1" x14ac:dyDescent="0.25">
      <c r="A1301" s="27" t="s">
        <v>7855</v>
      </c>
      <c r="B1301" s="28" t="s">
        <v>7856</v>
      </c>
      <c r="C1301" s="29" t="s">
        <v>7857</v>
      </c>
      <c r="D1301" s="37" t="s">
        <v>109</v>
      </c>
      <c r="E1301" s="29" t="s">
        <v>98</v>
      </c>
      <c r="F1301" s="29" t="s">
        <v>7858</v>
      </c>
      <c r="G1301" s="14" t="s">
        <v>119</v>
      </c>
      <c r="H1301" s="29" t="s">
        <v>100</v>
      </c>
      <c r="I1301" s="32" t="s">
        <v>7859</v>
      </c>
      <c r="J1301" s="28" t="s">
        <v>7860</v>
      </c>
      <c r="K1301" s="29" t="s">
        <v>7861</v>
      </c>
      <c r="L1301" s="27" t="s">
        <v>1598</v>
      </c>
      <c r="M1301" s="28" t="s">
        <v>1599</v>
      </c>
      <c r="N1301" s="38"/>
      <c r="O1301" s="34"/>
      <c r="P1301" s="34"/>
      <c r="Q1301" s="35" t="s">
        <v>78</v>
      </c>
      <c r="R1301" s="35" t="s">
        <v>79</v>
      </c>
      <c r="S1301" s="35" t="s">
        <v>61</v>
      </c>
      <c r="T1301" s="35" t="s">
        <v>62</v>
      </c>
      <c r="U1301" s="36" t="s">
        <v>80</v>
      </c>
    </row>
    <row r="1302" spans="1:21" ht="15.75" customHeight="1" x14ac:dyDescent="0.25">
      <c r="A1302" s="9" t="s">
        <v>7862</v>
      </c>
      <c r="B1302" s="10" t="s">
        <v>7863</v>
      </c>
      <c r="C1302" s="11" t="s">
        <v>7864</v>
      </c>
      <c r="D1302" s="21" t="s">
        <v>109</v>
      </c>
      <c r="E1302" s="11" t="s">
        <v>47</v>
      </c>
      <c r="F1302" s="13">
        <v>180</v>
      </c>
      <c r="G1302" s="24" t="s">
        <v>85</v>
      </c>
      <c r="H1302" s="11" t="s">
        <v>86</v>
      </c>
      <c r="I1302" s="15" t="s">
        <v>7865</v>
      </c>
      <c r="J1302" s="10" t="s">
        <v>7866</v>
      </c>
      <c r="K1302" s="11"/>
      <c r="L1302" s="9"/>
      <c r="M1302" s="10"/>
      <c r="N1302" s="22"/>
      <c r="O1302" s="17"/>
      <c r="P1302" s="17"/>
      <c r="Q1302" s="18" t="s">
        <v>78</v>
      </c>
      <c r="R1302" s="18" t="s">
        <v>79</v>
      </c>
      <c r="S1302" s="18" t="s">
        <v>61</v>
      </c>
      <c r="T1302" s="18" t="s">
        <v>62</v>
      </c>
      <c r="U1302" s="19" t="s">
        <v>80</v>
      </c>
    </row>
    <row r="1303" spans="1:21" ht="15.75" customHeight="1" x14ac:dyDescent="0.25">
      <c r="A1303" s="27" t="s">
        <v>7867</v>
      </c>
      <c r="B1303" s="28" t="s">
        <v>7868</v>
      </c>
      <c r="C1303" s="29" t="s">
        <v>7869</v>
      </c>
      <c r="D1303" s="37" t="s">
        <v>109</v>
      </c>
      <c r="E1303" s="29" t="s">
        <v>47</v>
      </c>
      <c r="F1303" s="31">
        <v>271</v>
      </c>
      <c r="G1303" s="24" t="s">
        <v>85</v>
      </c>
      <c r="H1303" s="29" t="s">
        <v>129</v>
      </c>
      <c r="I1303" s="32" t="s">
        <v>7870</v>
      </c>
      <c r="J1303" s="28" t="s">
        <v>7871</v>
      </c>
      <c r="K1303" s="29"/>
      <c r="L1303" s="27"/>
      <c r="M1303" s="28"/>
      <c r="N1303" s="38"/>
      <c r="O1303" s="34"/>
      <c r="P1303" s="34"/>
      <c r="Q1303" s="35" t="s">
        <v>78</v>
      </c>
      <c r="R1303" s="35" t="s">
        <v>79</v>
      </c>
      <c r="S1303" s="35" t="s">
        <v>61</v>
      </c>
      <c r="T1303" s="35" t="s">
        <v>62</v>
      </c>
      <c r="U1303" s="36" t="s">
        <v>80</v>
      </c>
    </row>
    <row r="1304" spans="1:21" ht="15.75" customHeight="1" x14ac:dyDescent="0.25">
      <c r="A1304" s="9" t="s">
        <v>7872</v>
      </c>
      <c r="B1304" s="10" t="s">
        <v>7873</v>
      </c>
      <c r="C1304" s="11" t="s">
        <v>7874</v>
      </c>
      <c r="D1304" s="21" t="s">
        <v>109</v>
      </c>
      <c r="E1304" s="11" t="s">
        <v>47</v>
      </c>
      <c r="F1304" s="13">
        <v>344</v>
      </c>
      <c r="G1304" s="24" t="s">
        <v>85</v>
      </c>
      <c r="H1304" s="11" t="s">
        <v>129</v>
      </c>
      <c r="I1304" s="15" t="s">
        <v>7875</v>
      </c>
      <c r="J1304" s="10" t="s">
        <v>7876</v>
      </c>
      <c r="K1304" s="11"/>
      <c r="L1304" s="9"/>
      <c r="M1304" s="10"/>
      <c r="N1304" s="22"/>
      <c r="O1304" s="17"/>
      <c r="P1304" s="17"/>
      <c r="Q1304" s="18" t="s">
        <v>78</v>
      </c>
      <c r="R1304" s="18" t="s">
        <v>79</v>
      </c>
      <c r="S1304" s="18" t="s">
        <v>61</v>
      </c>
      <c r="T1304" s="18" t="s">
        <v>62</v>
      </c>
      <c r="U1304" s="19" t="s">
        <v>80</v>
      </c>
    </row>
    <row r="1305" spans="1:21" ht="15.75" customHeight="1" x14ac:dyDescent="0.25">
      <c r="A1305" s="27" t="s">
        <v>7877</v>
      </c>
      <c r="B1305" s="28" t="s">
        <v>7878</v>
      </c>
      <c r="C1305" s="29" t="s">
        <v>7879</v>
      </c>
      <c r="D1305" s="37" t="s">
        <v>109</v>
      </c>
      <c r="E1305" s="29" t="s">
        <v>47</v>
      </c>
      <c r="F1305" s="31">
        <v>294</v>
      </c>
      <c r="G1305" s="24" t="s">
        <v>85</v>
      </c>
      <c r="H1305" s="29" t="s">
        <v>129</v>
      </c>
      <c r="I1305" s="32" t="s">
        <v>6926</v>
      </c>
      <c r="J1305" s="28" t="s">
        <v>7880</v>
      </c>
      <c r="K1305" s="29"/>
      <c r="L1305" s="27"/>
      <c r="M1305" s="28"/>
      <c r="N1305" s="38"/>
      <c r="O1305" s="34"/>
      <c r="P1305" s="34"/>
      <c r="Q1305" s="35" t="s">
        <v>78</v>
      </c>
      <c r="R1305" s="35" t="s">
        <v>79</v>
      </c>
      <c r="S1305" s="35" t="s">
        <v>61</v>
      </c>
      <c r="T1305" s="35" t="s">
        <v>62</v>
      </c>
      <c r="U1305" s="36" t="s">
        <v>80</v>
      </c>
    </row>
    <row r="1306" spans="1:21" ht="15.75" customHeight="1" x14ac:dyDescent="0.25">
      <c r="A1306" s="9" t="s">
        <v>7881</v>
      </c>
      <c r="B1306" s="10" t="s">
        <v>7882</v>
      </c>
      <c r="C1306" s="11" t="s">
        <v>7883</v>
      </c>
      <c r="D1306" s="12" t="s">
        <v>7884</v>
      </c>
      <c r="E1306" s="11" t="s">
        <v>98</v>
      </c>
      <c r="F1306" s="11"/>
      <c r="G1306" s="20" t="s">
        <v>85</v>
      </c>
      <c r="H1306" s="11" t="s">
        <v>100</v>
      </c>
      <c r="I1306" s="15" t="s">
        <v>7885</v>
      </c>
      <c r="J1306" s="10" t="s">
        <v>7886</v>
      </c>
      <c r="K1306" s="11" t="s">
        <v>7750</v>
      </c>
      <c r="L1306" s="9" t="s">
        <v>90</v>
      </c>
      <c r="M1306" s="10" t="s">
        <v>91</v>
      </c>
      <c r="N1306" s="16" t="s">
        <v>75</v>
      </c>
      <c r="O1306" s="17" t="s">
        <v>92</v>
      </c>
      <c r="P1306" s="17" t="s">
        <v>93</v>
      </c>
      <c r="Q1306" s="18" t="s">
        <v>78</v>
      </c>
      <c r="R1306" s="18" t="s">
        <v>79</v>
      </c>
      <c r="S1306" s="18" t="s">
        <v>61</v>
      </c>
      <c r="T1306" s="18" t="s">
        <v>62</v>
      </c>
      <c r="U1306" s="19" t="s">
        <v>80</v>
      </c>
    </row>
    <row r="1307" spans="1:21" ht="15.75" customHeight="1" x14ac:dyDescent="0.25">
      <c r="A1307" s="27" t="s">
        <v>7887</v>
      </c>
      <c r="B1307" s="28" t="s">
        <v>7888</v>
      </c>
      <c r="C1307" s="29" t="s">
        <v>7889</v>
      </c>
      <c r="D1307" s="30" t="s">
        <v>7884</v>
      </c>
      <c r="E1307" s="29" t="s">
        <v>98</v>
      </c>
      <c r="F1307" s="29"/>
      <c r="G1307" s="20" t="s">
        <v>85</v>
      </c>
      <c r="H1307" s="29" t="s">
        <v>100</v>
      </c>
      <c r="I1307" s="32" t="s">
        <v>7890</v>
      </c>
      <c r="J1307" s="28" t="s">
        <v>7891</v>
      </c>
      <c r="K1307" s="29" t="s">
        <v>7892</v>
      </c>
      <c r="L1307" s="27" t="s">
        <v>1203</v>
      </c>
      <c r="M1307" s="28" t="s">
        <v>1204</v>
      </c>
      <c r="N1307" s="33" t="s">
        <v>75</v>
      </c>
      <c r="O1307" s="34" t="s">
        <v>575</v>
      </c>
      <c r="P1307" s="34" t="s">
        <v>576</v>
      </c>
      <c r="Q1307" s="35" t="s">
        <v>78</v>
      </c>
      <c r="R1307" s="35" t="s">
        <v>79</v>
      </c>
      <c r="S1307" s="35" t="s">
        <v>61</v>
      </c>
      <c r="T1307" s="35" t="s">
        <v>62</v>
      </c>
      <c r="U1307" s="36" t="s">
        <v>80</v>
      </c>
    </row>
    <row r="1308" spans="1:21" ht="15.75" customHeight="1" x14ac:dyDescent="0.25">
      <c r="A1308" s="9" t="s">
        <v>7893</v>
      </c>
      <c r="B1308" s="10" t="s">
        <v>7894</v>
      </c>
      <c r="C1308" s="11" t="s">
        <v>7895</v>
      </c>
      <c r="D1308" s="12" t="s">
        <v>7748</v>
      </c>
      <c r="E1308" s="11" t="s">
        <v>1264</v>
      </c>
      <c r="F1308" s="11"/>
      <c r="G1308" s="20" t="s">
        <v>85</v>
      </c>
      <c r="H1308" s="11" t="s">
        <v>100</v>
      </c>
      <c r="I1308" s="15" t="s">
        <v>7896</v>
      </c>
      <c r="J1308" s="10" t="s">
        <v>7897</v>
      </c>
      <c r="K1308" s="11" t="s">
        <v>7750</v>
      </c>
      <c r="L1308" s="9" t="s">
        <v>90</v>
      </c>
      <c r="M1308" s="10" t="s">
        <v>91</v>
      </c>
      <c r="N1308" s="16" t="s">
        <v>75</v>
      </c>
      <c r="O1308" s="17" t="s">
        <v>92</v>
      </c>
      <c r="P1308" s="17" t="s">
        <v>93</v>
      </c>
      <c r="Q1308" s="18" t="s">
        <v>78</v>
      </c>
      <c r="R1308" s="18" t="s">
        <v>79</v>
      </c>
      <c r="S1308" s="18" t="s">
        <v>61</v>
      </c>
      <c r="T1308" s="18" t="s">
        <v>62</v>
      </c>
      <c r="U1308" s="19" t="s">
        <v>80</v>
      </c>
    </row>
    <row r="1309" spans="1:21" ht="15.75" customHeight="1" x14ac:dyDescent="0.25">
      <c r="A1309" s="27" t="s">
        <v>7898</v>
      </c>
      <c r="B1309" s="28" t="s">
        <v>7899</v>
      </c>
      <c r="C1309" s="29" t="s">
        <v>7900</v>
      </c>
      <c r="D1309" s="30" t="s">
        <v>7901</v>
      </c>
      <c r="E1309" s="29" t="s">
        <v>98</v>
      </c>
      <c r="F1309" s="31">
        <v>482</v>
      </c>
      <c r="G1309" s="20" t="s">
        <v>85</v>
      </c>
      <c r="H1309" s="29" t="s">
        <v>129</v>
      </c>
      <c r="I1309" s="32" t="s">
        <v>7902</v>
      </c>
      <c r="J1309" s="28" t="s">
        <v>7903</v>
      </c>
      <c r="K1309" s="29" t="s">
        <v>7750</v>
      </c>
      <c r="L1309" s="27" t="s">
        <v>90</v>
      </c>
      <c r="M1309" s="28" t="s">
        <v>91</v>
      </c>
      <c r="N1309" s="33" t="s">
        <v>75</v>
      </c>
      <c r="O1309" s="34" t="s">
        <v>92</v>
      </c>
      <c r="P1309" s="34" t="s">
        <v>93</v>
      </c>
      <c r="Q1309" s="35" t="s">
        <v>78</v>
      </c>
      <c r="R1309" s="35" t="s">
        <v>79</v>
      </c>
      <c r="S1309" s="35" t="s">
        <v>61</v>
      </c>
      <c r="T1309" s="35" t="s">
        <v>62</v>
      </c>
      <c r="U1309" s="36" t="s">
        <v>80</v>
      </c>
    </row>
    <row r="1310" spans="1:21" ht="15.75" customHeight="1" x14ac:dyDescent="0.25">
      <c r="A1310" s="9" t="s">
        <v>7904</v>
      </c>
      <c r="B1310" s="10" t="s">
        <v>7905</v>
      </c>
      <c r="C1310" s="11" t="s">
        <v>7906</v>
      </c>
      <c r="D1310" s="12" t="s">
        <v>7907</v>
      </c>
      <c r="E1310" s="11" t="s">
        <v>98</v>
      </c>
      <c r="F1310" s="13">
        <v>1175</v>
      </c>
      <c r="G1310" s="20" t="s">
        <v>85</v>
      </c>
      <c r="H1310" s="11" t="s">
        <v>129</v>
      </c>
      <c r="I1310" s="15" t="s">
        <v>7908</v>
      </c>
      <c r="J1310" s="10" t="s">
        <v>7909</v>
      </c>
      <c r="K1310" s="11" t="s">
        <v>7750</v>
      </c>
      <c r="L1310" s="9" t="s">
        <v>90</v>
      </c>
      <c r="M1310" s="10" t="s">
        <v>91</v>
      </c>
      <c r="N1310" s="16" t="s">
        <v>75</v>
      </c>
      <c r="O1310" s="17" t="s">
        <v>124</v>
      </c>
      <c r="P1310" s="17" t="s">
        <v>125</v>
      </c>
      <c r="Q1310" s="18" t="s">
        <v>78</v>
      </c>
      <c r="R1310" s="18" t="s">
        <v>79</v>
      </c>
      <c r="S1310" s="18" t="s">
        <v>61</v>
      </c>
      <c r="T1310" s="18" t="s">
        <v>62</v>
      </c>
      <c r="U1310" s="19" t="s">
        <v>80</v>
      </c>
    </row>
    <row r="1311" spans="1:21" ht="15.75" customHeight="1" x14ac:dyDescent="0.25">
      <c r="A1311" s="27" t="s">
        <v>7910</v>
      </c>
      <c r="B1311" s="28" t="s">
        <v>7911</v>
      </c>
      <c r="C1311" s="29" t="s">
        <v>7912</v>
      </c>
      <c r="D1311" s="37" t="s">
        <v>109</v>
      </c>
      <c r="E1311" s="29" t="s">
        <v>98</v>
      </c>
      <c r="F1311" s="31">
        <v>219</v>
      </c>
      <c r="G1311" s="25" t="s">
        <v>110</v>
      </c>
      <c r="H1311" s="29" t="s">
        <v>129</v>
      </c>
      <c r="I1311" s="32" t="s">
        <v>7913</v>
      </c>
      <c r="J1311" s="28" t="s">
        <v>7914</v>
      </c>
      <c r="K1311" s="29" t="s">
        <v>3041</v>
      </c>
      <c r="L1311" s="27" t="s">
        <v>90</v>
      </c>
      <c r="M1311" s="28" t="s">
        <v>91</v>
      </c>
      <c r="N1311" s="38"/>
      <c r="O1311" s="34"/>
      <c r="P1311" s="34"/>
      <c r="Q1311" s="35" t="s">
        <v>78</v>
      </c>
      <c r="R1311" s="35" t="s">
        <v>79</v>
      </c>
      <c r="S1311" s="35" t="s">
        <v>61</v>
      </c>
      <c r="T1311" s="35" t="s">
        <v>62</v>
      </c>
      <c r="U1311" s="36" t="s">
        <v>80</v>
      </c>
    </row>
    <row r="1312" spans="1:21" ht="15.75" customHeight="1" x14ac:dyDescent="0.25">
      <c r="A1312" s="9" t="s">
        <v>7915</v>
      </c>
      <c r="B1312" s="10" t="s">
        <v>7916</v>
      </c>
      <c r="C1312" s="11" t="s">
        <v>7917</v>
      </c>
      <c r="D1312" s="21" t="s">
        <v>109</v>
      </c>
      <c r="E1312" s="11" t="s">
        <v>47</v>
      </c>
      <c r="F1312" s="13">
        <v>162</v>
      </c>
      <c r="G1312" s="14" t="s">
        <v>119</v>
      </c>
      <c r="H1312" s="11" t="s">
        <v>86</v>
      </c>
      <c r="I1312" s="15" t="s">
        <v>7918</v>
      </c>
      <c r="J1312" s="10" t="s">
        <v>7919</v>
      </c>
      <c r="K1312" s="11" t="s">
        <v>903</v>
      </c>
      <c r="L1312" s="9" t="s">
        <v>158</v>
      </c>
      <c r="M1312" s="10" t="s">
        <v>159</v>
      </c>
      <c r="N1312" s="22"/>
      <c r="O1312" s="17"/>
      <c r="P1312" s="17"/>
      <c r="Q1312" s="18" t="s">
        <v>78</v>
      </c>
      <c r="R1312" s="18" t="s">
        <v>79</v>
      </c>
      <c r="S1312" s="18" t="s">
        <v>61</v>
      </c>
      <c r="T1312" s="18" t="s">
        <v>62</v>
      </c>
      <c r="U1312" s="19" t="s">
        <v>80</v>
      </c>
    </row>
    <row r="1313" spans="1:21" ht="15.75" customHeight="1" x14ac:dyDescent="0.25">
      <c r="A1313" s="27" t="s">
        <v>7920</v>
      </c>
      <c r="B1313" s="28" t="s">
        <v>7921</v>
      </c>
      <c r="C1313" s="29" t="s">
        <v>7922</v>
      </c>
      <c r="D1313" s="37" t="s">
        <v>109</v>
      </c>
      <c r="E1313" s="29" t="s">
        <v>47</v>
      </c>
      <c r="F1313" s="31">
        <v>54</v>
      </c>
      <c r="G1313" s="24" t="s">
        <v>85</v>
      </c>
      <c r="H1313" s="29" t="s">
        <v>48</v>
      </c>
      <c r="I1313" s="32" t="s">
        <v>7923</v>
      </c>
      <c r="J1313" s="28" t="s">
        <v>7924</v>
      </c>
      <c r="K1313" s="29"/>
      <c r="L1313" s="27"/>
      <c r="M1313" s="28"/>
      <c r="N1313" s="38"/>
      <c r="O1313" s="34"/>
      <c r="P1313" s="34"/>
      <c r="Q1313" s="35" t="s">
        <v>78</v>
      </c>
      <c r="R1313" s="35" t="s">
        <v>79</v>
      </c>
      <c r="S1313" s="35" t="s">
        <v>61</v>
      </c>
      <c r="T1313" s="35" t="s">
        <v>62</v>
      </c>
      <c r="U1313" s="36" t="s">
        <v>80</v>
      </c>
    </row>
    <row r="1314" spans="1:21" ht="15.75" customHeight="1" x14ac:dyDescent="0.25">
      <c r="A1314" s="9" t="s">
        <v>7925</v>
      </c>
      <c r="B1314" s="10" t="s">
        <v>7926</v>
      </c>
      <c r="C1314" s="11" t="s">
        <v>7927</v>
      </c>
      <c r="D1314" s="21" t="s">
        <v>109</v>
      </c>
      <c r="E1314" s="11" t="s">
        <v>98</v>
      </c>
      <c r="F1314" s="11"/>
      <c r="G1314" s="24" t="s">
        <v>85</v>
      </c>
      <c r="H1314" s="11" t="s">
        <v>100</v>
      </c>
      <c r="I1314" s="15" t="s">
        <v>7928</v>
      </c>
      <c r="J1314" s="10" t="s">
        <v>7929</v>
      </c>
      <c r="K1314" s="11"/>
      <c r="L1314" s="9"/>
      <c r="M1314" s="10"/>
      <c r="N1314" s="22"/>
      <c r="O1314" s="17"/>
      <c r="P1314" s="17"/>
      <c r="Q1314" s="18" t="s">
        <v>78</v>
      </c>
      <c r="R1314" s="18" t="s">
        <v>79</v>
      </c>
      <c r="S1314" s="18" t="s">
        <v>61</v>
      </c>
      <c r="T1314" s="18" t="s">
        <v>62</v>
      </c>
      <c r="U1314" s="19" t="s">
        <v>80</v>
      </c>
    </row>
    <row r="1315" spans="1:21" ht="15.75" customHeight="1" x14ac:dyDescent="0.25">
      <c r="A1315" s="27" t="s">
        <v>7930</v>
      </c>
      <c r="B1315" s="28" t="s">
        <v>7931</v>
      </c>
      <c r="C1315" s="29" t="s">
        <v>7932</v>
      </c>
      <c r="D1315" s="37" t="s">
        <v>109</v>
      </c>
      <c r="E1315" s="29" t="s">
        <v>47</v>
      </c>
      <c r="F1315" s="29" t="s">
        <v>7933</v>
      </c>
      <c r="G1315" s="24" t="s">
        <v>85</v>
      </c>
      <c r="H1315" s="29" t="s">
        <v>330</v>
      </c>
      <c r="I1315" s="32" t="s">
        <v>6728</v>
      </c>
      <c r="J1315" s="28" t="s">
        <v>7934</v>
      </c>
      <c r="K1315" s="29"/>
      <c r="L1315" s="27"/>
      <c r="M1315" s="28"/>
      <c r="N1315" s="38"/>
      <c r="O1315" s="34"/>
      <c r="P1315" s="34"/>
      <c r="Q1315" s="35" t="s">
        <v>78</v>
      </c>
      <c r="R1315" s="35" t="s">
        <v>79</v>
      </c>
      <c r="S1315" s="35" t="s">
        <v>61</v>
      </c>
      <c r="T1315" s="35" t="s">
        <v>62</v>
      </c>
      <c r="U1315" s="36" t="s">
        <v>80</v>
      </c>
    </row>
    <row r="1316" spans="1:21" ht="15.75" customHeight="1" x14ac:dyDescent="0.25">
      <c r="A1316" s="9" t="s">
        <v>7935</v>
      </c>
      <c r="B1316" s="10" t="s">
        <v>7936</v>
      </c>
      <c r="C1316" s="11" t="s">
        <v>7937</v>
      </c>
      <c r="D1316" s="21" t="s">
        <v>109</v>
      </c>
      <c r="E1316" s="11" t="s">
        <v>98</v>
      </c>
      <c r="F1316" s="11"/>
      <c r="G1316" s="24" t="s">
        <v>85</v>
      </c>
      <c r="H1316" s="11" t="s">
        <v>100</v>
      </c>
      <c r="I1316" s="15" t="s">
        <v>4425</v>
      </c>
      <c r="J1316" s="10" t="s">
        <v>7938</v>
      </c>
      <c r="K1316" s="11"/>
      <c r="L1316" s="9"/>
      <c r="M1316" s="10"/>
      <c r="N1316" s="22"/>
      <c r="O1316" s="17"/>
      <c r="P1316" s="17"/>
      <c r="Q1316" s="18" t="s">
        <v>78</v>
      </c>
      <c r="R1316" s="18" t="s">
        <v>79</v>
      </c>
      <c r="S1316" s="18" t="s">
        <v>61</v>
      </c>
      <c r="T1316" s="18" t="s">
        <v>62</v>
      </c>
      <c r="U1316" s="19" t="s">
        <v>80</v>
      </c>
    </row>
    <row r="1317" spans="1:21" ht="15.75" customHeight="1" x14ac:dyDescent="0.25">
      <c r="A1317" s="27" t="s">
        <v>7939</v>
      </c>
      <c r="B1317" s="28" t="s">
        <v>7940</v>
      </c>
      <c r="C1317" s="29" t="s">
        <v>7941</v>
      </c>
      <c r="D1317" s="37" t="s">
        <v>109</v>
      </c>
      <c r="E1317" s="29" t="s">
        <v>47</v>
      </c>
      <c r="F1317" s="31">
        <v>176</v>
      </c>
      <c r="G1317" s="14" t="s">
        <v>119</v>
      </c>
      <c r="H1317" s="29" t="s">
        <v>86</v>
      </c>
      <c r="I1317" s="32" t="s">
        <v>7942</v>
      </c>
      <c r="J1317" s="28" t="s">
        <v>7943</v>
      </c>
      <c r="K1317" s="29" t="s">
        <v>903</v>
      </c>
      <c r="L1317" s="27" t="s">
        <v>158</v>
      </c>
      <c r="M1317" s="28" t="s">
        <v>159</v>
      </c>
      <c r="N1317" s="38"/>
      <c r="O1317" s="34"/>
      <c r="P1317" s="34"/>
      <c r="Q1317" s="35" t="s">
        <v>78</v>
      </c>
      <c r="R1317" s="35" t="s">
        <v>79</v>
      </c>
      <c r="S1317" s="35" t="s">
        <v>61</v>
      </c>
      <c r="T1317" s="35" t="s">
        <v>62</v>
      </c>
      <c r="U1317" s="36" t="s">
        <v>80</v>
      </c>
    </row>
    <row r="1318" spans="1:21" ht="15.75" customHeight="1" x14ac:dyDescent="0.25">
      <c r="A1318" s="9" t="s">
        <v>7944</v>
      </c>
      <c r="B1318" s="10" t="s">
        <v>7945</v>
      </c>
      <c r="C1318" s="11" t="s">
        <v>7946</v>
      </c>
      <c r="D1318" s="21" t="s">
        <v>109</v>
      </c>
      <c r="E1318" s="11" t="s">
        <v>98</v>
      </c>
      <c r="F1318" s="11" t="s">
        <v>2237</v>
      </c>
      <c r="G1318" s="25" t="s">
        <v>110</v>
      </c>
      <c r="H1318" s="11" t="s">
        <v>100</v>
      </c>
      <c r="I1318" s="15" t="s">
        <v>7947</v>
      </c>
      <c r="J1318" s="10" t="s">
        <v>7948</v>
      </c>
      <c r="K1318" s="11" t="s">
        <v>123</v>
      </c>
      <c r="L1318" s="9" t="s">
        <v>90</v>
      </c>
      <c r="M1318" s="10" t="s">
        <v>91</v>
      </c>
      <c r="N1318" s="22"/>
      <c r="O1318" s="17"/>
      <c r="P1318" s="17"/>
      <c r="Q1318" s="18" t="s">
        <v>78</v>
      </c>
      <c r="R1318" s="18" t="s">
        <v>79</v>
      </c>
      <c r="S1318" s="18" t="s">
        <v>61</v>
      </c>
      <c r="T1318" s="18" t="s">
        <v>62</v>
      </c>
      <c r="U1318" s="19" t="s">
        <v>80</v>
      </c>
    </row>
    <row r="1319" spans="1:21" ht="15.75" customHeight="1" x14ac:dyDescent="0.25">
      <c r="A1319" s="27" t="s">
        <v>7949</v>
      </c>
      <c r="B1319" s="28" t="s">
        <v>7950</v>
      </c>
      <c r="C1319" s="29" t="s">
        <v>7951</v>
      </c>
      <c r="D1319" s="37" t="s">
        <v>109</v>
      </c>
      <c r="E1319" s="29" t="s">
        <v>98</v>
      </c>
      <c r="F1319" s="31">
        <v>259</v>
      </c>
      <c r="G1319" s="24" t="s">
        <v>85</v>
      </c>
      <c r="H1319" s="29" t="s">
        <v>129</v>
      </c>
      <c r="I1319" s="32" t="s">
        <v>7952</v>
      </c>
      <c r="J1319" s="28" t="s">
        <v>7953</v>
      </c>
      <c r="K1319" s="29"/>
      <c r="L1319" s="27"/>
      <c r="M1319" s="28"/>
      <c r="N1319" s="38"/>
      <c r="O1319" s="34"/>
      <c r="P1319" s="34"/>
      <c r="Q1319" s="35" t="s">
        <v>78</v>
      </c>
      <c r="R1319" s="35" t="s">
        <v>79</v>
      </c>
      <c r="S1319" s="35" t="s">
        <v>61</v>
      </c>
      <c r="T1319" s="35" t="s">
        <v>62</v>
      </c>
      <c r="U1319" s="36" t="s">
        <v>80</v>
      </c>
    </row>
    <row r="1320" spans="1:21" ht="15.75" customHeight="1" x14ac:dyDescent="0.25">
      <c r="A1320" s="9" t="s">
        <v>7954</v>
      </c>
      <c r="B1320" s="10" t="s">
        <v>7955</v>
      </c>
      <c r="C1320" s="11" t="s">
        <v>7956</v>
      </c>
      <c r="D1320" s="21" t="s">
        <v>109</v>
      </c>
      <c r="E1320" s="11" t="s">
        <v>98</v>
      </c>
      <c r="F1320" s="13">
        <v>346.8</v>
      </c>
      <c r="G1320" s="24" t="s">
        <v>85</v>
      </c>
      <c r="H1320" s="11" t="s">
        <v>129</v>
      </c>
      <c r="I1320" s="15" t="s">
        <v>7957</v>
      </c>
      <c r="J1320" s="10" t="s">
        <v>7958</v>
      </c>
      <c r="K1320" s="11"/>
      <c r="L1320" s="9"/>
      <c r="M1320" s="10"/>
      <c r="N1320" s="22"/>
      <c r="O1320" s="17"/>
      <c r="P1320" s="17"/>
      <c r="Q1320" s="18" t="s">
        <v>78</v>
      </c>
      <c r="R1320" s="18" t="s">
        <v>79</v>
      </c>
      <c r="S1320" s="18" t="s">
        <v>61</v>
      </c>
      <c r="T1320" s="18" t="s">
        <v>62</v>
      </c>
      <c r="U1320" s="19" t="s">
        <v>80</v>
      </c>
    </row>
    <row r="1321" spans="1:21" ht="15.75" customHeight="1" x14ac:dyDescent="0.25">
      <c r="A1321" s="27" t="s">
        <v>7959</v>
      </c>
      <c r="B1321" s="28" t="s">
        <v>7960</v>
      </c>
      <c r="C1321" s="29" t="s">
        <v>7961</v>
      </c>
      <c r="D1321" s="37" t="s">
        <v>109</v>
      </c>
      <c r="E1321" s="29" t="s">
        <v>1264</v>
      </c>
      <c r="F1321" s="31">
        <v>365</v>
      </c>
      <c r="G1321" s="24" t="s">
        <v>85</v>
      </c>
      <c r="H1321" s="29" t="s">
        <v>129</v>
      </c>
      <c r="I1321" s="32" t="s">
        <v>7962</v>
      </c>
      <c r="J1321" s="28" t="s">
        <v>7963</v>
      </c>
      <c r="K1321" s="29"/>
      <c r="L1321" s="27"/>
      <c r="M1321" s="28"/>
      <c r="N1321" s="38"/>
      <c r="O1321" s="34"/>
      <c r="P1321" s="34"/>
      <c r="Q1321" s="35" t="s">
        <v>78</v>
      </c>
      <c r="R1321" s="35" t="s">
        <v>79</v>
      </c>
      <c r="S1321" s="35" t="s">
        <v>61</v>
      </c>
      <c r="T1321" s="35" t="s">
        <v>62</v>
      </c>
      <c r="U1321" s="36" t="s">
        <v>80</v>
      </c>
    </row>
    <row r="1322" spans="1:21" ht="15.75" customHeight="1" x14ac:dyDescent="0.25">
      <c r="A1322" s="9" t="s">
        <v>7964</v>
      </c>
      <c r="B1322" s="10" t="s">
        <v>7965</v>
      </c>
      <c r="C1322" s="11" t="s">
        <v>7966</v>
      </c>
      <c r="D1322" s="21" t="s">
        <v>109</v>
      </c>
      <c r="E1322" s="11" t="s">
        <v>98</v>
      </c>
      <c r="F1322" s="11" t="s">
        <v>7967</v>
      </c>
      <c r="G1322" s="24" t="s">
        <v>85</v>
      </c>
      <c r="H1322" s="11" t="s">
        <v>100</v>
      </c>
      <c r="I1322" s="15" t="s">
        <v>7968</v>
      </c>
      <c r="J1322" s="10" t="s">
        <v>7969</v>
      </c>
      <c r="K1322" s="11"/>
      <c r="L1322" s="9"/>
      <c r="M1322" s="10"/>
      <c r="N1322" s="22"/>
      <c r="O1322" s="17"/>
      <c r="P1322" s="17"/>
      <c r="Q1322" s="18" t="s">
        <v>78</v>
      </c>
      <c r="R1322" s="18" t="s">
        <v>79</v>
      </c>
      <c r="S1322" s="18" t="s">
        <v>61</v>
      </c>
      <c r="T1322" s="18" t="s">
        <v>62</v>
      </c>
      <c r="U1322" s="19" t="s">
        <v>80</v>
      </c>
    </row>
    <row r="1323" spans="1:21" ht="15.75" customHeight="1" x14ac:dyDescent="0.25">
      <c r="A1323" s="27" t="s">
        <v>7970</v>
      </c>
      <c r="B1323" s="28" t="s">
        <v>7971</v>
      </c>
      <c r="C1323" s="29" t="s">
        <v>7972</v>
      </c>
      <c r="D1323" s="30" t="s">
        <v>7973</v>
      </c>
      <c r="E1323" s="29" t="s">
        <v>98</v>
      </c>
      <c r="F1323" s="29"/>
      <c r="G1323" s="20" t="s">
        <v>85</v>
      </c>
      <c r="H1323" s="29" t="s">
        <v>120</v>
      </c>
      <c r="I1323" s="32" t="s">
        <v>7974</v>
      </c>
      <c r="J1323" s="28" t="s">
        <v>7975</v>
      </c>
      <c r="K1323" s="29" t="s">
        <v>7976</v>
      </c>
      <c r="L1323" s="27" t="s">
        <v>1203</v>
      </c>
      <c r="M1323" s="28" t="s">
        <v>1204</v>
      </c>
      <c r="N1323" s="33" t="s">
        <v>75</v>
      </c>
      <c r="O1323" s="34" t="s">
        <v>7078</v>
      </c>
      <c r="P1323" s="34" t="s">
        <v>7079</v>
      </c>
      <c r="Q1323" s="35" t="s">
        <v>78</v>
      </c>
      <c r="R1323" s="35" t="s">
        <v>79</v>
      </c>
      <c r="S1323" s="35" t="s">
        <v>61</v>
      </c>
      <c r="T1323" s="35" t="s">
        <v>62</v>
      </c>
      <c r="U1323" s="36" t="s">
        <v>80</v>
      </c>
    </row>
    <row r="1324" spans="1:21" ht="15.75" customHeight="1" x14ac:dyDescent="0.25">
      <c r="A1324" s="9" t="s">
        <v>7977</v>
      </c>
      <c r="B1324" s="10" t="s">
        <v>7978</v>
      </c>
      <c r="C1324" s="11" t="s">
        <v>7979</v>
      </c>
      <c r="D1324" s="12" t="s">
        <v>7973</v>
      </c>
      <c r="E1324" s="11" t="s">
        <v>98</v>
      </c>
      <c r="F1324" s="11" t="s">
        <v>3544</v>
      </c>
      <c r="G1324" s="20" t="s">
        <v>85</v>
      </c>
      <c r="H1324" s="11" t="s">
        <v>120</v>
      </c>
      <c r="I1324" s="15" t="s">
        <v>7980</v>
      </c>
      <c r="J1324" s="10" t="s">
        <v>7981</v>
      </c>
      <c r="K1324" s="11" t="s">
        <v>1997</v>
      </c>
      <c r="L1324" s="9" t="s">
        <v>90</v>
      </c>
      <c r="M1324" s="10" t="s">
        <v>91</v>
      </c>
      <c r="N1324" s="16" t="s">
        <v>75</v>
      </c>
      <c r="O1324" s="17" t="s">
        <v>7078</v>
      </c>
      <c r="P1324" s="17" t="s">
        <v>7079</v>
      </c>
      <c r="Q1324" s="18" t="s">
        <v>78</v>
      </c>
      <c r="R1324" s="18" t="s">
        <v>79</v>
      </c>
      <c r="S1324" s="18" t="s">
        <v>61</v>
      </c>
      <c r="T1324" s="18" t="s">
        <v>62</v>
      </c>
      <c r="U1324" s="19" t="s">
        <v>80</v>
      </c>
    </row>
    <row r="1325" spans="1:21" ht="15.75" customHeight="1" x14ac:dyDescent="0.25">
      <c r="A1325" s="27" t="s">
        <v>7982</v>
      </c>
      <c r="B1325" s="28" t="s">
        <v>7983</v>
      </c>
      <c r="C1325" s="29" t="s">
        <v>7984</v>
      </c>
      <c r="D1325" s="30" t="s">
        <v>7973</v>
      </c>
      <c r="E1325" s="29" t="s">
        <v>98</v>
      </c>
      <c r="F1325" s="29"/>
      <c r="G1325" s="20" t="s">
        <v>85</v>
      </c>
      <c r="H1325" s="29" t="s">
        <v>120</v>
      </c>
      <c r="I1325" s="32" t="s">
        <v>7985</v>
      </c>
      <c r="J1325" s="28" t="s">
        <v>7986</v>
      </c>
      <c r="K1325" s="29" t="s">
        <v>1997</v>
      </c>
      <c r="L1325" s="27" t="s">
        <v>90</v>
      </c>
      <c r="M1325" s="28" t="s">
        <v>91</v>
      </c>
      <c r="N1325" s="33" t="s">
        <v>75</v>
      </c>
      <c r="O1325" s="34" t="s">
        <v>7078</v>
      </c>
      <c r="P1325" s="34" t="s">
        <v>7079</v>
      </c>
      <c r="Q1325" s="35" t="s">
        <v>78</v>
      </c>
      <c r="R1325" s="35" t="s">
        <v>79</v>
      </c>
      <c r="S1325" s="35" t="s">
        <v>61</v>
      </c>
      <c r="T1325" s="35" t="s">
        <v>62</v>
      </c>
      <c r="U1325" s="36" t="s">
        <v>80</v>
      </c>
    </row>
    <row r="1326" spans="1:21" ht="15.75" customHeight="1" x14ac:dyDescent="0.25">
      <c r="A1326" s="9" t="s">
        <v>7987</v>
      </c>
      <c r="B1326" s="10" t="s">
        <v>7988</v>
      </c>
      <c r="C1326" s="11" t="s">
        <v>7989</v>
      </c>
      <c r="D1326" s="12" t="s">
        <v>7973</v>
      </c>
      <c r="E1326" s="11" t="s">
        <v>98</v>
      </c>
      <c r="F1326" s="11" t="s">
        <v>7990</v>
      </c>
      <c r="G1326" s="20" t="s">
        <v>85</v>
      </c>
      <c r="H1326" s="11" t="s">
        <v>120</v>
      </c>
      <c r="I1326" s="15" t="s">
        <v>7991</v>
      </c>
      <c r="J1326" s="10" t="s">
        <v>7992</v>
      </c>
      <c r="K1326" s="11" t="s">
        <v>1997</v>
      </c>
      <c r="L1326" s="9" t="s">
        <v>90</v>
      </c>
      <c r="M1326" s="10" t="s">
        <v>91</v>
      </c>
      <c r="N1326" s="16" t="s">
        <v>75</v>
      </c>
      <c r="O1326" s="17" t="s">
        <v>7078</v>
      </c>
      <c r="P1326" s="17" t="s">
        <v>7079</v>
      </c>
      <c r="Q1326" s="18" t="s">
        <v>78</v>
      </c>
      <c r="R1326" s="18" t="s">
        <v>79</v>
      </c>
      <c r="S1326" s="18" t="s">
        <v>61</v>
      </c>
      <c r="T1326" s="18" t="s">
        <v>62</v>
      </c>
      <c r="U1326" s="19" t="s">
        <v>80</v>
      </c>
    </row>
    <row r="1327" spans="1:21" ht="15.75" customHeight="1" x14ac:dyDescent="0.25">
      <c r="A1327" s="27" t="s">
        <v>7993</v>
      </c>
      <c r="B1327" s="28" t="s">
        <v>7994</v>
      </c>
      <c r="C1327" s="29" t="s">
        <v>7995</v>
      </c>
      <c r="D1327" s="30" t="s">
        <v>7996</v>
      </c>
      <c r="E1327" s="29" t="s">
        <v>98</v>
      </c>
      <c r="F1327" s="31">
        <v>195</v>
      </c>
      <c r="G1327" s="20" t="s">
        <v>119</v>
      </c>
      <c r="H1327" s="29" t="s">
        <v>86</v>
      </c>
      <c r="I1327" s="32" t="s">
        <v>7997</v>
      </c>
      <c r="J1327" s="28" t="s">
        <v>7998</v>
      </c>
      <c r="K1327" s="29" t="s">
        <v>7999</v>
      </c>
      <c r="L1327" s="27" t="s">
        <v>481</v>
      </c>
      <c r="M1327" s="28" t="s">
        <v>482</v>
      </c>
      <c r="N1327" s="33" t="s">
        <v>75</v>
      </c>
      <c r="O1327" s="34" t="s">
        <v>8000</v>
      </c>
      <c r="P1327" s="34" t="s">
        <v>8001</v>
      </c>
      <c r="Q1327" s="35" t="s">
        <v>78</v>
      </c>
      <c r="R1327" s="35" t="s">
        <v>79</v>
      </c>
      <c r="S1327" s="35" t="s">
        <v>61</v>
      </c>
      <c r="T1327" s="35" t="s">
        <v>62</v>
      </c>
      <c r="U1327" s="36" t="s">
        <v>80</v>
      </c>
    </row>
    <row r="1328" spans="1:21" ht="15.75" customHeight="1" x14ac:dyDescent="0.25">
      <c r="A1328" s="9" t="s">
        <v>8002</v>
      </c>
      <c r="B1328" s="10" t="s">
        <v>8003</v>
      </c>
      <c r="C1328" s="11" t="s">
        <v>8004</v>
      </c>
      <c r="D1328" s="21" t="s">
        <v>109</v>
      </c>
      <c r="E1328" s="11" t="s">
        <v>98</v>
      </c>
      <c r="F1328" s="11"/>
      <c r="G1328" s="24" t="s">
        <v>85</v>
      </c>
      <c r="H1328" s="11" t="s">
        <v>100</v>
      </c>
      <c r="I1328" s="15" t="s">
        <v>8005</v>
      </c>
      <c r="J1328" s="10" t="s">
        <v>8006</v>
      </c>
      <c r="K1328" s="11"/>
      <c r="L1328" s="9"/>
      <c r="M1328" s="10"/>
      <c r="N1328" s="22"/>
      <c r="O1328" s="17"/>
      <c r="P1328" s="17"/>
      <c r="Q1328" s="18" t="s">
        <v>78</v>
      </c>
      <c r="R1328" s="18" t="s">
        <v>79</v>
      </c>
      <c r="S1328" s="18" t="s">
        <v>61</v>
      </c>
      <c r="T1328" s="18" t="s">
        <v>62</v>
      </c>
      <c r="U1328" s="19" t="s">
        <v>80</v>
      </c>
    </row>
    <row r="1329" spans="1:21" ht="15.75" customHeight="1" x14ac:dyDescent="0.25">
      <c r="A1329" s="27" t="s">
        <v>8007</v>
      </c>
      <c r="B1329" s="28" t="s">
        <v>8008</v>
      </c>
      <c r="C1329" s="29" t="s">
        <v>8009</v>
      </c>
      <c r="D1329" s="37" t="s">
        <v>109</v>
      </c>
      <c r="E1329" s="29" t="s">
        <v>1264</v>
      </c>
      <c r="F1329" s="31">
        <v>371</v>
      </c>
      <c r="G1329" s="24" t="s">
        <v>85</v>
      </c>
      <c r="H1329" s="29" t="s">
        <v>129</v>
      </c>
      <c r="I1329" s="32" t="s">
        <v>8010</v>
      </c>
      <c r="J1329" s="28" t="s">
        <v>8011</v>
      </c>
      <c r="K1329" s="29"/>
      <c r="L1329" s="27"/>
      <c r="M1329" s="28"/>
      <c r="N1329" s="38"/>
      <c r="O1329" s="34"/>
      <c r="P1329" s="34"/>
      <c r="Q1329" s="35" t="s">
        <v>78</v>
      </c>
      <c r="R1329" s="35" t="s">
        <v>79</v>
      </c>
      <c r="S1329" s="35" t="s">
        <v>61</v>
      </c>
      <c r="T1329" s="35" t="s">
        <v>62</v>
      </c>
      <c r="U1329" s="36" t="s">
        <v>80</v>
      </c>
    </row>
    <row r="1330" spans="1:21" ht="15.75" customHeight="1" x14ac:dyDescent="0.25">
      <c r="A1330" s="9" t="s">
        <v>8012</v>
      </c>
      <c r="B1330" s="10" t="s">
        <v>8013</v>
      </c>
      <c r="C1330" s="11" t="s">
        <v>8014</v>
      </c>
      <c r="D1330" s="21" t="s">
        <v>109</v>
      </c>
      <c r="E1330" s="11" t="s">
        <v>98</v>
      </c>
      <c r="F1330" s="13">
        <v>397</v>
      </c>
      <c r="G1330" s="24" t="s">
        <v>85</v>
      </c>
      <c r="H1330" s="11" t="s">
        <v>129</v>
      </c>
      <c r="I1330" s="15" t="s">
        <v>8015</v>
      </c>
      <c r="J1330" s="10" t="s">
        <v>8016</v>
      </c>
      <c r="K1330" s="11"/>
      <c r="L1330" s="9"/>
      <c r="M1330" s="10"/>
      <c r="N1330" s="22"/>
      <c r="O1330" s="17"/>
      <c r="P1330" s="17"/>
      <c r="Q1330" s="18" t="s">
        <v>78</v>
      </c>
      <c r="R1330" s="18" t="s">
        <v>79</v>
      </c>
      <c r="S1330" s="18" t="s">
        <v>61</v>
      </c>
      <c r="T1330" s="18" t="s">
        <v>62</v>
      </c>
      <c r="U1330" s="19" t="s">
        <v>80</v>
      </c>
    </row>
    <row r="1331" spans="1:21" ht="15.75" customHeight="1" x14ac:dyDescent="0.25">
      <c r="A1331" s="27" t="s">
        <v>8017</v>
      </c>
      <c r="B1331" s="28" t="s">
        <v>8018</v>
      </c>
      <c r="C1331" s="29" t="s">
        <v>8019</v>
      </c>
      <c r="D1331" s="30" t="s">
        <v>8020</v>
      </c>
      <c r="E1331" s="29" t="s">
        <v>47</v>
      </c>
      <c r="F1331" s="31">
        <v>296</v>
      </c>
      <c r="G1331" s="20" t="s">
        <v>119</v>
      </c>
      <c r="H1331" s="29" t="s">
        <v>129</v>
      </c>
      <c r="I1331" s="32" t="s">
        <v>8021</v>
      </c>
      <c r="J1331" s="28" t="s">
        <v>8022</v>
      </c>
      <c r="K1331" s="29"/>
      <c r="L1331" s="27"/>
      <c r="M1331" s="28"/>
      <c r="N1331" s="33" t="s">
        <v>75</v>
      </c>
      <c r="O1331" s="34" t="s">
        <v>8000</v>
      </c>
      <c r="P1331" s="34" t="s">
        <v>8001</v>
      </c>
      <c r="Q1331" s="35" t="s">
        <v>78</v>
      </c>
      <c r="R1331" s="35" t="s">
        <v>79</v>
      </c>
      <c r="S1331" s="35" t="s">
        <v>61</v>
      </c>
      <c r="T1331" s="35" t="s">
        <v>62</v>
      </c>
      <c r="U1331" s="36" t="s">
        <v>80</v>
      </c>
    </row>
    <row r="1332" spans="1:21" ht="15.75" customHeight="1" x14ac:dyDescent="0.25">
      <c r="A1332" s="9" t="s">
        <v>8023</v>
      </c>
      <c r="B1332" s="10" t="s">
        <v>8024</v>
      </c>
      <c r="C1332" s="11" t="s">
        <v>8025</v>
      </c>
      <c r="D1332" s="21" t="s">
        <v>109</v>
      </c>
      <c r="E1332" s="11" t="s">
        <v>1264</v>
      </c>
      <c r="F1332" s="11" t="s">
        <v>8026</v>
      </c>
      <c r="G1332" s="24" t="s">
        <v>85</v>
      </c>
      <c r="H1332" s="11" t="s">
        <v>100</v>
      </c>
      <c r="I1332" s="15" t="s">
        <v>8027</v>
      </c>
      <c r="J1332" s="10" t="s">
        <v>8028</v>
      </c>
      <c r="K1332" s="11"/>
      <c r="L1332" s="9"/>
      <c r="M1332" s="10"/>
      <c r="N1332" s="22"/>
      <c r="O1332" s="17"/>
      <c r="P1332" s="17"/>
      <c r="Q1332" s="18" t="s">
        <v>78</v>
      </c>
      <c r="R1332" s="18" t="s">
        <v>79</v>
      </c>
      <c r="S1332" s="18" t="s">
        <v>61</v>
      </c>
      <c r="T1332" s="18" t="s">
        <v>62</v>
      </c>
      <c r="U1332" s="19" t="s">
        <v>80</v>
      </c>
    </row>
    <row r="1333" spans="1:21" ht="15.75" customHeight="1" x14ac:dyDescent="0.25">
      <c r="A1333" s="27" t="s">
        <v>8029</v>
      </c>
      <c r="B1333" s="28" t="s">
        <v>8030</v>
      </c>
      <c r="C1333" s="29" t="s">
        <v>8031</v>
      </c>
      <c r="D1333" s="37" t="s">
        <v>109</v>
      </c>
      <c r="E1333" s="29" t="s">
        <v>47</v>
      </c>
      <c r="F1333" s="31">
        <v>38.4</v>
      </c>
      <c r="G1333" s="25" t="s">
        <v>110</v>
      </c>
      <c r="H1333" s="29" t="s">
        <v>69</v>
      </c>
      <c r="I1333" s="32" t="s">
        <v>8032</v>
      </c>
      <c r="J1333" s="28" t="s">
        <v>8033</v>
      </c>
      <c r="K1333" s="29" t="s">
        <v>8034</v>
      </c>
      <c r="L1333" s="27" t="s">
        <v>90</v>
      </c>
      <c r="M1333" s="28" t="s">
        <v>91</v>
      </c>
      <c r="N1333" s="38"/>
      <c r="O1333" s="34"/>
      <c r="P1333" s="34"/>
      <c r="Q1333" s="35" t="s">
        <v>78</v>
      </c>
      <c r="R1333" s="35" t="s">
        <v>79</v>
      </c>
      <c r="S1333" s="35" t="s">
        <v>61</v>
      </c>
      <c r="T1333" s="35" t="s">
        <v>62</v>
      </c>
      <c r="U1333" s="36" t="s">
        <v>80</v>
      </c>
    </row>
    <row r="1334" spans="1:21" ht="15.75" customHeight="1" x14ac:dyDescent="0.25">
      <c r="A1334" s="9" t="s">
        <v>8035</v>
      </c>
      <c r="B1334" s="10" t="s">
        <v>8036</v>
      </c>
      <c r="C1334" s="11" t="s">
        <v>8037</v>
      </c>
      <c r="D1334" s="12" t="s">
        <v>8038</v>
      </c>
      <c r="E1334" s="11"/>
      <c r="F1334" s="13">
        <v>150</v>
      </c>
      <c r="G1334" s="20" t="s">
        <v>119</v>
      </c>
      <c r="H1334" s="11" t="s">
        <v>86</v>
      </c>
      <c r="I1334" s="15" t="s">
        <v>8039</v>
      </c>
      <c r="J1334" s="10" t="s">
        <v>8040</v>
      </c>
      <c r="K1334" s="11" t="s">
        <v>348</v>
      </c>
      <c r="L1334" s="9" t="s">
        <v>197</v>
      </c>
      <c r="M1334" s="10" t="s">
        <v>198</v>
      </c>
      <c r="N1334" s="16" t="s">
        <v>75</v>
      </c>
      <c r="O1334" s="17" t="s">
        <v>355</v>
      </c>
      <c r="P1334" s="17" t="s">
        <v>356</v>
      </c>
      <c r="Q1334" s="18" t="s">
        <v>78</v>
      </c>
      <c r="R1334" s="18" t="s">
        <v>79</v>
      </c>
      <c r="S1334" s="18" t="s">
        <v>61</v>
      </c>
      <c r="T1334" s="18" t="s">
        <v>62</v>
      </c>
      <c r="U1334" s="19" t="s">
        <v>80</v>
      </c>
    </row>
    <row r="1335" spans="1:21" ht="15.75" customHeight="1" x14ac:dyDescent="0.25">
      <c r="A1335" s="27" t="s">
        <v>8041</v>
      </c>
      <c r="B1335" s="28" t="s">
        <v>8042</v>
      </c>
      <c r="C1335" s="29" t="s">
        <v>8043</v>
      </c>
      <c r="D1335" s="30" t="s">
        <v>8044</v>
      </c>
      <c r="E1335" s="29" t="s">
        <v>47</v>
      </c>
      <c r="F1335" s="31">
        <v>65</v>
      </c>
      <c r="G1335" s="20" t="s">
        <v>119</v>
      </c>
      <c r="H1335" s="29" t="s">
        <v>48</v>
      </c>
      <c r="I1335" s="32" t="s">
        <v>5084</v>
      </c>
      <c r="J1335" s="28" t="s">
        <v>8045</v>
      </c>
      <c r="K1335" s="29" t="s">
        <v>8046</v>
      </c>
      <c r="L1335" s="27" t="s">
        <v>158</v>
      </c>
      <c r="M1335" s="28" t="s">
        <v>159</v>
      </c>
      <c r="N1335" s="33" t="s">
        <v>75</v>
      </c>
      <c r="O1335" s="34" t="s">
        <v>517</v>
      </c>
      <c r="P1335" s="34" t="s">
        <v>518</v>
      </c>
      <c r="Q1335" s="35" t="s">
        <v>78</v>
      </c>
      <c r="R1335" s="35" t="s">
        <v>79</v>
      </c>
      <c r="S1335" s="35" t="s">
        <v>61</v>
      </c>
      <c r="T1335" s="35" t="s">
        <v>62</v>
      </c>
      <c r="U1335" s="36" t="s">
        <v>80</v>
      </c>
    </row>
    <row r="1336" spans="1:21" ht="15.75" customHeight="1" x14ac:dyDescent="0.25">
      <c r="A1336" s="9" t="s">
        <v>8047</v>
      </c>
      <c r="B1336" s="10" t="s">
        <v>8048</v>
      </c>
      <c r="C1336" s="11" t="s">
        <v>8049</v>
      </c>
      <c r="D1336" s="12" t="s">
        <v>8050</v>
      </c>
      <c r="E1336" s="11" t="s">
        <v>47</v>
      </c>
      <c r="F1336" s="13">
        <v>138</v>
      </c>
      <c r="G1336" s="20" t="s">
        <v>119</v>
      </c>
      <c r="H1336" s="11" t="s">
        <v>330</v>
      </c>
      <c r="I1336" s="15" t="s">
        <v>4011</v>
      </c>
      <c r="J1336" s="10" t="s">
        <v>8051</v>
      </c>
      <c r="K1336" s="11" t="s">
        <v>2439</v>
      </c>
      <c r="L1336" s="9" t="s">
        <v>158</v>
      </c>
      <c r="M1336" s="10" t="s">
        <v>159</v>
      </c>
      <c r="N1336" s="22"/>
      <c r="O1336" s="17" t="s">
        <v>517</v>
      </c>
      <c r="P1336" s="17" t="s">
        <v>518</v>
      </c>
      <c r="Q1336" s="18" t="s">
        <v>78</v>
      </c>
      <c r="R1336" s="18" t="s">
        <v>79</v>
      </c>
      <c r="S1336" s="18" t="s">
        <v>61</v>
      </c>
      <c r="T1336" s="18" t="s">
        <v>62</v>
      </c>
      <c r="U1336" s="19" t="s">
        <v>80</v>
      </c>
    </row>
    <row r="1337" spans="1:21" ht="15.75" customHeight="1" x14ac:dyDescent="0.25">
      <c r="A1337" s="27" t="s">
        <v>8052</v>
      </c>
      <c r="B1337" s="28" t="s">
        <v>8053</v>
      </c>
      <c r="C1337" s="29" t="s">
        <v>8054</v>
      </c>
      <c r="D1337" s="30" t="s">
        <v>8055</v>
      </c>
      <c r="E1337" s="29" t="s">
        <v>47</v>
      </c>
      <c r="F1337" s="31">
        <v>172</v>
      </c>
      <c r="G1337" s="20" t="s">
        <v>85</v>
      </c>
      <c r="H1337" s="29" t="s">
        <v>86</v>
      </c>
      <c r="I1337" s="32" t="s">
        <v>3555</v>
      </c>
      <c r="J1337" s="28" t="s">
        <v>8056</v>
      </c>
      <c r="K1337" s="29" t="s">
        <v>2439</v>
      </c>
      <c r="L1337" s="27" t="s">
        <v>158</v>
      </c>
      <c r="M1337" s="28" t="s">
        <v>159</v>
      </c>
      <c r="N1337" s="38"/>
      <c r="O1337" s="34" t="s">
        <v>8057</v>
      </c>
      <c r="P1337" s="34" t="s">
        <v>8058</v>
      </c>
      <c r="Q1337" s="35" t="s">
        <v>78</v>
      </c>
      <c r="R1337" s="35" t="s">
        <v>79</v>
      </c>
      <c r="S1337" s="35" t="s">
        <v>61</v>
      </c>
      <c r="T1337" s="35" t="s">
        <v>62</v>
      </c>
      <c r="U1337" s="36" t="s">
        <v>80</v>
      </c>
    </row>
    <row r="1338" spans="1:21" ht="15.75" customHeight="1" x14ac:dyDescent="0.25">
      <c r="A1338" s="9" t="s">
        <v>8059</v>
      </c>
      <c r="B1338" s="10" t="s">
        <v>8060</v>
      </c>
      <c r="C1338" s="11" t="s">
        <v>8061</v>
      </c>
      <c r="D1338" s="21" t="s">
        <v>109</v>
      </c>
      <c r="E1338" s="11" t="s">
        <v>98</v>
      </c>
      <c r="F1338" s="13">
        <v>276</v>
      </c>
      <c r="G1338" s="24" t="s">
        <v>85</v>
      </c>
      <c r="H1338" s="11" t="s">
        <v>129</v>
      </c>
      <c r="I1338" s="15" t="s">
        <v>8062</v>
      </c>
      <c r="J1338" s="10" t="s">
        <v>8063</v>
      </c>
      <c r="K1338" s="11"/>
      <c r="L1338" s="9"/>
      <c r="M1338" s="10"/>
      <c r="N1338" s="22"/>
      <c r="O1338" s="17"/>
      <c r="P1338" s="17"/>
      <c r="Q1338" s="18" t="s">
        <v>78</v>
      </c>
      <c r="R1338" s="18" t="s">
        <v>79</v>
      </c>
      <c r="S1338" s="18" t="s">
        <v>61</v>
      </c>
      <c r="T1338" s="18" t="s">
        <v>62</v>
      </c>
      <c r="U1338" s="19" t="s">
        <v>80</v>
      </c>
    </row>
    <row r="1339" spans="1:21" ht="15.75" customHeight="1" x14ac:dyDescent="0.25">
      <c r="A1339" s="27" t="s">
        <v>8064</v>
      </c>
      <c r="B1339" s="28" t="s">
        <v>8065</v>
      </c>
      <c r="C1339" s="29" t="s">
        <v>8066</v>
      </c>
      <c r="D1339" s="37" t="s">
        <v>109</v>
      </c>
      <c r="E1339" s="29" t="s">
        <v>47</v>
      </c>
      <c r="F1339" s="31">
        <v>205</v>
      </c>
      <c r="G1339" s="25" t="s">
        <v>110</v>
      </c>
      <c r="H1339" s="29" t="s">
        <v>129</v>
      </c>
      <c r="I1339" s="32" t="s">
        <v>6350</v>
      </c>
      <c r="J1339" s="28" t="s">
        <v>8067</v>
      </c>
      <c r="K1339" s="29" t="s">
        <v>8068</v>
      </c>
      <c r="L1339" s="27" t="s">
        <v>90</v>
      </c>
      <c r="M1339" s="28" t="s">
        <v>91</v>
      </c>
      <c r="N1339" s="38"/>
      <c r="O1339" s="34"/>
      <c r="P1339" s="34"/>
      <c r="Q1339" s="35" t="s">
        <v>78</v>
      </c>
      <c r="R1339" s="35" t="s">
        <v>79</v>
      </c>
      <c r="S1339" s="35" t="s">
        <v>61</v>
      </c>
      <c r="T1339" s="35" t="s">
        <v>62</v>
      </c>
      <c r="U1339" s="36" t="s">
        <v>80</v>
      </c>
    </row>
    <row r="1340" spans="1:21" ht="15.75" customHeight="1" x14ac:dyDescent="0.25">
      <c r="A1340" s="9" t="s">
        <v>8069</v>
      </c>
      <c r="B1340" s="10" t="s">
        <v>8070</v>
      </c>
      <c r="C1340" s="11" t="s">
        <v>8071</v>
      </c>
      <c r="D1340" s="21" t="s">
        <v>109</v>
      </c>
      <c r="E1340" s="11" t="s">
        <v>47</v>
      </c>
      <c r="F1340" s="13">
        <v>162</v>
      </c>
      <c r="G1340" s="14" t="s">
        <v>119</v>
      </c>
      <c r="H1340" s="11" t="s">
        <v>86</v>
      </c>
      <c r="I1340" s="15" t="s">
        <v>8072</v>
      </c>
      <c r="J1340" s="10" t="s">
        <v>8073</v>
      </c>
      <c r="K1340" s="11" t="s">
        <v>8074</v>
      </c>
      <c r="L1340" s="9" t="s">
        <v>158</v>
      </c>
      <c r="M1340" s="10" t="s">
        <v>159</v>
      </c>
      <c r="N1340" s="22"/>
      <c r="O1340" s="17"/>
      <c r="P1340" s="17"/>
      <c r="Q1340" s="18" t="s">
        <v>78</v>
      </c>
      <c r="R1340" s="18" t="s">
        <v>79</v>
      </c>
      <c r="S1340" s="18" t="s">
        <v>61</v>
      </c>
      <c r="T1340" s="18" t="s">
        <v>62</v>
      </c>
      <c r="U1340" s="19" t="s">
        <v>80</v>
      </c>
    </row>
    <row r="1341" spans="1:21" ht="15.75" customHeight="1" x14ac:dyDescent="0.25">
      <c r="A1341" s="27" t="s">
        <v>8075</v>
      </c>
      <c r="B1341" s="28" t="s">
        <v>8076</v>
      </c>
      <c r="C1341" s="29" t="s">
        <v>8077</v>
      </c>
      <c r="D1341" s="37" t="s">
        <v>109</v>
      </c>
      <c r="E1341" s="29" t="s">
        <v>98</v>
      </c>
      <c r="F1341" s="31">
        <v>312</v>
      </c>
      <c r="G1341" s="24" t="s">
        <v>85</v>
      </c>
      <c r="H1341" s="29" t="s">
        <v>129</v>
      </c>
      <c r="I1341" s="32" t="s">
        <v>8078</v>
      </c>
      <c r="J1341" s="28" t="s">
        <v>8079</v>
      </c>
      <c r="K1341" s="29"/>
      <c r="L1341" s="27"/>
      <c r="M1341" s="28"/>
      <c r="N1341" s="38"/>
      <c r="O1341" s="34"/>
      <c r="P1341" s="34"/>
      <c r="Q1341" s="35" t="s">
        <v>78</v>
      </c>
      <c r="R1341" s="35" t="s">
        <v>79</v>
      </c>
      <c r="S1341" s="35" t="s">
        <v>61</v>
      </c>
      <c r="T1341" s="35" t="s">
        <v>62</v>
      </c>
      <c r="U1341" s="36" t="s">
        <v>80</v>
      </c>
    </row>
    <row r="1342" spans="1:21" ht="15.75" customHeight="1" x14ac:dyDescent="0.25">
      <c r="A1342" s="9" t="s">
        <v>8080</v>
      </c>
      <c r="B1342" s="10" t="s">
        <v>8081</v>
      </c>
      <c r="C1342" s="11" t="s">
        <v>8082</v>
      </c>
      <c r="D1342" s="21" t="s">
        <v>109</v>
      </c>
      <c r="E1342" s="11" t="s">
        <v>47</v>
      </c>
      <c r="F1342" s="13">
        <v>188.7</v>
      </c>
      <c r="G1342" s="24" t="s">
        <v>85</v>
      </c>
      <c r="H1342" s="11" t="s">
        <v>86</v>
      </c>
      <c r="I1342" s="15" t="s">
        <v>8083</v>
      </c>
      <c r="J1342" s="10" t="s">
        <v>8084</v>
      </c>
      <c r="K1342" s="11"/>
      <c r="L1342" s="9"/>
      <c r="M1342" s="10"/>
      <c r="N1342" s="22"/>
      <c r="O1342" s="17"/>
      <c r="P1342" s="17"/>
      <c r="Q1342" s="18" t="s">
        <v>78</v>
      </c>
      <c r="R1342" s="18" t="s">
        <v>79</v>
      </c>
      <c r="S1342" s="18" t="s">
        <v>61</v>
      </c>
      <c r="T1342" s="18" t="s">
        <v>62</v>
      </c>
      <c r="U1342" s="19" t="s">
        <v>80</v>
      </c>
    </row>
    <row r="1343" spans="1:21" ht="15.75" customHeight="1" x14ac:dyDescent="0.25">
      <c r="A1343" s="27" t="s">
        <v>8085</v>
      </c>
      <c r="B1343" s="28" t="s">
        <v>8086</v>
      </c>
      <c r="C1343" s="29" t="s">
        <v>8087</v>
      </c>
      <c r="D1343" s="37" t="s">
        <v>109</v>
      </c>
      <c r="E1343" s="29" t="s">
        <v>47</v>
      </c>
      <c r="F1343" s="31">
        <v>165</v>
      </c>
      <c r="G1343" s="14" t="s">
        <v>119</v>
      </c>
      <c r="H1343" s="29" t="s">
        <v>86</v>
      </c>
      <c r="I1343" s="32" t="s">
        <v>8088</v>
      </c>
      <c r="J1343" s="28" t="s">
        <v>8089</v>
      </c>
      <c r="K1343" s="29" t="s">
        <v>903</v>
      </c>
      <c r="L1343" s="27" t="s">
        <v>158</v>
      </c>
      <c r="M1343" s="28" t="s">
        <v>159</v>
      </c>
      <c r="N1343" s="38"/>
      <c r="O1343" s="34"/>
      <c r="P1343" s="34"/>
      <c r="Q1343" s="35" t="s">
        <v>78</v>
      </c>
      <c r="R1343" s="35" t="s">
        <v>79</v>
      </c>
      <c r="S1343" s="35" t="s">
        <v>61</v>
      </c>
      <c r="T1343" s="35" t="s">
        <v>62</v>
      </c>
      <c r="U1343" s="36" t="s">
        <v>80</v>
      </c>
    </row>
    <row r="1344" spans="1:21" ht="15.75" customHeight="1" x14ac:dyDescent="0.25">
      <c r="A1344" s="9" t="s">
        <v>8090</v>
      </c>
      <c r="B1344" s="10" t="s">
        <v>8091</v>
      </c>
      <c r="C1344" s="11" t="s">
        <v>8092</v>
      </c>
      <c r="D1344" s="21" t="s">
        <v>109</v>
      </c>
      <c r="E1344" s="11" t="s">
        <v>67</v>
      </c>
      <c r="F1344" s="13">
        <v>-21.2</v>
      </c>
      <c r="G1344" s="20" t="s">
        <v>68</v>
      </c>
      <c r="H1344" s="11" t="s">
        <v>421</v>
      </c>
      <c r="I1344" s="15" t="s">
        <v>8093</v>
      </c>
      <c r="J1344" s="10" t="s">
        <v>8094</v>
      </c>
      <c r="K1344" s="11" t="s">
        <v>6229</v>
      </c>
      <c r="L1344" s="9" t="s">
        <v>140</v>
      </c>
      <c r="M1344" s="10" t="s">
        <v>141</v>
      </c>
      <c r="N1344" s="22"/>
      <c r="O1344" s="17"/>
      <c r="P1344" s="17"/>
      <c r="Q1344" s="18" t="s">
        <v>78</v>
      </c>
      <c r="R1344" s="18" t="s">
        <v>79</v>
      </c>
      <c r="S1344" s="18" t="s">
        <v>61</v>
      </c>
      <c r="T1344" s="18" t="s">
        <v>62</v>
      </c>
      <c r="U1344" s="19" t="s">
        <v>80</v>
      </c>
    </row>
    <row r="1345" spans="1:21" ht="15.75" customHeight="1" x14ac:dyDescent="0.25">
      <c r="A1345" s="27" t="s">
        <v>8095</v>
      </c>
      <c r="B1345" s="28" t="s">
        <v>8096</v>
      </c>
      <c r="C1345" s="29" t="s">
        <v>8097</v>
      </c>
      <c r="D1345" s="37" t="s">
        <v>109</v>
      </c>
      <c r="E1345" s="29" t="s">
        <v>47</v>
      </c>
      <c r="F1345" s="31">
        <v>157</v>
      </c>
      <c r="G1345" s="14" t="s">
        <v>119</v>
      </c>
      <c r="H1345" s="29" t="s">
        <v>86</v>
      </c>
      <c r="I1345" s="32" t="s">
        <v>8098</v>
      </c>
      <c r="J1345" s="28" t="s">
        <v>8099</v>
      </c>
      <c r="K1345" s="29" t="s">
        <v>8100</v>
      </c>
      <c r="L1345" s="27" t="s">
        <v>158</v>
      </c>
      <c r="M1345" s="28" t="s">
        <v>159</v>
      </c>
      <c r="N1345" s="38"/>
      <c r="O1345" s="34"/>
      <c r="P1345" s="34"/>
      <c r="Q1345" s="35" t="s">
        <v>78</v>
      </c>
      <c r="R1345" s="35" t="s">
        <v>79</v>
      </c>
      <c r="S1345" s="35" t="s">
        <v>61</v>
      </c>
      <c r="T1345" s="35" t="s">
        <v>62</v>
      </c>
      <c r="U1345" s="36" t="s">
        <v>80</v>
      </c>
    </row>
    <row r="1346" spans="1:21" ht="15.75" customHeight="1" x14ac:dyDescent="0.25">
      <c r="A1346" s="9" t="s">
        <v>8101</v>
      </c>
      <c r="B1346" s="10" t="s">
        <v>8102</v>
      </c>
      <c r="C1346" s="11" t="s">
        <v>8103</v>
      </c>
      <c r="D1346" s="21" t="s">
        <v>109</v>
      </c>
      <c r="E1346" s="11" t="s">
        <v>47</v>
      </c>
      <c r="F1346" s="11" t="s">
        <v>8104</v>
      </c>
      <c r="G1346" s="24" t="s">
        <v>85</v>
      </c>
      <c r="H1346" s="11" t="s">
        <v>330</v>
      </c>
      <c r="I1346" s="15" t="s">
        <v>8105</v>
      </c>
      <c r="J1346" s="10" t="s">
        <v>8106</v>
      </c>
      <c r="K1346" s="11"/>
      <c r="L1346" s="9"/>
      <c r="M1346" s="10"/>
      <c r="N1346" s="22"/>
      <c r="O1346" s="17"/>
      <c r="P1346" s="17"/>
      <c r="Q1346" s="18" t="s">
        <v>78</v>
      </c>
      <c r="R1346" s="18" t="s">
        <v>79</v>
      </c>
      <c r="S1346" s="18" t="s">
        <v>61</v>
      </c>
      <c r="T1346" s="18" t="s">
        <v>62</v>
      </c>
      <c r="U1346" s="19" t="s">
        <v>80</v>
      </c>
    </row>
    <row r="1347" spans="1:21" ht="15.75" customHeight="1" x14ac:dyDescent="0.25">
      <c r="A1347" s="27" t="s">
        <v>8107</v>
      </c>
      <c r="B1347" s="28" t="s">
        <v>8108</v>
      </c>
      <c r="C1347" s="29" t="s">
        <v>8109</v>
      </c>
      <c r="D1347" s="37" t="s">
        <v>109</v>
      </c>
      <c r="E1347" s="29" t="s">
        <v>1264</v>
      </c>
      <c r="F1347" s="31">
        <v>3827</v>
      </c>
      <c r="G1347" s="24" t="s">
        <v>85</v>
      </c>
      <c r="H1347" s="29" t="s">
        <v>129</v>
      </c>
      <c r="I1347" s="32" t="s">
        <v>8110</v>
      </c>
      <c r="J1347" s="28" t="s">
        <v>8111</v>
      </c>
      <c r="K1347" s="29"/>
      <c r="L1347" s="27"/>
      <c r="M1347" s="28"/>
      <c r="N1347" s="38"/>
      <c r="O1347" s="34"/>
      <c r="P1347" s="34"/>
      <c r="Q1347" s="35" t="s">
        <v>78</v>
      </c>
      <c r="R1347" s="35" t="s">
        <v>79</v>
      </c>
      <c r="S1347" s="35" t="s">
        <v>61</v>
      </c>
      <c r="T1347" s="35" t="s">
        <v>62</v>
      </c>
      <c r="U1347" s="36" t="s">
        <v>80</v>
      </c>
    </row>
    <row r="1348" spans="1:21" ht="15.75" customHeight="1" x14ac:dyDescent="0.25">
      <c r="A1348" s="9" t="s">
        <v>8112</v>
      </c>
      <c r="B1348" s="10" t="s">
        <v>8113</v>
      </c>
      <c r="C1348" s="11" t="s">
        <v>8114</v>
      </c>
      <c r="D1348" s="21" t="s">
        <v>109</v>
      </c>
      <c r="E1348" s="11" t="s">
        <v>47</v>
      </c>
      <c r="F1348" s="13">
        <v>162</v>
      </c>
      <c r="G1348" s="25" t="s">
        <v>110</v>
      </c>
      <c r="H1348" s="11" t="s">
        <v>86</v>
      </c>
      <c r="I1348" s="15" t="s">
        <v>8115</v>
      </c>
      <c r="J1348" s="10" t="s">
        <v>8116</v>
      </c>
      <c r="K1348" s="11" t="s">
        <v>8117</v>
      </c>
      <c r="L1348" s="9" t="s">
        <v>90</v>
      </c>
      <c r="M1348" s="10" t="s">
        <v>91</v>
      </c>
      <c r="N1348" s="22"/>
      <c r="O1348" s="17"/>
      <c r="P1348" s="17"/>
      <c r="Q1348" s="18" t="s">
        <v>78</v>
      </c>
      <c r="R1348" s="18" t="s">
        <v>79</v>
      </c>
      <c r="S1348" s="18" t="s">
        <v>61</v>
      </c>
      <c r="T1348" s="18" t="s">
        <v>62</v>
      </c>
      <c r="U1348" s="19" t="s">
        <v>80</v>
      </c>
    </row>
    <row r="1349" spans="1:21" ht="15.75" customHeight="1" x14ac:dyDescent="0.25">
      <c r="A1349" s="27" t="s">
        <v>8118</v>
      </c>
      <c r="B1349" s="28" t="s">
        <v>8119</v>
      </c>
      <c r="C1349" s="29" t="s">
        <v>8120</v>
      </c>
      <c r="D1349" s="37" t="s">
        <v>109</v>
      </c>
      <c r="E1349" s="29" t="s">
        <v>98</v>
      </c>
      <c r="F1349" s="31">
        <v>340</v>
      </c>
      <c r="G1349" s="24" t="s">
        <v>85</v>
      </c>
      <c r="H1349" s="29" t="s">
        <v>129</v>
      </c>
      <c r="I1349" s="32" t="s">
        <v>8121</v>
      </c>
      <c r="J1349" s="28" t="s">
        <v>8122</v>
      </c>
      <c r="K1349" s="29"/>
      <c r="L1349" s="27"/>
      <c r="M1349" s="28"/>
      <c r="N1349" s="38"/>
      <c r="O1349" s="34"/>
      <c r="P1349" s="34"/>
      <c r="Q1349" s="35" t="s">
        <v>78</v>
      </c>
      <c r="R1349" s="35" t="s">
        <v>79</v>
      </c>
      <c r="S1349" s="35" t="s">
        <v>61</v>
      </c>
      <c r="T1349" s="35" t="s">
        <v>62</v>
      </c>
      <c r="U1349" s="36" t="s">
        <v>80</v>
      </c>
    </row>
    <row r="1350" spans="1:21" ht="15.75" customHeight="1" x14ac:dyDescent="0.25">
      <c r="A1350" s="9" t="s">
        <v>8123</v>
      </c>
      <c r="B1350" s="10" t="s">
        <v>8124</v>
      </c>
      <c r="C1350" s="11" t="s">
        <v>8125</v>
      </c>
      <c r="D1350" s="21" t="s">
        <v>109</v>
      </c>
      <c r="E1350" s="11" t="s">
        <v>98</v>
      </c>
      <c r="F1350" s="13">
        <v>420</v>
      </c>
      <c r="G1350" s="24" t="s">
        <v>85</v>
      </c>
      <c r="H1350" s="11" t="s">
        <v>129</v>
      </c>
      <c r="I1350" s="15" t="s">
        <v>6052</v>
      </c>
      <c r="J1350" s="10" t="s">
        <v>8126</v>
      </c>
      <c r="K1350" s="11"/>
      <c r="L1350" s="9"/>
      <c r="M1350" s="10"/>
      <c r="N1350" s="22"/>
      <c r="O1350" s="17"/>
      <c r="P1350" s="17"/>
      <c r="Q1350" s="18" t="s">
        <v>78</v>
      </c>
      <c r="R1350" s="18" t="s">
        <v>79</v>
      </c>
      <c r="S1350" s="18" t="s">
        <v>61</v>
      </c>
      <c r="T1350" s="18" t="s">
        <v>62</v>
      </c>
      <c r="U1350" s="19" t="s">
        <v>80</v>
      </c>
    </row>
    <row r="1351" spans="1:21" ht="15.75" customHeight="1" x14ac:dyDescent="0.25">
      <c r="A1351" s="27" t="s">
        <v>8127</v>
      </c>
      <c r="B1351" s="28" t="s">
        <v>8128</v>
      </c>
      <c r="C1351" s="29" t="s">
        <v>8129</v>
      </c>
      <c r="D1351" s="30" t="s">
        <v>6732</v>
      </c>
      <c r="E1351" s="29" t="s">
        <v>98</v>
      </c>
      <c r="F1351" s="29"/>
      <c r="G1351" s="20" t="s">
        <v>85</v>
      </c>
      <c r="H1351" s="29" t="s">
        <v>120</v>
      </c>
      <c r="I1351" s="32" t="s">
        <v>3122</v>
      </c>
      <c r="J1351" s="28" t="s">
        <v>8130</v>
      </c>
      <c r="K1351" s="29"/>
      <c r="L1351" s="27"/>
      <c r="M1351" s="28"/>
      <c r="N1351" s="33" t="s">
        <v>75</v>
      </c>
      <c r="O1351" s="34" t="s">
        <v>355</v>
      </c>
      <c r="P1351" s="34" t="s">
        <v>356</v>
      </c>
      <c r="Q1351" s="35" t="s">
        <v>78</v>
      </c>
      <c r="R1351" s="35" t="s">
        <v>79</v>
      </c>
      <c r="S1351" s="35" t="s">
        <v>61</v>
      </c>
      <c r="T1351" s="35" t="s">
        <v>62</v>
      </c>
      <c r="U1351" s="36" t="s">
        <v>80</v>
      </c>
    </row>
    <row r="1352" spans="1:21" ht="15.75" customHeight="1" x14ac:dyDescent="0.25">
      <c r="A1352" s="9" t="s">
        <v>8131</v>
      </c>
      <c r="B1352" s="10" t="s">
        <v>8132</v>
      </c>
      <c r="C1352" s="11" t="s">
        <v>8133</v>
      </c>
      <c r="D1352" s="21" t="s">
        <v>109</v>
      </c>
      <c r="E1352" s="11" t="s">
        <v>98</v>
      </c>
      <c r="F1352" s="11"/>
      <c r="G1352" s="24" t="s">
        <v>85</v>
      </c>
      <c r="H1352" s="11" t="s">
        <v>100</v>
      </c>
      <c r="I1352" s="15" t="s">
        <v>8134</v>
      </c>
      <c r="J1352" s="10" t="s">
        <v>8135</v>
      </c>
      <c r="K1352" s="11"/>
      <c r="L1352" s="9"/>
      <c r="M1352" s="10"/>
      <c r="N1352" s="22"/>
      <c r="O1352" s="17"/>
      <c r="P1352" s="17"/>
      <c r="Q1352" s="18" t="s">
        <v>78</v>
      </c>
      <c r="R1352" s="18" t="s">
        <v>79</v>
      </c>
      <c r="S1352" s="18" t="s">
        <v>61</v>
      </c>
      <c r="T1352" s="18" t="s">
        <v>62</v>
      </c>
      <c r="U1352" s="19" t="s">
        <v>80</v>
      </c>
    </row>
    <row r="1353" spans="1:21" ht="15.75" customHeight="1" x14ac:dyDescent="0.25">
      <c r="A1353" s="27" t="s">
        <v>8136</v>
      </c>
      <c r="B1353" s="28" t="s">
        <v>8137</v>
      </c>
      <c r="C1353" s="29" t="s">
        <v>8138</v>
      </c>
      <c r="D1353" s="37" t="s">
        <v>109</v>
      </c>
      <c r="E1353" s="29"/>
      <c r="F1353" s="31">
        <v>20</v>
      </c>
      <c r="G1353" s="14" t="s">
        <v>119</v>
      </c>
      <c r="H1353" s="29" t="s">
        <v>69</v>
      </c>
      <c r="I1353" s="32" t="s">
        <v>6373</v>
      </c>
      <c r="J1353" s="28" t="s">
        <v>8139</v>
      </c>
      <c r="K1353" s="29" t="s">
        <v>7115</v>
      </c>
      <c r="L1353" s="27" t="s">
        <v>158</v>
      </c>
      <c r="M1353" s="28" t="s">
        <v>159</v>
      </c>
      <c r="N1353" s="38"/>
      <c r="O1353" s="34"/>
      <c r="P1353" s="34"/>
      <c r="Q1353" s="35" t="s">
        <v>78</v>
      </c>
      <c r="R1353" s="35" t="s">
        <v>79</v>
      </c>
      <c r="S1353" s="35" t="s">
        <v>61</v>
      </c>
      <c r="T1353" s="35" t="s">
        <v>62</v>
      </c>
      <c r="U1353" s="36" t="s">
        <v>80</v>
      </c>
    </row>
    <row r="1354" spans="1:21" ht="15.75" customHeight="1" x14ac:dyDescent="0.25">
      <c r="A1354" s="9" t="s">
        <v>8140</v>
      </c>
      <c r="B1354" s="10" t="s">
        <v>8141</v>
      </c>
      <c r="C1354" s="11" t="s">
        <v>8142</v>
      </c>
      <c r="D1354" s="21" t="s">
        <v>109</v>
      </c>
      <c r="E1354" s="11" t="s">
        <v>1264</v>
      </c>
      <c r="F1354" s="11"/>
      <c r="G1354" s="24" t="s">
        <v>85</v>
      </c>
      <c r="H1354" s="11" t="s">
        <v>100</v>
      </c>
      <c r="I1354" s="15" t="s">
        <v>8143</v>
      </c>
      <c r="J1354" s="10" t="s">
        <v>8144</v>
      </c>
      <c r="K1354" s="11"/>
      <c r="L1354" s="9"/>
      <c r="M1354" s="10"/>
      <c r="N1354" s="22"/>
      <c r="O1354" s="17"/>
      <c r="P1354" s="17"/>
      <c r="Q1354" s="18" t="s">
        <v>78</v>
      </c>
      <c r="R1354" s="18" t="s">
        <v>79</v>
      </c>
      <c r="S1354" s="18" t="s">
        <v>61</v>
      </c>
      <c r="T1354" s="18" t="s">
        <v>62</v>
      </c>
      <c r="U1354" s="19" t="s">
        <v>80</v>
      </c>
    </row>
    <row r="1355" spans="1:21" ht="15.75" customHeight="1" x14ac:dyDescent="0.25">
      <c r="A1355" s="27" t="s">
        <v>8145</v>
      </c>
      <c r="B1355" s="28" t="s">
        <v>8146</v>
      </c>
      <c r="C1355" s="29" t="s">
        <v>8147</v>
      </c>
      <c r="D1355" s="30" t="s">
        <v>8148</v>
      </c>
      <c r="E1355" s="29" t="s">
        <v>67</v>
      </c>
      <c r="F1355" s="31">
        <v>-55.3</v>
      </c>
      <c r="G1355" s="20" t="s">
        <v>119</v>
      </c>
      <c r="H1355" s="29" t="s">
        <v>69</v>
      </c>
      <c r="I1355" s="32" t="s">
        <v>2701</v>
      </c>
      <c r="J1355" s="28" t="s">
        <v>8149</v>
      </c>
      <c r="K1355" s="29" t="s">
        <v>8150</v>
      </c>
      <c r="L1355" s="27" t="s">
        <v>140</v>
      </c>
      <c r="M1355" s="28" t="s">
        <v>141</v>
      </c>
      <c r="N1355" s="33" t="s">
        <v>75</v>
      </c>
      <c r="O1355" s="34" t="s">
        <v>8151</v>
      </c>
      <c r="P1355" s="34" t="s">
        <v>8152</v>
      </c>
      <c r="Q1355" s="35" t="s">
        <v>78</v>
      </c>
      <c r="R1355" s="35" t="s">
        <v>79</v>
      </c>
      <c r="S1355" s="35" t="s">
        <v>61</v>
      </c>
      <c r="T1355" s="35" t="s">
        <v>62</v>
      </c>
      <c r="U1355" s="36" t="s">
        <v>80</v>
      </c>
    </row>
    <row r="1356" spans="1:21" ht="15.75" customHeight="1" x14ac:dyDescent="0.25">
      <c r="A1356" s="9" t="s">
        <v>8153</v>
      </c>
      <c r="B1356" s="10" t="s">
        <v>8154</v>
      </c>
      <c r="C1356" s="11" t="s">
        <v>8155</v>
      </c>
      <c r="D1356" s="21" t="s">
        <v>109</v>
      </c>
      <c r="E1356" s="11" t="s">
        <v>1264</v>
      </c>
      <c r="F1356" s="11"/>
      <c r="G1356" s="24" t="s">
        <v>85</v>
      </c>
      <c r="H1356" s="11" t="s">
        <v>100</v>
      </c>
      <c r="I1356" s="15" t="s">
        <v>8156</v>
      </c>
      <c r="J1356" s="10" t="s">
        <v>8157</v>
      </c>
      <c r="K1356" s="11"/>
      <c r="L1356" s="9"/>
      <c r="M1356" s="10"/>
      <c r="N1356" s="22"/>
      <c r="O1356" s="17"/>
      <c r="P1356" s="17"/>
      <c r="Q1356" s="18" t="s">
        <v>78</v>
      </c>
      <c r="R1356" s="18" t="s">
        <v>79</v>
      </c>
      <c r="S1356" s="18" t="s">
        <v>61</v>
      </c>
      <c r="T1356" s="18" t="s">
        <v>62</v>
      </c>
      <c r="U1356" s="19" t="s">
        <v>80</v>
      </c>
    </row>
    <row r="1357" spans="1:21" ht="15.75" customHeight="1" x14ac:dyDescent="0.25">
      <c r="A1357" s="27" t="s">
        <v>8158</v>
      </c>
      <c r="B1357" s="28" t="s">
        <v>8159</v>
      </c>
      <c r="C1357" s="29" t="s">
        <v>8160</v>
      </c>
      <c r="D1357" s="30" t="s">
        <v>8161</v>
      </c>
      <c r="E1357" s="29" t="s">
        <v>1264</v>
      </c>
      <c r="F1357" s="31">
        <v>5900</v>
      </c>
      <c r="G1357" s="14" t="s">
        <v>68</v>
      </c>
      <c r="H1357" s="29" t="s">
        <v>129</v>
      </c>
      <c r="I1357" s="32" t="s">
        <v>8162</v>
      </c>
      <c r="J1357" s="28" t="s">
        <v>8163</v>
      </c>
      <c r="K1357" s="29" t="s">
        <v>1697</v>
      </c>
      <c r="L1357" s="27" t="s">
        <v>1698</v>
      </c>
      <c r="M1357" s="28" t="s">
        <v>1699</v>
      </c>
      <c r="N1357" s="39" t="s">
        <v>179</v>
      </c>
      <c r="O1357" s="34" t="s">
        <v>2007</v>
      </c>
      <c r="P1357" s="34" t="s">
        <v>2008</v>
      </c>
      <c r="Q1357" s="35" t="s">
        <v>78</v>
      </c>
      <c r="R1357" s="35" t="s">
        <v>79</v>
      </c>
      <c r="S1357" s="35" t="s">
        <v>61</v>
      </c>
      <c r="T1357" s="35" t="s">
        <v>62</v>
      </c>
      <c r="U1357" s="36" t="s">
        <v>80</v>
      </c>
    </row>
    <row r="1358" spans="1:21" ht="15.75" customHeight="1" x14ac:dyDescent="0.25">
      <c r="A1358" s="9" t="s">
        <v>8164</v>
      </c>
      <c r="B1358" s="10" t="s">
        <v>8165</v>
      </c>
      <c r="C1358" s="11" t="s">
        <v>8166</v>
      </c>
      <c r="D1358" s="21" t="s">
        <v>109</v>
      </c>
      <c r="E1358" s="11" t="s">
        <v>98</v>
      </c>
      <c r="F1358" s="13">
        <v>3577</v>
      </c>
      <c r="G1358" s="14" t="s">
        <v>119</v>
      </c>
      <c r="H1358" s="11" t="s">
        <v>129</v>
      </c>
      <c r="I1358" s="15" t="s">
        <v>8167</v>
      </c>
      <c r="J1358" s="10" t="s">
        <v>8168</v>
      </c>
      <c r="K1358" s="11" t="s">
        <v>8169</v>
      </c>
      <c r="L1358" s="9" t="s">
        <v>1267</v>
      </c>
      <c r="M1358" s="10" t="s">
        <v>1268</v>
      </c>
      <c r="N1358" s="22"/>
      <c r="O1358" s="17"/>
      <c r="P1358" s="17"/>
      <c r="Q1358" s="18" t="s">
        <v>78</v>
      </c>
      <c r="R1358" s="18" t="s">
        <v>79</v>
      </c>
      <c r="S1358" s="18" t="s">
        <v>61</v>
      </c>
      <c r="T1358" s="18" t="s">
        <v>62</v>
      </c>
      <c r="U1358" s="19" t="s">
        <v>80</v>
      </c>
    </row>
    <row r="1359" spans="1:21" ht="15.75" customHeight="1" x14ac:dyDescent="0.25">
      <c r="A1359" s="27" t="s">
        <v>8170</v>
      </c>
      <c r="B1359" s="28" t="s">
        <v>8171</v>
      </c>
      <c r="C1359" s="29" t="s">
        <v>8172</v>
      </c>
      <c r="D1359" s="37" t="s">
        <v>109</v>
      </c>
      <c r="E1359" s="29" t="s">
        <v>47</v>
      </c>
      <c r="F1359" s="31">
        <v>138</v>
      </c>
      <c r="G1359" s="25" t="s">
        <v>110</v>
      </c>
      <c r="H1359" s="29" t="s">
        <v>330</v>
      </c>
      <c r="I1359" s="32" t="s">
        <v>8173</v>
      </c>
      <c r="J1359" s="28" t="s">
        <v>8174</v>
      </c>
      <c r="K1359" s="29" t="s">
        <v>132</v>
      </c>
      <c r="L1359" s="27" t="s">
        <v>90</v>
      </c>
      <c r="M1359" s="28" t="s">
        <v>91</v>
      </c>
      <c r="N1359" s="38"/>
      <c r="O1359" s="34"/>
      <c r="P1359" s="34"/>
      <c r="Q1359" s="35" t="s">
        <v>78</v>
      </c>
      <c r="R1359" s="35" t="s">
        <v>79</v>
      </c>
      <c r="S1359" s="35" t="s">
        <v>61</v>
      </c>
      <c r="T1359" s="35" t="s">
        <v>62</v>
      </c>
      <c r="U1359" s="36" t="s">
        <v>80</v>
      </c>
    </row>
    <row r="1360" spans="1:21" ht="15.75" customHeight="1" x14ac:dyDescent="0.25">
      <c r="A1360" s="9" t="s">
        <v>8175</v>
      </c>
      <c r="B1360" s="10" t="s">
        <v>8176</v>
      </c>
      <c r="C1360" s="11" t="s">
        <v>8177</v>
      </c>
      <c r="D1360" s="21" t="s">
        <v>109</v>
      </c>
      <c r="E1360" s="11" t="s">
        <v>98</v>
      </c>
      <c r="F1360" s="13">
        <v>513</v>
      </c>
      <c r="G1360" s="14" t="s">
        <v>119</v>
      </c>
      <c r="H1360" s="11" t="s">
        <v>129</v>
      </c>
      <c r="I1360" s="15" t="s">
        <v>8178</v>
      </c>
      <c r="J1360" s="10" t="s">
        <v>8179</v>
      </c>
      <c r="K1360" s="11" t="s">
        <v>7825</v>
      </c>
      <c r="L1360" s="9" t="s">
        <v>2005</v>
      </c>
      <c r="M1360" s="10" t="s">
        <v>2006</v>
      </c>
      <c r="N1360" s="22"/>
      <c r="O1360" s="17"/>
      <c r="P1360" s="17"/>
      <c r="Q1360" s="18" t="s">
        <v>78</v>
      </c>
      <c r="R1360" s="18" t="s">
        <v>79</v>
      </c>
      <c r="S1360" s="18" t="s">
        <v>61</v>
      </c>
      <c r="T1360" s="18" t="s">
        <v>62</v>
      </c>
      <c r="U1360" s="19" t="s">
        <v>80</v>
      </c>
    </row>
    <row r="1361" spans="1:21" ht="15.75" customHeight="1" x14ac:dyDescent="0.25">
      <c r="A1361" s="27" t="s">
        <v>8180</v>
      </c>
      <c r="B1361" s="28" t="s">
        <v>8181</v>
      </c>
      <c r="C1361" s="29" t="s">
        <v>8182</v>
      </c>
      <c r="D1361" s="37" t="s">
        <v>109</v>
      </c>
      <c r="E1361" s="29" t="s">
        <v>47</v>
      </c>
      <c r="F1361" s="31">
        <v>132</v>
      </c>
      <c r="G1361" s="25" t="s">
        <v>110</v>
      </c>
      <c r="H1361" s="29" t="s">
        <v>330</v>
      </c>
      <c r="I1361" s="32" t="s">
        <v>8183</v>
      </c>
      <c r="J1361" s="28" t="s">
        <v>8184</v>
      </c>
      <c r="K1361" s="29" t="s">
        <v>132</v>
      </c>
      <c r="L1361" s="27" t="s">
        <v>90</v>
      </c>
      <c r="M1361" s="28" t="s">
        <v>91</v>
      </c>
      <c r="N1361" s="38"/>
      <c r="O1361" s="34"/>
      <c r="P1361" s="34"/>
      <c r="Q1361" s="35" t="s">
        <v>78</v>
      </c>
      <c r="R1361" s="35" t="s">
        <v>79</v>
      </c>
      <c r="S1361" s="35" t="s">
        <v>61</v>
      </c>
      <c r="T1361" s="35" t="s">
        <v>62</v>
      </c>
      <c r="U1361" s="36" t="s">
        <v>80</v>
      </c>
    </row>
    <row r="1362" spans="1:21" ht="15.75" customHeight="1" x14ac:dyDescent="0.25">
      <c r="A1362" s="9" t="s">
        <v>8185</v>
      </c>
      <c r="B1362" s="10" t="s">
        <v>8186</v>
      </c>
      <c r="C1362" s="11" t="s">
        <v>8187</v>
      </c>
      <c r="D1362" s="21" t="s">
        <v>109</v>
      </c>
      <c r="E1362" s="11" t="s">
        <v>47</v>
      </c>
      <c r="F1362" s="13">
        <v>76</v>
      </c>
      <c r="G1362" s="25" t="s">
        <v>110</v>
      </c>
      <c r="H1362" s="11" t="s">
        <v>48</v>
      </c>
      <c r="I1362" s="15" t="s">
        <v>8188</v>
      </c>
      <c r="J1362" s="10" t="s">
        <v>8189</v>
      </c>
      <c r="K1362" s="11" t="s">
        <v>8190</v>
      </c>
      <c r="L1362" s="9" t="s">
        <v>481</v>
      </c>
      <c r="M1362" s="10" t="s">
        <v>482</v>
      </c>
      <c r="N1362" s="22"/>
      <c r="O1362" s="17"/>
      <c r="P1362" s="17"/>
      <c r="Q1362" s="18" t="s">
        <v>78</v>
      </c>
      <c r="R1362" s="18" t="s">
        <v>79</v>
      </c>
      <c r="S1362" s="18" t="s">
        <v>61</v>
      </c>
      <c r="T1362" s="18" t="s">
        <v>62</v>
      </c>
      <c r="U1362" s="19" t="s">
        <v>80</v>
      </c>
    </row>
    <row r="1363" spans="1:21" ht="15.75" customHeight="1" x14ac:dyDescent="0.25">
      <c r="A1363" s="27" t="s">
        <v>8191</v>
      </c>
      <c r="B1363" s="28" t="s">
        <v>8192</v>
      </c>
      <c r="C1363" s="29" t="s">
        <v>8193</v>
      </c>
      <c r="D1363" s="37" t="s">
        <v>109</v>
      </c>
      <c r="E1363" s="29" t="s">
        <v>47</v>
      </c>
      <c r="F1363" s="31">
        <v>129.5</v>
      </c>
      <c r="G1363" s="25" t="s">
        <v>110</v>
      </c>
      <c r="H1363" s="29" t="s">
        <v>330</v>
      </c>
      <c r="I1363" s="32" t="s">
        <v>8194</v>
      </c>
      <c r="J1363" s="28" t="s">
        <v>8195</v>
      </c>
      <c r="K1363" s="29" t="s">
        <v>8196</v>
      </c>
      <c r="L1363" s="27" t="s">
        <v>90</v>
      </c>
      <c r="M1363" s="28" t="s">
        <v>91</v>
      </c>
      <c r="N1363" s="38"/>
      <c r="O1363" s="34"/>
      <c r="P1363" s="34"/>
      <c r="Q1363" s="35" t="s">
        <v>78</v>
      </c>
      <c r="R1363" s="35" t="s">
        <v>79</v>
      </c>
      <c r="S1363" s="35" t="s">
        <v>61</v>
      </c>
      <c r="T1363" s="35" t="s">
        <v>62</v>
      </c>
      <c r="U1363" s="36" t="s">
        <v>80</v>
      </c>
    </row>
    <row r="1364" spans="1:21" ht="15.75" customHeight="1" x14ac:dyDescent="0.25">
      <c r="A1364" s="9" t="s">
        <v>8197</v>
      </c>
      <c r="B1364" s="10" t="s">
        <v>8198</v>
      </c>
      <c r="C1364" s="11" t="s">
        <v>8199</v>
      </c>
      <c r="D1364" s="21" t="s">
        <v>109</v>
      </c>
      <c r="E1364" s="11" t="s">
        <v>47</v>
      </c>
      <c r="F1364" s="13">
        <v>231.9</v>
      </c>
      <c r="G1364" s="25" t="s">
        <v>110</v>
      </c>
      <c r="H1364" s="11" t="s">
        <v>129</v>
      </c>
      <c r="I1364" s="15" t="s">
        <v>8200</v>
      </c>
      <c r="J1364" s="10" t="s">
        <v>8201</v>
      </c>
      <c r="K1364" s="11" t="s">
        <v>5721</v>
      </c>
      <c r="L1364" s="9" t="s">
        <v>90</v>
      </c>
      <c r="M1364" s="10" t="s">
        <v>91</v>
      </c>
      <c r="N1364" s="22"/>
      <c r="O1364" s="17"/>
      <c r="P1364" s="17"/>
      <c r="Q1364" s="18" t="s">
        <v>78</v>
      </c>
      <c r="R1364" s="18" t="s">
        <v>79</v>
      </c>
      <c r="S1364" s="18" t="s">
        <v>61</v>
      </c>
      <c r="T1364" s="18" t="s">
        <v>62</v>
      </c>
      <c r="U1364" s="19" t="s">
        <v>80</v>
      </c>
    </row>
    <row r="1365" spans="1:21" ht="15.75" customHeight="1" x14ac:dyDescent="0.25">
      <c r="A1365" s="27" t="s">
        <v>8202</v>
      </c>
      <c r="B1365" s="28" t="s">
        <v>8203</v>
      </c>
      <c r="C1365" s="29" t="s">
        <v>8204</v>
      </c>
      <c r="D1365" s="37" t="s">
        <v>109</v>
      </c>
      <c r="E1365" s="29" t="s">
        <v>47</v>
      </c>
      <c r="F1365" s="29" t="s">
        <v>8205</v>
      </c>
      <c r="G1365" s="25" t="s">
        <v>110</v>
      </c>
      <c r="H1365" s="29" t="s">
        <v>120</v>
      </c>
      <c r="I1365" s="32" t="s">
        <v>8206</v>
      </c>
      <c r="J1365" s="28" t="s">
        <v>8207</v>
      </c>
      <c r="K1365" s="29" t="s">
        <v>8208</v>
      </c>
      <c r="L1365" s="27" t="s">
        <v>481</v>
      </c>
      <c r="M1365" s="28" t="s">
        <v>482</v>
      </c>
      <c r="N1365" s="38"/>
      <c r="O1365" s="34"/>
      <c r="P1365" s="34"/>
      <c r="Q1365" s="35" t="s">
        <v>78</v>
      </c>
      <c r="R1365" s="35" t="s">
        <v>79</v>
      </c>
      <c r="S1365" s="35" t="s">
        <v>61</v>
      </c>
      <c r="T1365" s="35" t="s">
        <v>62</v>
      </c>
      <c r="U1365" s="36" t="s">
        <v>80</v>
      </c>
    </row>
    <row r="1366" spans="1:21" ht="15.75" customHeight="1" x14ac:dyDescent="0.25">
      <c r="A1366" s="9" t="s">
        <v>8209</v>
      </c>
      <c r="B1366" s="10" t="s">
        <v>8210</v>
      </c>
      <c r="C1366" s="11" t="s">
        <v>8211</v>
      </c>
      <c r="D1366" s="12" t="s">
        <v>8212</v>
      </c>
      <c r="E1366" s="11" t="s">
        <v>1264</v>
      </c>
      <c r="F1366" s="11" t="s">
        <v>8213</v>
      </c>
      <c r="G1366" s="20" t="s">
        <v>85</v>
      </c>
      <c r="H1366" s="11" t="s">
        <v>100</v>
      </c>
      <c r="I1366" s="15" t="s">
        <v>8214</v>
      </c>
      <c r="J1366" s="10" t="s">
        <v>8215</v>
      </c>
      <c r="K1366" s="11" t="s">
        <v>332</v>
      </c>
      <c r="L1366" s="9" t="s">
        <v>197</v>
      </c>
      <c r="M1366" s="10" t="s">
        <v>198</v>
      </c>
      <c r="N1366" s="23" t="s">
        <v>179</v>
      </c>
      <c r="O1366" s="17" t="s">
        <v>104</v>
      </c>
      <c r="P1366" s="17" t="s">
        <v>105</v>
      </c>
      <c r="Q1366" s="18" t="s">
        <v>78</v>
      </c>
      <c r="R1366" s="18" t="s">
        <v>79</v>
      </c>
      <c r="S1366" s="18" t="s">
        <v>61</v>
      </c>
      <c r="T1366" s="18" t="s">
        <v>62</v>
      </c>
      <c r="U1366" s="19" t="s">
        <v>80</v>
      </c>
    </row>
    <row r="1367" spans="1:21" ht="15.75" customHeight="1" x14ac:dyDescent="0.25">
      <c r="A1367" s="27" t="s">
        <v>8216</v>
      </c>
      <c r="B1367" s="28" t="s">
        <v>8217</v>
      </c>
      <c r="C1367" s="29" t="s">
        <v>8218</v>
      </c>
      <c r="D1367" s="37" t="s">
        <v>109</v>
      </c>
      <c r="E1367" s="29" t="s">
        <v>47</v>
      </c>
      <c r="F1367" s="31">
        <v>144</v>
      </c>
      <c r="G1367" s="14" t="s">
        <v>119</v>
      </c>
      <c r="H1367" s="29" t="s">
        <v>330</v>
      </c>
      <c r="I1367" s="32" t="s">
        <v>5043</v>
      </c>
      <c r="J1367" s="28" t="s">
        <v>8219</v>
      </c>
      <c r="K1367" s="29" t="s">
        <v>8220</v>
      </c>
      <c r="L1367" s="27" t="s">
        <v>158</v>
      </c>
      <c r="M1367" s="28" t="s">
        <v>159</v>
      </c>
      <c r="N1367" s="38"/>
      <c r="O1367" s="34"/>
      <c r="P1367" s="34"/>
      <c r="Q1367" s="35" t="s">
        <v>78</v>
      </c>
      <c r="R1367" s="35" t="s">
        <v>79</v>
      </c>
      <c r="S1367" s="35" t="s">
        <v>61</v>
      </c>
      <c r="T1367" s="35" t="s">
        <v>62</v>
      </c>
      <c r="U1367" s="36" t="s">
        <v>80</v>
      </c>
    </row>
    <row r="1368" spans="1:21" ht="15.75" customHeight="1" x14ac:dyDescent="0.25">
      <c r="A1368" s="9" t="s">
        <v>8221</v>
      </c>
      <c r="B1368" s="10" t="s">
        <v>8222</v>
      </c>
      <c r="C1368" s="11" t="s">
        <v>8223</v>
      </c>
      <c r="D1368" s="21" t="s">
        <v>109</v>
      </c>
      <c r="E1368" s="11" t="s">
        <v>98</v>
      </c>
      <c r="F1368" s="11"/>
      <c r="G1368" s="24" t="s">
        <v>85</v>
      </c>
      <c r="H1368" s="11" t="s">
        <v>100</v>
      </c>
      <c r="I1368" s="15" t="s">
        <v>4468</v>
      </c>
      <c r="J1368" s="10" t="s">
        <v>8224</v>
      </c>
      <c r="K1368" s="11"/>
      <c r="L1368" s="9"/>
      <c r="M1368" s="10"/>
      <c r="N1368" s="22"/>
      <c r="O1368" s="17"/>
      <c r="P1368" s="17"/>
      <c r="Q1368" s="18" t="s">
        <v>78</v>
      </c>
      <c r="R1368" s="18" t="s">
        <v>79</v>
      </c>
      <c r="S1368" s="18" t="s">
        <v>61</v>
      </c>
      <c r="T1368" s="18" t="s">
        <v>62</v>
      </c>
      <c r="U1368" s="19" t="s">
        <v>80</v>
      </c>
    </row>
    <row r="1369" spans="1:21" ht="15.75" customHeight="1" x14ac:dyDescent="0.25">
      <c r="A1369" s="27" t="s">
        <v>8225</v>
      </c>
      <c r="B1369" s="28" t="s">
        <v>8226</v>
      </c>
      <c r="C1369" s="29" t="s">
        <v>8227</v>
      </c>
      <c r="D1369" s="30" t="s">
        <v>2796</v>
      </c>
      <c r="E1369" s="29" t="s">
        <v>98</v>
      </c>
      <c r="F1369" s="29" t="s">
        <v>8228</v>
      </c>
      <c r="G1369" s="26" t="s">
        <v>119</v>
      </c>
      <c r="H1369" s="29" t="s">
        <v>120</v>
      </c>
      <c r="I1369" s="32" t="s">
        <v>8229</v>
      </c>
      <c r="J1369" s="28" t="s">
        <v>8230</v>
      </c>
      <c r="K1369" s="29"/>
      <c r="L1369" s="27"/>
      <c r="M1369" s="28"/>
      <c r="N1369" s="33" t="s">
        <v>75</v>
      </c>
      <c r="O1369" s="34" t="s">
        <v>467</v>
      </c>
      <c r="P1369" s="34" t="s">
        <v>468</v>
      </c>
      <c r="Q1369" s="35" t="s">
        <v>78</v>
      </c>
      <c r="R1369" s="35" t="s">
        <v>79</v>
      </c>
      <c r="S1369" s="35" t="s">
        <v>61</v>
      </c>
      <c r="T1369" s="35" t="s">
        <v>62</v>
      </c>
      <c r="U1369" s="36" t="s">
        <v>80</v>
      </c>
    </row>
    <row r="1370" spans="1:21" ht="15.75" customHeight="1" x14ac:dyDescent="0.25">
      <c r="A1370" s="9" t="s">
        <v>8231</v>
      </c>
      <c r="B1370" s="10" t="s">
        <v>8232</v>
      </c>
      <c r="C1370" s="11" t="s">
        <v>8233</v>
      </c>
      <c r="D1370" s="21" t="s">
        <v>109</v>
      </c>
      <c r="E1370" s="11" t="s">
        <v>47</v>
      </c>
      <c r="F1370" s="13">
        <v>103</v>
      </c>
      <c r="G1370" s="14" t="s">
        <v>119</v>
      </c>
      <c r="H1370" s="11" t="s">
        <v>330</v>
      </c>
      <c r="I1370" s="15" t="s">
        <v>8234</v>
      </c>
      <c r="J1370" s="10" t="s">
        <v>8235</v>
      </c>
      <c r="K1370" s="11" t="s">
        <v>8236</v>
      </c>
      <c r="L1370" s="9" t="s">
        <v>158</v>
      </c>
      <c r="M1370" s="10" t="s">
        <v>159</v>
      </c>
      <c r="N1370" s="22"/>
      <c r="O1370" s="17"/>
      <c r="P1370" s="17"/>
      <c r="Q1370" s="18" t="s">
        <v>78</v>
      </c>
      <c r="R1370" s="18" t="s">
        <v>79</v>
      </c>
      <c r="S1370" s="18" t="s">
        <v>61</v>
      </c>
      <c r="T1370" s="18" t="s">
        <v>62</v>
      </c>
      <c r="U1370" s="19" t="s">
        <v>80</v>
      </c>
    </row>
    <row r="1371" spans="1:21" ht="15.75" customHeight="1" x14ac:dyDescent="0.25">
      <c r="A1371" s="27" t="s">
        <v>8237</v>
      </c>
      <c r="B1371" s="28" t="s">
        <v>8238</v>
      </c>
      <c r="C1371" s="29" t="s">
        <v>8239</v>
      </c>
      <c r="D1371" s="37" t="s">
        <v>109</v>
      </c>
      <c r="E1371" s="29" t="s">
        <v>47</v>
      </c>
      <c r="F1371" s="31">
        <v>222</v>
      </c>
      <c r="G1371" s="25" t="s">
        <v>110</v>
      </c>
      <c r="H1371" s="29" t="s">
        <v>129</v>
      </c>
      <c r="I1371" s="32" t="s">
        <v>2004</v>
      </c>
      <c r="J1371" s="28" t="s">
        <v>8240</v>
      </c>
      <c r="K1371" s="29" t="s">
        <v>8241</v>
      </c>
      <c r="L1371" s="27" t="s">
        <v>90</v>
      </c>
      <c r="M1371" s="28" t="s">
        <v>91</v>
      </c>
      <c r="N1371" s="38"/>
      <c r="O1371" s="34"/>
      <c r="P1371" s="34"/>
      <c r="Q1371" s="35" t="s">
        <v>78</v>
      </c>
      <c r="R1371" s="35" t="s">
        <v>79</v>
      </c>
      <c r="S1371" s="35" t="s">
        <v>61</v>
      </c>
      <c r="T1371" s="35" t="s">
        <v>62</v>
      </c>
      <c r="U1371" s="36" t="s">
        <v>80</v>
      </c>
    </row>
    <row r="1372" spans="1:21" ht="15.75" customHeight="1" x14ac:dyDescent="0.25">
      <c r="A1372" s="9" t="s">
        <v>8242</v>
      </c>
      <c r="B1372" s="10" t="s">
        <v>8243</v>
      </c>
      <c r="C1372" s="11" t="s">
        <v>8244</v>
      </c>
      <c r="D1372" s="21" t="s">
        <v>109</v>
      </c>
      <c r="E1372" s="11" t="s">
        <v>67</v>
      </c>
      <c r="F1372" s="13">
        <v>22.8</v>
      </c>
      <c r="G1372" s="24" t="s">
        <v>85</v>
      </c>
      <c r="H1372" s="11" t="s">
        <v>421</v>
      </c>
      <c r="I1372" s="15" t="s">
        <v>8245</v>
      </c>
      <c r="J1372" s="10" t="s">
        <v>8246</v>
      </c>
      <c r="K1372" s="11" t="s">
        <v>8247</v>
      </c>
      <c r="L1372" s="9" t="s">
        <v>197</v>
      </c>
      <c r="M1372" s="10" t="s">
        <v>198</v>
      </c>
      <c r="N1372" s="22"/>
      <c r="O1372" s="17"/>
      <c r="P1372" s="17"/>
      <c r="Q1372" s="18" t="s">
        <v>78</v>
      </c>
      <c r="R1372" s="18" t="s">
        <v>79</v>
      </c>
      <c r="S1372" s="18" t="s">
        <v>61</v>
      </c>
      <c r="T1372" s="18" t="s">
        <v>62</v>
      </c>
      <c r="U1372" s="19" t="s">
        <v>80</v>
      </c>
    </row>
    <row r="1373" spans="1:21" ht="15.75" customHeight="1" x14ac:dyDescent="0.25">
      <c r="A1373" s="27" t="s">
        <v>8248</v>
      </c>
      <c r="B1373" s="28" t="s">
        <v>8249</v>
      </c>
      <c r="C1373" s="29" t="s">
        <v>8250</v>
      </c>
      <c r="D1373" s="37" t="s">
        <v>109</v>
      </c>
      <c r="E1373" s="29" t="s">
        <v>98</v>
      </c>
      <c r="F1373" s="31">
        <v>91.5</v>
      </c>
      <c r="G1373" s="24" t="s">
        <v>85</v>
      </c>
      <c r="H1373" s="29" t="s">
        <v>48</v>
      </c>
      <c r="I1373" s="32" t="s">
        <v>8251</v>
      </c>
      <c r="J1373" s="28" t="s">
        <v>8252</v>
      </c>
      <c r="K1373" s="29"/>
      <c r="L1373" s="27"/>
      <c r="M1373" s="28"/>
      <c r="N1373" s="38"/>
      <c r="O1373" s="34"/>
      <c r="P1373" s="34"/>
      <c r="Q1373" s="35" t="s">
        <v>78</v>
      </c>
      <c r="R1373" s="35" t="s">
        <v>79</v>
      </c>
      <c r="S1373" s="35" t="s">
        <v>61</v>
      </c>
      <c r="T1373" s="35" t="s">
        <v>62</v>
      </c>
      <c r="U1373" s="36" t="s">
        <v>80</v>
      </c>
    </row>
    <row r="1374" spans="1:21" ht="15.75" customHeight="1" x14ac:dyDescent="0.25">
      <c r="A1374" s="9" t="s">
        <v>8253</v>
      </c>
      <c r="B1374" s="10" t="s">
        <v>8254</v>
      </c>
      <c r="C1374" s="11" t="s">
        <v>8255</v>
      </c>
      <c r="D1374" s="21" t="s">
        <v>109</v>
      </c>
      <c r="E1374" s="11" t="s">
        <v>98</v>
      </c>
      <c r="F1374" s="13">
        <v>93</v>
      </c>
      <c r="G1374" s="24" t="s">
        <v>85</v>
      </c>
      <c r="H1374" s="11" t="s">
        <v>48</v>
      </c>
      <c r="I1374" s="15" t="s">
        <v>8256</v>
      </c>
      <c r="J1374" s="10" t="s">
        <v>8257</v>
      </c>
      <c r="K1374" s="11"/>
      <c r="L1374" s="9"/>
      <c r="M1374" s="10"/>
      <c r="N1374" s="22"/>
      <c r="O1374" s="17"/>
      <c r="P1374" s="17"/>
      <c r="Q1374" s="18" t="s">
        <v>78</v>
      </c>
      <c r="R1374" s="18" t="s">
        <v>79</v>
      </c>
      <c r="S1374" s="18" t="s">
        <v>61</v>
      </c>
      <c r="T1374" s="18" t="s">
        <v>62</v>
      </c>
      <c r="U1374" s="19" t="s">
        <v>80</v>
      </c>
    </row>
    <row r="1375" spans="1:21" ht="15.75" customHeight="1" x14ac:dyDescent="0.25">
      <c r="A1375" s="27" t="s">
        <v>8258</v>
      </c>
      <c r="B1375" s="28" t="s">
        <v>8259</v>
      </c>
      <c r="C1375" s="29" t="s">
        <v>8260</v>
      </c>
      <c r="D1375" s="37" t="s">
        <v>109</v>
      </c>
      <c r="E1375" s="29" t="s">
        <v>47</v>
      </c>
      <c r="F1375" s="31">
        <v>66</v>
      </c>
      <c r="G1375" s="14" t="s">
        <v>119</v>
      </c>
      <c r="H1375" s="29" t="s">
        <v>48</v>
      </c>
      <c r="I1375" s="32" t="s">
        <v>8261</v>
      </c>
      <c r="J1375" s="28" t="s">
        <v>8262</v>
      </c>
      <c r="K1375" s="29" t="s">
        <v>903</v>
      </c>
      <c r="L1375" s="27" t="s">
        <v>158</v>
      </c>
      <c r="M1375" s="28" t="s">
        <v>159</v>
      </c>
      <c r="N1375" s="38"/>
      <c r="O1375" s="34"/>
      <c r="P1375" s="34"/>
      <c r="Q1375" s="35" t="s">
        <v>78</v>
      </c>
      <c r="R1375" s="35" t="s">
        <v>79</v>
      </c>
      <c r="S1375" s="35" t="s">
        <v>61</v>
      </c>
      <c r="T1375" s="35" t="s">
        <v>62</v>
      </c>
      <c r="U1375" s="36" t="s">
        <v>80</v>
      </c>
    </row>
    <row r="1376" spans="1:21" ht="15.75" customHeight="1" x14ac:dyDescent="0.25">
      <c r="A1376" s="9" t="s">
        <v>8263</v>
      </c>
      <c r="B1376" s="10" t="s">
        <v>8264</v>
      </c>
      <c r="C1376" s="11" t="s">
        <v>8265</v>
      </c>
      <c r="D1376" s="21" t="s">
        <v>109</v>
      </c>
      <c r="E1376" s="11" t="s">
        <v>47</v>
      </c>
      <c r="F1376" s="13">
        <v>142</v>
      </c>
      <c r="G1376" s="25" t="s">
        <v>110</v>
      </c>
      <c r="H1376" s="11" t="s">
        <v>330</v>
      </c>
      <c r="I1376" s="15" t="s">
        <v>8266</v>
      </c>
      <c r="J1376" s="10" t="s">
        <v>8267</v>
      </c>
      <c r="K1376" s="11" t="s">
        <v>507</v>
      </c>
      <c r="L1376" s="9" t="s">
        <v>90</v>
      </c>
      <c r="M1376" s="10" t="s">
        <v>91</v>
      </c>
      <c r="N1376" s="22"/>
      <c r="O1376" s="17"/>
      <c r="P1376" s="17"/>
      <c r="Q1376" s="18" t="s">
        <v>78</v>
      </c>
      <c r="R1376" s="18" t="s">
        <v>79</v>
      </c>
      <c r="S1376" s="18" t="s">
        <v>61</v>
      </c>
      <c r="T1376" s="18" t="s">
        <v>62</v>
      </c>
      <c r="U1376" s="19" t="s">
        <v>80</v>
      </c>
    </row>
    <row r="1377" spans="1:21" ht="15.75" customHeight="1" x14ac:dyDescent="0.25">
      <c r="A1377" s="27" t="s">
        <v>8268</v>
      </c>
      <c r="B1377" s="28" t="s">
        <v>8269</v>
      </c>
      <c r="C1377" s="29" t="s">
        <v>8270</v>
      </c>
      <c r="D1377" s="37" t="s">
        <v>109</v>
      </c>
      <c r="E1377" s="29" t="s">
        <v>47</v>
      </c>
      <c r="F1377" s="31">
        <v>160</v>
      </c>
      <c r="G1377" s="24" t="s">
        <v>85</v>
      </c>
      <c r="H1377" s="29" t="s">
        <v>86</v>
      </c>
      <c r="I1377" s="32" t="s">
        <v>8271</v>
      </c>
      <c r="J1377" s="28" t="s">
        <v>8272</v>
      </c>
      <c r="K1377" s="29"/>
      <c r="L1377" s="27"/>
      <c r="M1377" s="28"/>
      <c r="N1377" s="38"/>
      <c r="O1377" s="34"/>
      <c r="P1377" s="34"/>
      <c r="Q1377" s="35" t="s">
        <v>78</v>
      </c>
      <c r="R1377" s="35" t="s">
        <v>79</v>
      </c>
      <c r="S1377" s="35" t="s">
        <v>61</v>
      </c>
      <c r="T1377" s="35" t="s">
        <v>62</v>
      </c>
      <c r="U1377" s="36" t="s">
        <v>80</v>
      </c>
    </row>
    <row r="1378" spans="1:21" ht="15.75" customHeight="1" x14ac:dyDescent="0.25">
      <c r="A1378" s="9" t="s">
        <v>8273</v>
      </c>
      <c r="B1378" s="10" t="s">
        <v>8274</v>
      </c>
      <c r="C1378" s="11" t="s">
        <v>8275</v>
      </c>
      <c r="D1378" s="21" t="s">
        <v>109</v>
      </c>
      <c r="E1378" s="11" t="s">
        <v>1264</v>
      </c>
      <c r="F1378" s="11"/>
      <c r="G1378" s="24" t="s">
        <v>85</v>
      </c>
      <c r="H1378" s="11" t="s">
        <v>100</v>
      </c>
      <c r="I1378" s="15" t="s">
        <v>8276</v>
      </c>
      <c r="J1378" s="10" t="s">
        <v>8277</v>
      </c>
      <c r="K1378" s="11"/>
      <c r="L1378" s="9"/>
      <c r="M1378" s="10"/>
      <c r="N1378" s="22"/>
      <c r="O1378" s="17"/>
      <c r="P1378" s="17"/>
      <c r="Q1378" s="18" t="s">
        <v>78</v>
      </c>
      <c r="R1378" s="18" t="s">
        <v>79</v>
      </c>
      <c r="S1378" s="18" t="s">
        <v>61</v>
      </c>
      <c r="T1378" s="18" t="s">
        <v>62</v>
      </c>
      <c r="U1378" s="19" t="s">
        <v>80</v>
      </c>
    </row>
    <row r="1379" spans="1:21" ht="15.75" customHeight="1" x14ac:dyDescent="0.25">
      <c r="A1379" s="27" t="s">
        <v>8278</v>
      </c>
      <c r="B1379" s="28" t="s">
        <v>8279</v>
      </c>
      <c r="C1379" s="29" t="s">
        <v>8280</v>
      </c>
      <c r="D1379" s="37" t="s">
        <v>109</v>
      </c>
      <c r="E1379" s="29"/>
      <c r="F1379" s="31">
        <v>32</v>
      </c>
      <c r="G1379" s="24" t="s">
        <v>85</v>
      </c>
      <c r="H1379" s="29" t="s">
        <v>69</v>
      </c>
      <c r="I1379" s="32" t="s">
        <v>8281</v>
      </c>
      <c r="J1379" s="28" t="s">
        <v>8282</v>
      </c>
      <c r="K1379" s="29"/>
      <c r="L1379" s="27"/>
      <c r="M1379" s="28"/>
      <c r="N1379" s="38"/>
      <c r="O1379" s="34"/>
      <c r="P1379" s="34"/>
      <c r="Q1379" s="35" t="s">
        <v>78</v>
      </c>
      <c r="R1379" s="35" t="s">
        <v>79</v>
      </c>
      <c r="S1379" s="35" t="s">
        <v>61</v>
      </c>
      <c r="T1379" s="35" t="s">
        <v>62</v>
      </c>
      <c r="U1379" s="36" t="s">
        <v>80</v>
      </c>
    </row>
    <row r="1380" spans="1:21" ht="15.75" customHeight="1" x14ac:dyDescent="0.25">
      <c r="A1380" s="9" t="s">
        <v>8283</v>
      </c>
      <c r="B1380" s="10" t="s">
        <v>8284</v>
      </c>
      <c r="C1380" s="11" t="s">
        <v>8285</v>
      </c>
      <c r="D1380" s="21" t="s">
        <v>109</v>
      </c>
      <c r="E1380" s="11" t="s">
        <v>47</v>
      </c>
      <c r="F1380" s="13">
        <v>183</v>
      </c>
      <c r="G1380" s="25" t="s">
        <v>110</v>
      </c>
      <c r="H1380" s="11" t="s">
        <v>86</v>
      </c>
      <c r="I1380" s="15" t="s">
        <v>8286</v>
      </c>
      <c r="J1380" s="10" t="s">
        <v>8287</v>
      </c>
      <c r="K1380" s="11" t="s">
        <v>4252</v>
      </c>
      <c r="L1380" s="9" t="s">
        <v>90</v>
      </c>
      <c r="M1380" s="10" t="s">
        <v>91</v>
      </c>
      <c r="N1380" s="22"/>
      <c r="O1380" s="17"/>
      <c r="P1380" s="17"/>
      <c r="Q1380" s="18" t="s">
        <v>78</v>
      </c>
      <c r="R1380" s="18" t="s">
        <v>79</v>
      </c>
      <c r="S1380" s="18" t="s">
        <v>61</v>
      </c>
      <c r="T1380" s="18" t="s">
        <v>62</v>
      </c>
      <c r="U1380" s="19" t="s">
        <v>80</v>
      </c>
    </row>
    <row r="1381" spans="1:21" ht="15.75" customHeight="1" x14ac:dyDescent="0.25">
      <c r="A1381" s="27" t="s">
        <v>8288</v>
      </c>
      <c r="B1381" s="28" t="s">
        <v>8289</v>
      </c>
      <c r="C1381" s="29" t="s">
        <v>8290</v>
      </c>
      <c r="D1381" s="30" t="s">
        <v>883</v>
      </c>
      <c r="E1381" s="29" t="s">
        <v>47</v>
      </c>
      <c r="F1381" s="31">
        <v>119</v>
      </c>
      <c r="G1381" s="20" t="s">
        <v>119</v>
      </c>
      <c r="H1381" s="29" t="s">
        <v>330</v>
      </c>
      <c r="I1381" s="32" t="s">
        <v>4512</v>
      </c>
      <c r="J1381" s="28" t="s">
        <v>8291</v>
      </c>
      <c r="K1381" s="29" t="s">
        <v>3326</v>
      </c>
      <c r="L1381" s="27" t="s">
        <v>158</v>
      </c>
      <c r="M1381" s="28" t="s">
        <v>159</v>
      </c>
      <c r="N1381" s="39" t="s">
        <v>179</v>
      </c>
      <c r="O1381" s="34" t="s">
        <v>382</v>
      </c>
      <c r="P1381" s="34" t="s">
        <v>383</v>
      </c>
      <c r="Q1381" s="35" t="s">
        <v>78</v>
      </c>
      <c r="R1381" s="35" t="s">
        <v>79</v>
      </c>
      <c r="S1381" s="35" t="s">
        <v>61</v>
      </c>
      <c r="T1381" s="35" t="s">
        <v>62</v>
      </c>
      <c r="U1381" s="36" t="s">
        <v>80</v>
      </c>
    </row>
    <row r="1382" spans="1:21" ht="15.75" customHeight="1" x14ac:dyDescent="0.25">
      <c r="A1382" s="9" t="s">
        <v>8292</v>
      </c>
      <c r="B1382" s="10" t="s">
        <v>8293</v>
      </c>
      <c r="C1382" s="11" t="s">
        <v>8294</v>
      </c>
      <c r="D1382" s="12" t="s">
        <v>1810</v>
      </c>
      <c r="E1382" s="11" t="s">
        <v>1264</v>
      </c>
      <c r="F1382" s="11"/>
      <c r="G1382" s="20" t="s">
        <v>119</v>
      </c>
      <c r="H1382" s="11" t="s">
        <v>100</v>
      </c>
      <c r="I1382" s="15" t="s">
        <v>8295</v>
      </c>
      <c r="J1382" s="10" t="s">
        <v>8296</v>
      </c>
      <c r="K1382" s="11"/>
      <c r="L1382" s="9"/>
      <c r="M1382" s="10"/>
      <c r="N1382" s="23" t="s">
        <v>179</v>
      </c>
      <c r="O1382" s="17" t="s">
        <v>180</v>
      </c>
      <c r="P1382" s="17" t="s">
        <v>181</v>
      </c>
      <c r="Q1382" s="18" t="s">
        <v>78</v>
      </c>
      <c r="R1382" s="18" t="s">
        <v>79</v>
      </c>
      <c r="S1382" s="18" t="s">
        <v>61</v>
      </c>
      <c r="T1382" s="18" t="s">
        <v>62</v>
      </c>
      <c r="U1382" s="19" t="s">
        <v>80</v>
      </c>
    </row>
    <row r="1383" spans="1:21" ht="15.75" customHeight="1" x14ac:dyDescent="0.25">
      <c r="A1383" s="27" t="s">
        <v>8297</v>
      </c>
      <c r="B1383" s="28" t="s">
        <v>8298</v>
      </c>
      <c r="C1383" s="29" t="s">
        <v>8299</v>
      </c>
      <c r="D1383" s="37" t="s">
        <v>109</v>
      </c>
      <c r="E1383" s="29"/>
      <c r="F1383" s="31">
        <v>150</v>
      </c>
      <c r="G1383" s="24" t="s">
        <v>85</v>
      </c>
      <c r="H1383" s="29" t="s">
        <v>86</v>
      </c>
      <c r="I1383" s="32" t="s">
        <v>8300</v>
      </c>
      <c r="J1383" s="28" t="s">
        <v>8301</v>
      </c>
      <c r="K1383" s="29"/>
      <c r="L1383" s="27"/>
      <c r="M1383" s="28"/>
      <c r="N1383" s="38"/>
      <c r="O1383" s="34"/>
      <c r="P1383" s="34"/>
      <c r="Q1383" s="35" t="s">
        <v>78</v>
      </c>
      <c r="R1383" s="35" t="s">
        <v>79</v>
      </c>
      <c r="S1383" s="35" t="s">
        <v>61</v>
      </c>
      <c r="T1383" s="35" t="s">
        <v>62</v>
      </c>
      <c r="U1383" s="36" t="s">
        <v>80</v>
      </c>
    </row>
    <row r="1384" spans="1:21" ht="15.75" customHeight="1" x14ac:dyDescent="0.25">
      <c r="A1384" s="9" t="s">
        <v>8302</v>
      </c>
      <c r="B1384" s="10" t="s">
        <v>8303</v>
      </c>
      <c r="C1384" s="11" t="s">
        <v>8304</v>
      </c>
      <c r="D1384" s="21" t="s">
        <v>109</v>
      </c>
      <c r="E1384" s="11"/>
      <c r="F1384" s="13">
        <v>150</v>
      </c>
      <c r="G1384" s="24" t="s">
        <v>85</v>
      </c>
      <c r="H1384" s="11" t="s">
        <v>86</v>
      </c>
      <c r="I1384" s="15" t="s">
        <v>4810</v>
      </c>
      <c r="J1384" s="10" t="s">
        <v>8305</v>
      </c>
      <c r="K1384" s="11"/>
      <c r="L1384" s="9"/>
      <c r="M1384" s="10"/>
      <c r="N1384" s="22"/>
      <c r="O1384" s="17"/>
      <c r="P1384" s="17"/>
      <c r="Q1384" s="18" t="s">
        <v>78</v>
      </c>
      <c r="R1384" s="18" t="s">
        <v>79</v>
      </c>
      <c r="S1384" s="18" t="s">
        <v>61</v>
      </c>
      <c r="T1384" s="18" t="s">
        <v>62</v>
      </c>
      <c r="U1384" s="19" t="s">
        <v>80</v>
      </c>
    </row>
    <row r="1385" spans="1:21" ht="15.75" customHeight="1" x14ac:dyDescent="0.25">
      <c r="A1385" s="27" t="s">
        <v>8306</v>
      </c>
      <c r="B1385" s="28" t="s">
        <v>8307</v>
      </c>
      <c r="C1385" s="29" t="s">
        <v>8308</v>
      </c>
      <c r="D1385" s="37" t="s">
        <v>109</v>
      </c>
      <c r="E1385" s="29" t="s">
        <v>98</v>
      </c>
      <c r="F1385" s="29" t="s">
        <v>8309</v>
      </c>
      <c r="G1385" s="25" t="s">
        <v>110</v>
      </c>
      <c r="H1385" s="29" t="s">
        <v>100</v>
      </c>
      <c r="I1385" s="32" t="s">
        <v>8310</v>
      </c>
      <c r="J1385" s="28" t="s">
        <v>8311</v>
      </c>
      <c r="K1385" s="29" t="s">
        <v>337</v>
      </c>
      <c r="L1385" s="27" t="s">
        <v>90</v>
      </c>
      <c r="M1385" s="28" t="s">
        <v>91</v>
      </c>
      <c r="N1385" s="38"/>
      <c r="O1385" s="34"/>
      <c r="P1385" s="34"/>
      <c r="Q1385" s="35" t="s">
        <v>78</v>
      </c>
      <c r="R1385" s="35" t="s">
        <v>79</v>
      </c>
      <c r="S1385" s="35" t="s">
        <v>61</v>
      </c>
      <c r="T1385" s="35" t="s">
        <v>62</v>
      </c>
      <c r="U1385" s="36" t="s">
        <v>80</v>
      </c>
    </row>
    <row r="1386" spans="1:21" ht="15.75" customHeight="1" x14ac:dyDescent="0.25">
      <c r="A1386" s="9" t="s">
        <v>8312</v>
      </c>
      <c r="B1386" s="10" t="s">
        <v>8313</v>
      </c>
      <c r="C1386" s="11" t="s">
        <v>8314</v>
      </c>
      <c r="D1386" s="21" t="s">
        <v>109</v>
      </c>
      <c r="E1386" s="11" t="s">
        <v>47</v>
      </c>
      <c r="F1386" s="13">
        <v>169</v>
      </c>
      <c r="G1386" s="14" t="s">
        <v>119</v>
      </c>
      <c r="H1386" s="11" t="s">
        <v>86</v>
      </c>
      <c r="I1386" s="15" t="s">
        <v>8315</v>
      </c>
      <c r="J1386" s="10" t="s">
        <v>8316</v>
      </c>
      <c r="K1386" s="11" t="s">
        <v>903</v>
      </c>
      <c r="L1386" s="9" t="s">
        <v>158</v>
      </c>
      <c r="M1386" s="10" t="s">
        <v>159</v>
      </c>
      <c r="N1386" s="22"/>
      <c r="O1386" s="17"/>
      <c r="P1386" s="17"/>
      <c r="Q1386" s="18" t="s">
        <v>78</v>
      </c>
      <c r="R1386" s="18" t="s">
        <v>79</v>
      </c>
      <c r="S1386" s="18" t="s">
        <v>61</v>
      </c>
      <c r="T1386" s="18" t="s">
        <v>62</v>
      </c>
      <c r="U1386" s="19" t="s">
        <v>80</v>
      </c>
    </row>
    <row r="1387" spans="1:21" ht="15.75" customHeight="1" x14ac:dyDescent="0.25">
      <c r="A1387" s="27" t="s">
        <v>8317</v>
      </c>
      <c r="B1387" s="28" t="s">
        <v>8318</v>
      </c>
      <c r="C1387" s="29" t="s">
        <v>8319</v>
      </c>
      <c r="D1387" s="37" t="s">
        <v>109</v>
      </c>
      <c r="E1387" s="29" t="s">
        <v>98</v>
      </c>
      <c r="F1387" s="29" t="s">
        <v>8320</v>
      </c>
      <c r="G1387" s="25" t="s">
        <v>110</v>
      </c>
      <c r="H1387" s="29" t="s">
        <v>100</v>
      </c>
      <c r="I1387" s="32" t="s">
        <v>8321</v>
      </c>
      <c r="J1387" s="28" t="s">
        <v>8322</v>
      </c>
      <c r="K1387" s="29" t="s">
        <v>1655</v>
      </c>
      <c r="L1387" s="27" t="s">
        <v>90</v>
      </c>
      <c r="M1387" s="28" t="s">
        <v>91</v>
      </c>
      <c r="N1387" s="38"/>
      <c r="O1387" s="34"/>
      <c r="P1387" s="34"/>
      <c r="Q1387" s="35" t="s">
        <v>78</v>
      </c>
      <c r="R1387" s="35" t="s">
        <v>79</v>
      </c>
      <c r="S1387" s="35" t="s">
        <v>61</v>
      </c>
      <c r="T1387" s="35" t="s">
        <v>62</v>
      </c>
      <c r="U1387" s="36" t="s">
        <v>80</v>
      </c>
    </row>
    <row r="1388" spans="1:21" ht="15.75" customHeight="1" x14ac:dyDescent="0.25">
      <c r="A1388" s="9" t="s">
        <v>8323</v>
      </c>
      <c r="B1388" s="10" t="s">
        <v>8324</v>
      </c>
      <c r="C1388" s="11" t="s">
        <v>8325</v>
      </c>
      <c r="D1388" s="21" t="s">
        <v>109</v>
      </c>
      <c r="E1388" s="11" t="s">
        <v>47</v>
      </c>
      <c r="F1388" s="13">
        <v>48.5</v>
      </c>
      <c r="G1388" s="24" t="s">
        <v>85</v>
      </c>
      <c r="H1388" s="11" t="s">
        <v>69</v>
      </c>
      <c r="I1388" s="15" t="s">
        <v>8326</v>
      </c>
      <c r="J1388" s="10" t="s">
        <v>8327</v>
      </c>
      <c r="K1388" s="11"/>
      <c r="L1388" s="9"/>
      <c r="M1388" s="10"/>
      <c r="N1388" s="22"/>
      <c r="O1388" s="17"/>
      <c r="P1388" s="17"/>
      <c r="Q1388" s="18" t="s">
        <v>78</v>
      </c>
      <c r="R1388" s="18" t="s">
        <v>79</v>
      </c>
      <c r="S1388" s="18" t="s">
        <v>61</v>
      </c>
      <c r="T1388" s="18" t="s">
        <v>62</v>
      </c>
      <c r="U1388" s="19" t="s">
        <v>80</v>
      </c>
    </row>
    <row r="1389" spans="1:21" ht="15.75" customHeight="1" x14ac:dyDescent="0.25">
      <c r="A1389" s="27" t="s">
        <v>8328</v>
      </c>
      <c r="B1389" s="28" t="s">
        <v>8329</v>
      </c>
      <c r="C1389" s="29" t="s">
        <v>8330</v>
      </c>
      <c r="D1389" s="37" t="s">
        <v>109</v>
      </c>
      <c r="E1389" s="29" t="s">
        <v>47</v>
      </c>
      <c r="F1389" s="31">
        <v>58.5</v>
      </c>
      <c r="G1389" s="24" t="s">
        <v>85</v>
      </c>
      <c r="H1389" s="29" t="s">
        <v>48</v>
      </c>
      <c r="I1389" s="32" t="s">
        <v>7123</v>
      </c>
      <c r="J1389" s="28" t="s">
        <v>8331</v>
      </c>
      <c r="K1389" s="29"/>
      <c r="L1389" s="27"/>
      <c r="M1389" s="28"/>
      <c r="N1389" s="38"/>
      <c r="O1389" s="34"/>
      <c r="P1389" s="34"/>
      <c r="Q1389" s="35" t="s">
        <v>78</v>
      </c>
      <c r="R1389" s="35" t="s">
        <v>79</v>
      </c>
      <c r="S1389" s="35" t="s">
        <v>61</v>
      </c>
      <c r="T1389" s="35" t="s">
        <v>62</v>
      </c>
      <c r="U1389" s="36" t="s">
        <v>80</v>
      </c>
    </row>
    <row r="1390" spans="1:21" ht="15.75" customHeight="1" x14ac:dyDescent="0.25">
      <c r="A1390" s="9" t="s">
        <v>8332</v>
      </c>
      <c r="B1390" s="10" t="s">
        <v>8333</v>
      </c>
      <c r="C1390" s="11" t="s">
        <v>8334</v>
      </c>
      <c r="D1390" s="21" t="s">
        <v>109</v>
      </c>
      <c r="E1390" s="11" t="s">
        <v>47</v>
      </c>
      <c r="F1390" s="13">
        <v>23.5</v>
      </c>
      <c r="G1390" s="24" t="s">
        <v>85</v>
      </c>
      <c r="H1390" s="11" t="s">
        <v>69</v>
      </c>
      <c r="I1390" s="15" t="s">
        <v>8335</v>
      </c>
      <c r="J1390" s="10" t="s">
        <v>8336</v>
      </c>
      <c r="K1390" s="11"/>
      <c r="L1390" s="9"/>
      <c r="M1390" s="10"/>
      <c r="N1390" s="22"/>
      <c r="O1390" s="17"/>
      <c r="P1390" s="17"/>
      <c r="Q1390" s="18" t="s">
        <v>78</v>
      </c>
      <c r="R1390" s="18" t="s">
        <v>79</v>
      </c>
      <c r="S1390" s="18" t="s">
        <v>61</v>
      </c>
      <c r="T1390" s="18" t="s">
        <v>62</v>
      </c>
      <c r="U1390" s="19" t="s">
        <v>80</v>
      </c>
    </row>
    <row r="1391" spans="1:21" ht="15.75" customHeight="1" x14ac:dyDescent="0.25">
      <c r="A1391" s="27" t="s">
        <v>8337</v>
      </c>
      <c r="B1391" s="28" t="s">
        <v>8338</v>
      </c>
      <c r="C1391" s="29" t="s">
        <v>8339</v>
      </c>
      <c r="D1391" s="37" t="s">
        <v>109</v>
      </c>
      <c r="E1391" s="29" t="s">
        <v>98</v>
      </c>
      <c r="F1391" s="31">
        <v>117</v>
      </c>
      <c r="G1391" s="24" t="s">
        <v>85</v>
      </c>
      <c r="H1391" s="29" t="s">
        <v>330</v>
      </c>
      <c r="I1391" s="32" t="s">
        <v>8340</v>
      </c>
      <c r="J1391" s="28" t="s">
        <v>8341</v>
      </c>
      <c r="K1391" s="29"/>
      <c r="L1391" s="27"/>
      <c r="M1391" s="28"/>
      <c r="N1391" s="38"/>
      <c r="O1391" s="34"/>
      <c r="P1391" s="34"/>
      <c r="Q1391" s="35" t="s">
        <v>78</v>
      </c>
      <c r="R1391" s="35" t="s">
        <v>79</v>
      </c>
      <c r="S1391" s="35" t="s">
        <v>61</v>
      </c>
      <c r="T1391" s="35" t="s">
        <v>62</v>
      </c>
      <c r="U1391" s="36" t="s">
        <v>80</v>
      </c>
    </row>
    <row r="1392" spans="1:21" ht="15.75" customHeight="1" x14ac:dyDescent="0.25">
      <c r="A1392" s="9" t="s">
        <v>8342</v>
      </c>
      <c r="B1392" s="10" t="s">
        <v>8343</v>
      </c>
      <c r="C1392" s="11" t="s">
        <v>8344</v>
      </c>
      <c r="D1392" s="21" t="s">
        <v>109</v>
      </c>
      <c r="E1392" s="11" t="s">
        <v>98</v>
      </c>
      <c r="F1392" s="11"/>
      <c r="G1392" s="24" t="s">
        <v>85</v>
      </c>
      <c r="H1392" s="11" t="s">
        <v>100</v>
      </c>
      <c r="I1392" s="15" t="s">
        <v>7976</v>
      </c>
      <c r="J1392" s="10" t="s">
        <v>8345</v>
      </c>
      <c r="K1392" s="11"/>
      <c r="L1392" s="9"/>
      <c r="M1392" s="10"/>
      <c r="N1392" s="22"/>
      <c r="O1392" s="17"/>
      <c r="P1392" s="17"/>
      <c r="Q1392" s="18" t="s">
        <v>78</v>
      </c>
      <c r="R1392" s="18" t="s">
        <v>79</v>
      </c>
      <c r="S1392" s="18" t="s">
        <v>61</v>
      </c>
      <c r="T1392" s="18" t="s">
        <v>62</v>
      </c>
      <c r="U1392" s="19" t="s">
        <v>80</v>
      </c>
    </row>
    <row r="1393" spans="1:21" ht="15.75" customHeight="1" x14ac:dyDescent="0.25">
      <c r="A1393" s="27" t="s">
        <v>8346</v>
      </c>
      <c r="B1393" s="28" t="s">
        <v>8347</v>
      </c>
      <c r="C1393" s="29" t="s">
        <v>8348</v>
      </c>
      <c r="D1393" s="37" t="s">
        <v>109</v>
      </c>
      <c r="E1393" s="29"/>
      <c r="F1393" s="31">
        <v>302</v>
      </c>
      <c r="G1393" s="24" t="s">
        <v>85</v>
      </c>
      <c r="H1393" s="29" t="s">
        <v>129</v>
      </c>
      <c r="I1393" s="32" t="s">
        <v>8349</v>
      </c>
      <c r="J1393" s="28" t="s">
        <v>8350</v>
      </c>
      <c r="K1393" s="29"/>
      <c r="L1393" s="27"/>
      <c r="M1393" s="28"/>
      <c r="N1393" s="38"/>
      <c r="O1393" s="34"/>
      <c r="P1393" s="34"/>
      <c r="Q1393" s="35" t="s">
        <v>78</v>
      </c>
      <c r="R1393" s="35" t="s">
        <v>79</v>
      </c>
      <c r="S1393" s="35" t="s">
        <v>61</v>
      </c>
      <c r="T1393" s="35" t="s">
        <v>62</v>
      </c>
      <c r="U1393" s="36" t="s">
        <v>80</v>
      </c>
    </row>
    <row r="1394" spans="1:21" ht="15.75" customHeight="1" x14ac:dyDescent="0.25">
      <c r="A1394" s="9" t="s">
        <v>8351</v>
      </c>
      <c r="B1394" s="10" t="s">
        <v>8352</v>
      </c>
      <c r="C1394" s="11" t="s">
        <v>8353</v>
      </c>
      <c r="D1394" s="21" t="s">
        <v>109</v>
      </c>
      <c r="E1394" s="11" t="s">
        <v>98</v>
      </c>
      <c r="F1394" s="13">
        <v>256</v>
      </c>
      <c r="G1394" s="25" t="s">
        <v>110</v>
      </c>
      <c r="H1394" s="11" t="s">
        <v>129</v>
      </c>
      <c r="I1394" s="15" t="s">
        <v>8354</v>
      </c>
      <c r="J1394" s="10" t="s">
        <v>8355</v>
      </c>
      <c r="K1394" s="11" t="s">
        <v>2587</v>
      </c>
      <c r="L1394" s="9" t="s">
        <v>90</v>
      </c>
      <c r="M1394" s="10" t="s">
        <v>91</v>
      </c>
      <c r="N1394" s="22"/>
      <c r="O1394" s="17"/>
      <c r="P1394" s="17"/>
      <c r="Q1394" s="18" t="s">
        <v>78</v>
      </c>
      <c r="R1394" s="18" t="s">
        <v>79</v>
      </c>
      <c r="S1394" s="18" t="s">
        <v>61</v>
      </c>
      <c r="T1394" s="18" t="s">
        <v>62</v>
      </c>
      <c r="U1394" s="19" t="s">
        <v>80</v>
      </c>
    </row>
    <row r="1395" spans="1:21" ht="15.75" customHeight="1" x14ac:dyDescent="0.25">
      <c r="A1395" s="27" t="s">
        <v>8356</v>
      </c>
      <c r="B1395" s="28" t="s">
        <v>8357</v>
      </c>
      <c r="C1395" s="29" t="s">
        <v>8358</v>
      </c>
      <c r="D1395" s="30" t="s">
        <v>4345</v>
      </c>
      <c r="E1395" s="29" t="s">
        <v>47</v>
      </c>
      <c r="F1395" s="31">
        <v>139</v>
      </c>
      <c r="G1395" s="20" t="s">
        <v>119</v>
      </c>
      <c r="H1395" s="29" t="s">
        <v>330</v>
      </c>
      <c r="I1395" s="32" t="s">
        <v>7399</v>
      </c>
      <c r="J1395" s="28" t="s">
        <v>8359</v>
      </c>
      <c r="K1395" s="29" t="s">
        <v>8360</v>
      </c>
      <c r="L1395" s="27" t="s">
        <v>158</v>
      </c>
      <c r="M1395" s="28" t="s">
        <v>159</v>
      </c>
      <c r="N1395" s="33" t="s">
        <v>75</v>
      </c>
      <c r="O1395" s="34" t="s">
        <v>4744</v>
      </c>
      <c r="P1395" s="34" t="s">
        <v>4745</v>
      </c>
      <c r="Q1395" s="35" t="s">
        <v>78</v>
      </c>
      <c r="R1395" s="35" t="s">
        <v>79</v>
      </c>
      <c r="S1395" s="35" t="s">
        <v>61</v>
      </c>
      <c r="T1395" s="35" t="s">
        <v>62</v>
      </c>
      <c r="U1395" s="36" t="s">
        <v>80</v>
      </c>
    </row>
    <row r="1396" spans="1:21" ht="15.75" customHeight="1" x14ac:dyDescent="0.25">
      <c r="A1396" s="9" t="s">
        <v>8361</v>
      </c>
      <c r="B1396" s="10" t="s">
        <v>8362</v>
      </c>
      <c r="C1396" s="11" t="s">
        <v>8363</v>
      </c>
      <c r="D1396" s="21" t="s">
        <v>109</v>
      </c>
      <c r="E1396" s="11" t="s">
        <v>47</v>
      </c>
      <c r="F1396" s="13">
        <v>131</v>
      </c>
      <c r="G1396" s="14" t="s">
        <v>119</v>
      </c>
      <c r="H1396" s="11" t="s">
        <v>330</v>
      </c>
      <c r="I1396" s="15" t="s">
        <v>8364</v>
      </c>
      <c r="J1396" s="10" t="s">
        <v>8365</v>
      </c>
      <c r="K1396" s="11" t="s">
        <v>7246</v>
      </c>
      <c r="L1396" s="9" t="s">
        <v>158</v>
      </c>
      <c r="M1396" s="10" t="s">
        <v>159</v>
      </c>
      <c r="N1396" s="22"/>
      <c r="O1396" s="17"/>
      <c r="P1396" s="17"/>
      <c r="Q1396" s="18" t="s">
        <v>78</v>
      </c>
      <c r="R1396" s="18" t="s">
        <v>79</v>
      </c>
      <c r="S1396" s="18" t="s">
        <v>61</v>
      </c>
      <c r="T1396" s="18" t="s">
        <v>62</v>
      </c>
      <c r="U1396" s="19" t="s">
        <v>80</v>
      </c>
    </row>
    <row r="1397" spans="1:21" ht="15.75" customHeight="1" x14ac:dyDescent="0.25">
      <c r="A1397" s="27" t="s">
        <v>8366</v>
      </c>
      <c r="B1397" s="28" t="s">
        <v>8367</v>
      </c>
      <c r="C1397" s="29" t="s">
        <v>8368</v>
      </c>
      <c r="D1397" s="37" t="s">
        <v>109</v>
      </c>
      <c r="E1397" s="29" t="s">
        <v>47</v>
      </c>
      <c r="F1397" s="31">
        <v>162</v>
      </c>
      <c r="G1397" s="25" t="s">
        <v>110</v>
      </c>
      <c r="H1397" s="29" t="s">
        <v>86</v>
      </c>
      <c r="I1397" s="32" t="s">
        <v>4035</v>
      </c>
      <c r="J1397" s="28" t="s">
        <v>8369</v>
      </c>
      <c r="K1397" s="29" t="s">
        <v>8370</v>
      </c>
      <c r="L1397" s="27" t="s">
        <v>481</v>
      </c>
      <c r="M1397" s="28" t="s">
        <v>482</v>
      </c>
      <c r="N1397" s="38"/>
      <c r="O1397" s="34"/>
      <c r="P1397" s="34"/>
      <c r="Q1397" s="35" t="s">
        <v>78</v>
      </c>
      <c r="R1397" s="35" t="s">
        <v>79</v>
      </c>
      <c r="S1397" s="35" t="s">
        <v>61</v>
      </c>
      <c r="T1397" s="35" t="s">
        <v>62</v>
      </c>
      <c r="U1397" s="36" t="s">
        <v>80</v>
      </c>
    </row>
    <row r="1398" spans="1:21" ht="15.75" customHeight="1" x14ac:dyDescent="0.25">
      <c r="A1398" s="9" t="s">
        <v>8371</v>
      </c>
      <c r="B1398" s="10" t="s">
        <v>8372</v>
      </c>
      <c r="C1398" s="11" t="s">
        <v>8373</v>
      </c>
      <c r="D1398" s="21" t="s">
        <v>109</v>
      </c>
      <c r="E1398" s="11" t="s">
        <v>47</v>
      </c>
      <c r="F1398" s="13">
        <v>97.8</v>
      </c>
      <c r="G1398" s="14" t="s">
        <v>119</v>
      </c>
      <c r="H1398" s="11" t="s">
        <v>48</v>
      </c>
      <c r="I1398" s="15" t="s">
        <v>3925</v>
      </c>
      <c r="J1398" s="10" t="s">
        <v>8374</v>
      </c>
      <c r="K1398" s="11" t="s">
        <v>2657</v>
      </c>
      <c r="L1398" s="9" t="s">
        <v>158</v>
      </c>
      <c r="M1398" s="10" t="s">
        <v>159</v>
      </c>
      <c r="N1398" s="22"/>
      <c r="O1398" s="17"/>
      <c r="P1398" s="17"/>
      <c r="Q1398" s="18" t="s">
        <v>78</v>
      </c>
      <c r="R1398" s="18" t="s">
        <v>79</v>
      </c>
      <c r="S1398" s="18" t="s">
        <v>61</v>
      </c>
      <c r="T1398" s="18" t="s">
        <v>62</v>
      </c>
      <c r="U1398" s="19" t="s">
        <v>80</v>
      </c>
    </row>
    <row r="1399" spans="1:21" ht="15.75" customHeight="1" x14ac:dyDescent="0.25">
      <c r="A1399" s="27" t="s">
        <v>8375</v>
      </c>
      <c r="B1399" s="28" t="s">
        <v>8376</v>
      </c>
      <c r="C1399" s="29" t="s">
        <v>8377</v>
      </c>
      <c r="D1399" s="37" t="s">
        <v>109</v>
      </c>
      <c r="E1399" s="29" t="s">
        <v>98</v>
      </c>
      <c r="F1399" s="31">
        <v>354</v>
      </c>
      <c r="G1399" s="24" t="s">
        <v>85</v>
      </c>
      <c r="H1399" s="29" t="s">
        <v>129</v>
      </c>
      <c r="I1399" s="32" t="s">
        <v>8378</v>
      </c>
      <c r="J1399" s="28" t="s">
        <v>8379</v>
      </c>
      <c r="K1399" s="29"/>
      <c r="L1399" s="27"/>
      <c r="M1399" s="28"/>
      <c r="N1399" s="38"/>
      <c r="O1399" s="34"/>
      <c r="P1399" s="34"/>
      <c r="Q1399" s="35" t="s">
        <v>78</v>
      </c>
      <c r="R1399" s="35" t="s">
        <v>79</v>
      </c>
      <c r="S1399" s="35" t="s">
        <v>61</v>
      </c>
      <c r="T1399" s="35" t="s">
        <v>62</v>
      </c>
      <c r="U1399" s="36" t="s">
        <v>80</v>
      </c>
    </row>
    <row r="1400" spans="1:21" ht="15.75" customHeight="1" x14ac:dyDescent="0.25">
      <c r="A1400" s="9" t="s">
        <v>8380</v>
      </c>
      <c r="B1400" s="10" t="s">
        <v>8381</v>
      </c>
      <c r="C1400" s="11" t="s">
        <v>8382</v>
      </c>
      <c r="D1400" s="12" t="s">
        <v>2443</v>
      </c>
      <c r="E1400" s="11" t="s">
        <v>47</v>
      </c>
      <c r="F1400" s="11"/>
      <c r="G1400" s="20" t="s">
        <v>119</v>
      </c>
      <c r="H1400" s="11" t="s">
        <v>120</v>
      </c>
      <c r="I1400" s="15" t="s">
        <v>8383</v>
      </c>
      <c r="J1400" s="10" t="s">
        <v>8381</v>
      </c>
      <c r="K1400" s="11" t="s">
        <v>8384</v>
      </c>
      <c r="L1400" s="9" t="s">
        <v>481</v>
      </c>
      <c r="M1400" s="10" t="s">
        <v>482</v>
      </c>
      <c r="N1400" s="16" t="s">
        <v>75</v>
      </c>
      <c r="O1400" s="17" t="s">
        <v>1905</v>
      </c>
      <c r="P1400" s="17" t="s">
        <v>1906</v>
      </c>
      <c r="Q1400" s="18" t="s">
        <v>78</v>
      </c>
      <c r="R1400" s="18" t="s">
        <v>79</v>
      </c>
      <c r="S1400" s="18" t="s">
        <v>61</v>
      </c>
      <c r="T1400" s="18" t="s">
        <v>62</v>
      </c>
      <c r="U1400" s="19" t="s">
        <v>80</v>
      </c>
    </row>
    <row r="1401" spans="1:21" ht="15.75" customHeight="1" x14ac:dyDescent="0.25">
      <c r="A1401" s="27" t="s">
        <v>8385</v>
      </c>
      <c r="B1401" s="28" t="s">
        <v>8386</v>
      </c>
      <c r="C1401" s="29" t="s">
        <v>8387</v>
      </c>
      <c r="D1401" s="37" t="s">
        <v>109</v>
      </c>
      <c r="E1401" s="29" t="s">
        <v>98</v>
      </c>
      <c r="F1401" s="29" t="s">
        <v>244</v>
      </c>
      <c r="G1401" s="24" t="s">
        <v>85</v>
      </c>
      <c r="H1401" s="29" t="s">
        <v>100</v>
      </c>
      <c r="I1401" s="32" t="s">
        <v>8388</v>
      </c>
      <c r="J1401" s="28" t="s">
        <v>8389</v>
      </c>
      <c r="K1401" s="29"/>
      <c r="L1401" s="27"/>
      <c r="M1401" s="28"/>
      <c r="N1401" s="38"/>
      <c r="O1401" s="34"/>
      <c r="P1401" s="34"/>
      <c r="Q1401" s="35" t="s">
        <v>78</v>
      </c>
      <c r="R1401" s="35" t="s">
        <v>79</v>
      </c>
      <c r="S1401" s="35" t="s">
        <v>61</v>
      </c>
      <c r="T1401" s="35" t="s">
        <v>62</v>
      </c>
      <c r="U1401" s="36" t="s">
        <v>80</v>
      </c>
    </row>
    <row r="1402" spans="1:21" ht="15.75" customHeight="1" x14ac:dyDescent="0.25">
      <c r="A1402" s="9" t="s">
        <v>8390</v>
      </c>
      <c r="B1402" s="10" t="s">
        <v>8391</v>
      </c>
      <c r="C1402" s="11" t="s">
        <v>8392</v>
      </c>
      <c r="D1402" s="12" t="s">
        <v>8393</v>
      </c>
      <c r="E1402" s="11" t="s">
        <v>98</v>
      </c>
      <c r="F1402" s="11"/>
      <c r="G1402" s="20" t="s">
        <v>119</v>
      </c>
      <c r="H1402" s="11" t="s">
        <v>100</v>
      </c>
      <c r="I1402" s="15" t="s">
        <v>2557</v>
      </c>
      <c r="J1402" s="10" t="s">
        <v>8394</v>
      </c>
      <c r="K1402" s="11" t="s">
        <v>8395</v>
      </c>
      <c r="L1402" s="9" t="s">
        <v>90</v>
      </c>
      <c r="M1402" s="10" t="s">
        <v>91</v>
      </c>
      <c r="N1402" s="22"/>
      <c r="O1402" s="17" t="s">
        <v>124</v>
      </c>
      <c r="P1402" s="17" t="s">
        <v>125</v>
      </c>
      <c r="Q1402" s="18" t="s">
        <v>78</v>
      </c>
      <c r="R1402" s="18" t="s">
        <v>79</v>
      </c>
      <c r="S1402" s="18" t="s">
        <v>61</v>
      </c>
      <c r="T1402" s="18" t="s">
        <v>62</v>
      </c>
      <c r="U1402" s="19" t="s">
        <v>80</v>
      </c>
    </row>
    <row r="1403" spans="1:21" ht="15.75" customHeight="1" x14ac:dyDescent="0.25">
      <c r="A1403" s="27" t="s">
        <v>8396</v>
      </c>
      <c r="B1403" s="28" t="s">
        <v>8397</v>
      </c>
      <c r="C1403" s="29" t="s">
        <v>8398</v>
      </c>
      <c r="D1403" s="37" t="s">
        <v>109</v>
      </c>
      <c r="E1403" s="29" t="s">
        <v>98</v>
      </c>
      <c r="F1403" s="29" t="s">
        <v>8399</v>
      </c>
      <c r="G1403" s="24" t="s">
        <v>85</v>
      </c>
      <c r="H1403" s="29" t="s">
        <v>120</v>
      </c>
      <c r="I1403" s="32" t="s">
        <v>8400</v>
      </c>
      <c r="J1403" s="28" t="s">
        <v>8401</v>
      </c>
      <c r="K1403" s="29"/>
      <c r="L1403" s="27"/>
      <c r="M1403" s="28"/>
      <c r="N1403" s="38"/>
      <c r="O1403" s="34"/>
      <c r="P1403" s="34"/>
      <c r="Q1403" s="35" t="s">
        <v>78</v>
      </c>
      <c r="R1403" s="35" t="s">
        <v>79</v>
      </c>
      <c r="S1403" s="35" t="s">
        <v>61</v>
      </c>
      <c r="T1403" s="35" t="s">
        <v>62</v>
      </c>
      <c r="U1403" s="36" t="s">
        <v>80</v>
      </c>
    </row>
    <row r="1404" spans="1:21" ht="15.75" customHeight="1" x14ac:dyDescent="0.25">
      <c r="A1404" s="9" t="s">
        <v>8402</v>
      </c>
      <c r="B1404" s="10" t="s">
        <v>8403</v>
      </c>
      <c r="C1404" s="11" t="s">
        <v>8404</v>
      </c>
      <c r="D1404" s="21" t="s">
        <v>109</v>
      </c>
      <c r="E1404" s="11" t="s">
        <v>98</v>
      </c>
      <c r="F1404" s="13">
        <v>1689</v>
      </c>
      <c r="G1404" s="24" t="s">
        <v>85</v>
      </c>
      <c r="H1404" s="11" t="s">
        <v>129</v>
      </c>
      <c r="I1404" s="15" t="s">
        <v>8405</v>
      </c>
      <c r="J1404" s="10" t="s">
        <v>8406</v>
      </c>
      <c r="K1404" s="11"/>
      <c r="L1404" s="9"/>
      <c r="M1404" s="10"/>
      <c r="N1404" s="22"/>
      <c r="O1404" s="17"/>
      <c r="P1404" s="17"/>
      <c r="Q1404" s="18" t="s">
        <v>78</v>
      </c>
      <c r="R1404" s="18" t="s">
        <v>79</v>
      </c>
      <c r="S1404" s="18" t="s">
        <v>61</v>
      </c>
      <c r="T1404" s="18" t="s">
        <v>62</v>
      </c>
      <c r="U1404" s="19" t="s">
        <v>80</v>
      </c>
    </row>
    <row r="1405" spans="1:21" ht="15.75" customHeight="1" x14ac:dyDescent="0.25">
      <c r="A1405" s="27" t="s">
        <v>8407</v>
      </c>
      <c r="B1405" s="28" t="s">
        <v>8408</v>
      </c>
      <c r="C1405" s="29" t="s">
        <v>8409</v>
      </c>
      <c r="D1405" s="37" t="s">
        <v>109</v>
      </c>
      <c r="E1405" s="29"/>
      <c r="F1405" s="31">
        <v>313</v>
      </c>
      <c r="G1405" s="24" t="s">
        <v>85</v>
      </c>
      <c r="H1405" s="29" t="s">
        <v>129</v>
      </c>
      <c r="I1405" s="32" t="s">
        <v>8410</v>
      </c>
      <c r="J1405" s="28" t="s">
        <v>8411</v>
      </c>
      <c r="K1405" s="29"/>
      <c r="L1405" s="27"/>
      <c r="M1405" s="28"/>
      <c r="N1405" s="38"/>
      <c r="O1405" s="34"/>
      <c r="P1405" s="34"/>
      <c r="Q1405" s="35" t="s">
        <v>78</v>
      </c>
      <c r="R1405" s="35" t="s">
        <v>79</v>
      </c>
      <c r="S1405" s="35" t="s">
        <v>61</v>
      </c>
      <c r="T1405" s="35" t="s">
        <v>62</v>
      </c>
      <c r="U1405" s="36" t="s">
        <v>80</v>
      </c>
    </row>
    <row r="1406" spans="1:21" ht="15.75" customHeight="1" x14ac:dyDescent="0.25">
      <c r="A1406" s="9" t="s">
        <v>8412</v>
      </c>
      <c r="B1406" s="10" t="s">
        <v>8413</v>
      </c>
      <c r="C1406" s="11" t="s">
        <v>8414</v>
      </c>
      <c r="D1406" s="21" t="s">
        <v>109</v>
      </c>
      <c r="E1406" s="11" t="s">
        <v>98</v>
      </c>
      <c r="F1406" s="13">
        <v>399</v>
      </c>
      <c r="G1406" s="24" t="s">
        <v>85</v>
      </c>
      <c r="H1406" s="11" t="s">
        <v>129</v>
      </c>
      <c r="I1406" s="15" t="s">
        <v>8415</v>
      </c>
      <c r="J1406" s="10" t="s">
        <v>8416</v>
      </c>
      <c r="K1406" s="11"/>
      <c r="L1406" s="9"/>
      <c r="M1406" s="10"/>
      <c r="N1406" s="22"/>
      <c r="O1406" s="17"/>
      <c r="P1406" s="17"/>
      <c r="Q1406" s="18" t="s">
        <v>78</v>
      </c>
      <c r="R1406" s="18" t="s">
        <v>79</v>
      </c>
      <c r="S1406" s="18" t="s">
        <v>61</v>
      </c>
      <c r="T1406" s="18" t="s">
        <v>62</v>
      </c>
      <c r="U1406" s="19" t="s">
        <v>80</v>
      </c>
    </row>
    <row r="1407" spans="1:21" ht="15.75" customHeight="1" x14ac:dyDescent="0.25">
      <c r="A1407" s="27" t="s">
        <v>8417</v>
      </c>
      <c r="B1407" s="28" t="s">
        <v>8418</v>
      </c>
      <c r="C1407" s="29" t="s">
        <v>8419</v>
      </c>
      <c r="D1407" s="37" t="s">
        <v>109</v>
      </c>
      <c r="E1407" s="29" t="s">
        <v>98</v>
      </c>
      <c r="F1407" s="29"/>
      <c r="G1407" s="24" t="s">
        <v>85</v>
      </c>
      <c r="H1407" s="29" t="s">
        <v>100</v>
      </c>
      <c r="I1407" s="32" t="s">
        <v>6292</v>
      </c>
      <c r="J1407" s="28" t="s">
        <v>8420</v>
      </c>
      <c r="K1407" s="29"/>
      <c r="L1407" s="27"/>
      <c r="M1407" s="28"/>
      <c r="N1407" s="38"/>
      <c r="O1407" s="34"/>
      <c r="P1407" s="34"/>
      <c r="Q1407" s="35" t="s">
        <v>78</v>
      </c>
      <c r="R1407" s="35" t="s">
        <v>79</v>
      </c>
      <c r="S1407" s="35" t="s">
        <v>61</v>
      </c>
      <c r="T1407" s="35" t="s">
        <v>62</v>
      </c>
      <c r="U1407" s="36" t="s">
        <v>80</v>
      </c>
    </row>
    <row r="1408" spans="1:21" ht="15.75" customHeight="1" x14ac:dyDescent="0.25">
      <c r="A1408" s="9" t="s">
        <v>8421</v>
      </c>
      <c r="B1408" s="10" t="s">
        <v>8422</v>
      </c>
      <c r="C1408" s="11" t="s">
        <v>8423</v>
      </c>
      <c r="D1408" s="21" t="s">
        <v>109</v>
      </c>
      <c r="E1408" s="11" t="s">
        <v>98</v>
      </c>
      <c r="F1408" s="11"/>
      <c r="G1408" s="24" t="s">
        <v>85</v>
      </c>
      <c r="H1408" s="11" t="s">
        <v>120</v>
      </c>
      <c r="I1408" s="15" t="s">
        <v>8424</v>
      </c>
      <c r="J1408" s="10" t="s">
        <v>8425</v>
      </c>
      <c r="K1408" s="11"/>
      <c r="L1408" s="9"/>
      <c r="M1408" s="10"/>
      <c r="N1408" s="22"/>
      <c r="O1408" s="17"/>
      <c r="P1408" s="17"/>
      <c r="Q1408" s="18" t="s">
        <v>78</v>
      </c>
      <c r="R1408" s="18" t="s">
        <v>79</v>
      </c>
      <c r="S1408" s="18" t="s">
        <v>61</v>
      </c>
      <c r="T1408" s="18" t="s">
        <v>62</v>
      </c>
      <c r="U1408" s="19" t="s">
        <v>80</v>
      </c>
    </row>
    <row r="1409" spans="1:21" ht="15.75" customHeight="1" x14ac:dyDescent="0.25">
      <c r="A1409" s="27" t="s">
        <v>8426</v>
      </c>
      <c r="B1409" s="28" t="s">
        <v>8427</v>
      </c>
      <c r="C1409" s="29" t="s">
        <v>8428</v>
      </c>
      <c r="D1409" s="37" t="s">
        <v>109</v>
      </c>
      <c r="E1409" s="29" t="s">
        <v>67</v>
      </c>
      <c r="F1409" s="31">
        <v>-40</v>
      </c>
      <c r="G1409" s="20" t="s">
        <v>68</v>
      </c>
      <c r="H1409" s="29" t="s">
        <v>421</v>
      </c>
      <c r="I1409" s="32" t="s">
        <v>8429</v>
      </c>
      <c r="J1409" s="28" t="s">
        <v>8430</v>
      </c>
      <c r="K1409" s="29" t="s">
        <v>8431</v>
      </c>
      <c r="L1409" s="27" t="s">
        <v>140</v>
      </c>
      <c r="M1409" s="28" t="s">
        <v>141</v>
      </c>
      <c r="N1409" s="38"/>
      <c r="O1409" s="34"/>
      <c r="P1409" s="34"/>
      <c r="Q1409" s="35" t="s">
        <v>78</v>
      </c>
      <c r="R1409" s="35" t="s">
        <v>79</v>
      </c>
      <c r="S1409" s="35" t="s">
        <v>61</v>
      </c>
      <c r="T1409" s="35" t="s">
        <v>62</v>
      </c>
      <c r="U1409" s="36" t="s">
        <v>80</v>
      </c>
    </row>
    <row r="1410" spans="1:21" ht="15.75" customHeight="1" x14ac:dyDescent="0.25">
      <c r="A1410" s="9" t="s">
        <v>8432</v>
      </c>
      <c r="B1410" s="10" t="s">
        <v>8433</v>
      </c>
      <c r="C1410" s="11" t="s">
        <v>8434</v>
      </c>
      <c r="D1410" s="21" t="s">
        <v>109</v>
      </c>
      <c r="E1410" s="11"/>
      <c r="F1410" s="11"/>
      <c r="G1410" s="24" t="s">
        <v>85</v>
      </c>
      <c r="H1410" s="11" t="s">
        <v>120</v>
      </c>
      <c r="I1410" s="15" t="s">
        <v>8435</v>
      </c>
      <c r="J1410" s="10" t="s">
        <v>8436</v>
      </c>
      <c r="K1410" s="11"/>
      <c r="L1410" s="9"/>
      <c r="M1410" s="10"/>
      <c r="N1410" s="22"/>
      <c r="O1410" s="17"/>
      <c r="P1410" s="17"/>
      <c r="Q1410" s="18" t="s">
        <v>78</v>
      </c>
      <c r="R1410" s="18" t="s">
        <v>79</v>
      </c>
      <c r="S1410" s="18" t="s">
        <v>61</v>
      </c>
      <c r="T1410" s="18" t="s">
        <v>62</v>
      </c>
      <c r="U1410" s="19" t="s">
        <v>80</v>
      </c>
    </row>
    <row r="1411" spans="1:21" ht="15.75" customHeight="1" x14ac:dyDescent="0.25">
      <c r="A1411" s="27" t="s">
        <v>8437</v>
      </c>
      <c r="B1411" s="28" t="s">
        <v>8438</v>
      </c>
      <c r="C1411" s="29" t="s">
        <v>8439</v>
      </c>
      <c r="D1411" s="37" t="s">
        <v>109</v>
      </c>
      <c r="E1411" s="29" t="s">
        <v>47</v>
      </c>
      <c r="F1411" s="31">
        <v>159.19999999999999</v>
      </c>
      <c r="G1411" s="14" t="s">
        <v>119</v>
      </c>
      <c r="H1411" s="29" t="s">
        <v>86</v>
      </c>
      <c r="I1411" s="32" t="s">
        <v>8440</v>
      </c>
      <c r="J1411" s="28" t="s">
        <v>8441</v>
      </c>
      <c r="K1411" s="29" t="s">
        <v>8074</v>
      </c>
      <c r="L1411" s="27" t="s">
        <v>158</v>
      </c>
      <c r="M1411" s="28" t="s">
        <v>159</v>
      </c>
      <c r="N1411" s="38"/>
      <c r="O1411" s="34"/>
      <c r="P1411" s="34"/>
      <c r="Q1411" s="35" t="s">
        <v>78</v>
      </c>
      <c r="R1411" s="35" t="s">
        <v>79</v>
      </c>
      <c r="S1411" s="35" t="s">
        <v>61</v>
      </c>
      <c r="T1411" s="35" t="s">
        <v>62</v>
      </c>
      <c r="U1411" s="36" t="s">
        <v>80</v>
      </c>
    </row>
    <row r="1412" spans="1:21" ht="15.75" customHeight="1" x14ac:dyDescent="0.25">
      <c r="A1412" s="9" t="s">
        <v>8442</v>
      </c>
      <c r="B1412" s="10" t="s">
        <v>8443</v>
      </c>
      <c r="C1412" s="11" t="s">
        <v>8444</v>
      </c>
      <c r="D1412" s="12" t="s">
        <v>8445</v>
      </c>
      <c r="E1412" s="11" t="s">
        <v>1264</v>
      </c>
      <c r="F1412" s="11" t="s">
        <v>118</v>
      </c>
      <c r="G1412" s="25" t="s">
        <v>119</v>
      </c>
      <c r="H1412" s="11" t="s">
        <v>100</v>
      </c>
      <c r="I1412" s="15" t="s">
        <v>8446</v>
      </c>
      <c r="J1412" s="10" t="s">
        <v>8447</v>
      </c>
      <c r="K1412" s="11" t="s">
        <v>2738</v>
      </c>
      <c r="L1412" s="9" t="s">
        <v>481</v>
      </c>
      <c r="M1412" s="10" t="s">
        <v>482</v>
      </c>
      <c r="N1412" s="16" t="s">
        <v>75</v>
      </c>
      <c r="O1412" s="17" t="s">
        <v>1127</v>
      </c>
      <c r="P1412" s="17" t="s">
        <v>1128</v>
      </c>
      <c r="Q1412" s="18" t="s">
        <v>78</v>
      </c>
      <c r="R1412" s="18" t="s">
        <v>79</v>
      </c>
      <c r="S1412" s="18" t="s">
        <v>61</v>
      </c>
      <c r="T1412" s="18" t="s">
        <v>62</v>
      </c>
      <c r="U1412" s="19" t="s">
        <v>80</v>
      </c>
    </row>
    <row r="1413" spans="1:21" ht="15.75" customHeight="1" x14ac:dyDescent="0.25">
      <c r="A1413" s="27" t="s">
        <v>8448</v>
      </c>
      <c r="B1413" s="28" t="s">
        <v>8449</v>
      </c>
      <c r="C1413" s="29" t="s">
        <v>8450</v>
      </c>
      <c r="D1413" s="37" t="s">
        <v>109</v>
      </c>
      <c r="E1413" s="29" t="s">
        <v>47</v>
      </c>
      <c r="F1413" s="31">
        <v>273</v>
      </c>
      <c r="G1413" s="25" t="s">
        <v>110</v>
      </c>
      <c r="H1413" s="29" t="s">
        <v>129</v>
      </c>
      <c r="I1413" s="32" t="s">
        <v>8451</v>
      </c>
      <c r="J1413" s="28" t="s">
        <v>8452</v>
      </c>
      <c r="K1413" s="29" t="s">
        <v>5559</v>
      </c>
      <c r="L1413" s="27" t="s">
        <v>481</v>
      </c>
      <c r="M1413" s="28" t="s">
        <v>482</v>
      </c>
      <c r="N1413" s="38"/>
      <c r="O1413" s="34"/>
      <c r="P1413" s="34"/>
      <c r="Q1413" s="35" t="s">
        <v>78</v>
      </c>
      <c r="R1413" s="35" t="s">
        <v>79</v>
      </c>
      <c r="S1413" s="35" t="s">
        <v>61</v>
      </c>
      <c r="T1413" s="35" t="s">
        <v>62</v>
      </c>
      <c r="U1413" s="36" t="s">
        <v>80</v>
      </c>
    </row>
    <row r="1414" spans="1:21" ht="15.75" customHeight="1" x14ac:dyDescent="0.25">
      <c r="A1414" s="9" t="s">
        <v>8453</v>
      </c>
      <c r="B1414" s="10" t="s">
        <v>8454</v>
      </c>
      <c r="C1414" s="11" t="s">
        <v>8455</v>
      </c>
      <c r="D1414" s="21" t="s">
        <v>109</v>
      </c>
      <c r="E1414" s="11" t="s">
        <v>47</v>
      </c>
      <c r="F1414" s="13">
        <v>342</v>
      </c>
      <c r="G1414" s="24" t="s">
        <v>85</v>
      </c>
      <c r="H1414" s="11" t="s">
        <v>129</v>
      </c>
      <c r="I1414" s="15" t="s">
        <v>8456</v>
      </c>
      <c r="J1414" s="10" t="s">
        <v>8457</v>
      </c>
      <c r="K1414" s="11"/>
      <c r="L1414" s="9"/>
      <c r="M1414" s="10"/>
      <c r="N1414" s="22"/>
      <c r="O1414" s="17"/>
      <c r="P1414" s="17"/>
      <c r="Q1414" s="18" t="s">
        <v>78</v>
      </c>
      <c r="R1414" s="18" t="s">
        <v>79</v>
      </c>
      <c r="S1414" s="18" t="s">
        <v>61</v>
      </c>
      <c r="T1414" s="18" t="s">
        <v>62</v>
      </c>
      <c r="U1414" s="19" t="s">
        <v>80</v>
      </c>
    </row>
    <row r="1415" spans="1:21" ht="15.75" customHeight="1" x14ac:dyDescent="0.25">
      <c r="A1415" s="27" t="s">
        <v>8458</v>
      </c>
      <c r="B1415" s="28" t="s">
        <v>8459</v>
      </c>
      <c r="C1415" s="29" t="s">
        <v>8460</v>
      </c>
      <c r="D1415" s="37" t="s">
        <v>109</v>
      </c>
      <c r="E1415" s="29" t="s">
        <v>47</v>
      </c>
      <c r="F1415" s="31">
        <v>116</v>
      </c>
      <c r="G1415" s="14" t="s">
        <v>119</v>
      </c>
      <c r="H1415" s="29" t="s">
        <v>330</v>
      </c>
      <c r="I1415" s="32" t="s">
        <v>8461</v>
      </c>
      <c r="J1415" s="28" t="s">
        <v>8462</v>
      </c>
      <c r="K1415" s="29" t="s">
        <v>8463</v>
      </c>
      <c r="L1415" s="27" t="s">
        <v>158</v>
      </c>
      <c r="M1415" s="28" t="s">
        <v>159</v>
      </c>
      <c r="N1415" s="38"/>
      <c r="O1415" s="34"/>
      <c r="P1415" s="34"/>
      <c r="Q1415" s="35" t="s">
        <v>78</v>
      </c>
      <c r="R1415" s="35" t="s">
        <v>79</v>
      </c>
      <c r="S1415" s="35" t="s">
        <v>61</v>
      </c>
      <c r="T1415" s="35" t="s">
        <v>62</v>
      </c>
      <c r="U1415" s="36" t="s">
        <v>80</v>
      </c>
    </row>
    <row r="1416" spans="1:21" ht="15.75" customHeight="1" x14ac:dyDescent="0.25">
      <c r="A1416" s="9" t="s">
        <v>8464</v>
      </c>
      <c r="B1416" s="10" t="s">
        <v>8465</v>
      </c>
      <c r="C1416" s="11" t="s">
        <v>8466</v>
      </c>
      <c r="D1416" s="21" t="s">
        <v>109</v>
      </c>
      <c r="E1416" s="11" t="s">
        <v>98</v>
      </c>
      <c r="F1416" s="13">
        <v>218</v>
      </c>
      <c r="G1416" s="25" t="s">
        <v>110</v>
      </c>
      <c r="H1416" s="11" t="s">
        <v>129</v>
      </c>
      <c r="I1416" s="15" t="s">
        <v>8467</v>
      </c>
      <c r="J1416" s="10" t="s">
        <v>8468</v>
      </c>
      <c r="K1416" s="11" t="s">
        <v>8469</v>
      </c>
      <c r="L1416" s="9" t="s">
        <v>90</v>
      </c>
      <c r="M1416" s="10" t="s">
        <v>91</v>
      </c>
      <c r="N1416" s="22"/>
      <c r="O1416" s="17"/>
      <c r="P1416" s="17"/>
      <c r="Q1416" s="18" t="s">
        <v>78</v>
      </c>
      <c r="R1416" s="18" t="s">
        <v>79</v>
      </c>
      <c r="S1416" s="18" t="s">
        <v>61</v>
      </c>
      <c r="T1416" s="18" t="s">
        <v>62</v>
      </c>
      <c r="U1416" s="19" t="s">
        <v>80</v>
      </c>
    </row>
    <row r="1417" spans="1:21" ht="15.75" customHeight="1" x14ac:dyDescent="0.25">
      <c r="A1417" s="27" t="s">
        <v>8470</v>
      </c>
      <c r="B1417" s="28" t="s">
        <v>8471</v>
      </c>
      <c r="C1417" s="29" t="s">
        <v>8472</v>
      </c>
      <c r="D1417" s="37" t="s">
        <v>109</v>
      </c>
      <c r="E1417" s="29" t="s">
        <v>98</v>
      </c>
      <c r="F1417" s="29" t="s">
        <v>7990</v>
      </c>
      <c r="G1417" s="25" t="s">
        <v>110</v>
      </c>
      <c r="H1417" s="29" t="s">
        <v>120</v>
      </c>
      <c r="I1417" s="32" t="s">
        <v>3628</v>
      </c>
      <c r="J1417" s="28" t="s">
        <v>8473</v>
      </c>
      <c r="K1417" s="29" t="s">
        <v>1655</v>
      </c>
      <c r="L1417" s="27" t="s">
        <v>90</v>
      </c>
      <c r="M1417" s="28" t="s">
        <v>91</v>
      </c>
      <c r="N1417" s="38"/>
      <c r="O1417" s="34"/>
      <c r="P1417" s="34"/>
      <c r="Q1417" s="35" t="s">
        <v>78</v>
      </c>
      <c r="R1417" s="35" t="s">
        <v>79</v>
      </c>
      <c r="S1417" s="35" t="s">
        <v>61</v>
      </c>
      <c r="T1417" s="35" t="s">
        <v>62</v>
      </c>
      <c r="U1417" s="36" t="s">
        <v>80</v>
      </c>
    </row>
    <row r="1418" spans="1:21" ht="15.75" customHeight="1" x14ac:dyDescent="0.25">
      <c r="A1418" s="9" t="s">
        <v>8474</v>
      </c>
      <c r="B1418" s="10" t="s">
        <v>8475</v>
      </c>
      <c r="C1418" s="11" t="s">
        <v>8476</v>
      </c>
      <c r="D1418" s="21" t="s">
        <v>109</v>
      </c>
      <c r="E1418" s="11" t="s">
        <v>47</v>
      </c>
      <c r="F1418" s="13">
        <v>126</v>
      </c>
      <c r="G1418" s="14" t="s">
        <v>119</v>
      </c>
      <c r="H1418" s="11" t="s">
        <v>330</v>
      </c>
      <c r="I1418" s="15" t="s">
        <v>8477</v>
      </c>
      <c r="J1418" s="10" t="s">
        <v>8478</v>
      </c>
      <c r="K1418" s="11" t="s">
        <v>8479</v>
      </c>
      <c r="L1418" s="9" t="s">
        <v>1203</v>
      </c>
      <c r="M1418" s="10" t="s">
        <v>1204</v>
      </c>
      <c r="N1418" s="22"/>
      <c r="O1418" s="17"/>
      <c r="P1418" s="17"/>
      <c r="Q1418" s="18" t="s">
        <v>78</v>
      </c>
      <c r="R1418" s="18" t="s">
        <v>79</v>
      </c>
      <c r="S1418" s="18" t="s">
        <v>61</v>
      </c>
      <c r="T1418" s="18" t="s">
        <v>62</v>
      </c>
      <c r="U1418" s="19" t="s">
        <v>80</v>
      </c>
    </row>
    <row r="1419" spans="1:21" ht="15.75" customHeight="1" x14ac:dyDescent="0.25">
      <c r="A1419" s="27" t="s">
        <v>8480</v>
      </c>
      <c r="B1419" s="28" t="s">
        <v>8481</v>
      </c>
      <c r="C1419" s="29" t="s">
        <v>8482</v>
      </c>
      <c r="D1419" s="37" t="s">
        <v>109</v>
      </c>
      <c r="E1419" s="29" t="s">
        <v>98</v>
      </c>
      <c r="F1419" s="29"/>
      <c r="G1419" s="24" t="s">
        <v>85</v>
      </c>
      <c r="H1419" s="29" t="s">
        <v>100</v>
      </c>
      <c r="I1419" s="32" t="s">
        <v>6099</v>
      </c>
      <c r="J1419" s="28" t="s">
        <v>8483</v>
      </c>
      <c r="K1419" s="29"/>
      <c r="L1419" s="27"/>
      <c r="M1419" s="28"/>
      <c r="N1419" s="38"/>
      <c r="O1419" s="34"/>
      <c r="P1419" s="34"/>
      <c r="Q1419" s="35" t="s">
        <v>78</v>
      </c>
      <c r="R1419" s="35" t="s">
        <v>79</v>
      </c>
      <c r="S1419" s="35" t="s">
        <v>61</v>
      </c>
      <c r="T1419" s="35" t="s">
        <v>62</v>
      </c>
      <c r="U1419" s="36" t="s">
        <v>80</v>
      </c>
    </row>
    <row r="1420" spans="1:21" ht="15.75" customHeight="1" x14ac:dyDescent="0.25">
      <c r="A1420" s="9" t="s">
        <v>8484</v>
      </c>
      <c r="B1420" s="10" t="s">
        <v>8485</v>
      </c>
      <c r="C1420" s="11" t="s">
        <v>8486</v>
      </c>
      <c r="D1420" s="21" t="s">
        <v>109</v>
      </c>
      <c r="E1420" s="11" t="s">
        <v>47</v>
      </c>
      <c r="F1420" s="11"/>
      <c r="G1420" s="25" t="s">
        <v>110</v>
      </c>
      <c r="H1420" s="11" t="s">
        <v>330</v>
      </c>
      <c r="I1420" s="15" t="s">
        <v>8487</v>
      </c>
      <c r="J1420" s="10" t="s">
        <v>8488</v>
      </c>
      <c r="K1420" s="11" t="s">
        <v>8489</v>
      </c>
      <c r="L1420" s="9" t="s">
        <v>481</v>
      </c>
      <c r="M1420" s="10" t="s">
        <v>482</v>
      </c>
      <c r="N1420" s="22"/>
      <c r="O1420" s="17"/>
      <c r="P1420" s="17"/>
      <c r="Q1420" s="18" t="s">
        <v>78</v>
      </c>
      <c r="R1420" s="18" t="s">
        <v>79</v>
      </c>
      <c r="S1420" s="18" t="s">
        <v>61</v>
      </c>
      <c r="T1420" s="18" t="s">
        <v>62</v>
      </c>
      <c r="U1420" s="19" t="s">
        <v>80</v>
      </c>
    </row>
    <row r="1421" spans="1:21" ht="15.75" customHeight="1" x14ac:dyDescent="0.25">
      <c r="A1421" s="27" t="s">
        <v>8490</v>
      </c>
      <c r="B1421" s="28" t="s">
        <v>8491</v>
      </c>
      <c r="C1421" s="29" t="s">
        <v>8492</v>
      </c>
      <c r="D1421" s="37" t="s">
        <v>109</v>
      </c>
      <c r="E1421" s="29"/>
      <c r="F1421" s="29"/>
      <c r="G1421" s="24" t="s">
        <v>85</v>
      </c>
      <c r="H1421" s="29" t="s">
        <v>120</v>
      </c>
      <c r="I1421" s="32" t="s">
        <v>8493</v>
      </c>
      <c r="J1421" s="28" t="s">
        <v>8494</v>
      </c>
      <c r="K1421" s="29"/>
      <c r="L1421" s="27"/>
      <c r="M1421" s="28"/>
      <c r="N1421" s="38"/>
      <c r="O1421" s="34"/>
      <c r="P1421" s="34"/>
      <c r="Q1421" s="35" t="s">
        <v>78</v>
      </c>
      <c r="R1421" s="35" t="s">
        <v>79</v>
      </c>
      <c r="S1421" s="35" t="s">
        <v>61</v>
      </c>
      <c r="T1421" s="35" t="s">
        <v>62</v>
      </c>
      <c r="U1421" s="36" t="s">
        <v>80</v>
      </c>
    </row>
    <row r="1422" spans="1:21" ht="15.75" customHeight="1" x14ac:dyDescent="0.25">
      <c r="A1422" s="9" t="s">
        <v>8495</v>
      </c>
      <c r="B1422" s="10" t="s">
        <v>8496</v>
      </c>
      <c r="C1422" s="11" t="s">
        <v>8497</v>
      </c>
      <c r="D1422" s="21" t="s">
        <v>109</v>
      </c>
      <c r="E1422" s="11" t="s">
        <v>47</v>
      </c>
      <c r="F1422" s="13">
        <v>224</v>
      </c>
      <c r="G1422" s="25" t="s">
        <v>110</v>
      </c>
      <c r="H1422" s="11" t="s">
        <v>129</v>
      </c>
      <c r="I1422" s="15" t="s">
        <v>8498</v>
      </c>
      <c r="J1422" s="10" t="s">
        <v>8499</v>
      </c>
      <c r="K1422" s="11" t="s">
        <v>2121</v>
      </c>
      <c r="L1422" s="9" t="s">
        <v>481</v>
      </c>
      <c r="M1422" s="10" t="s">
        <v>482</v>
      </c>
      <c r="N1422" s="22"/>
      <c r="O1422" s="17"/>
      <c r="P1422" s="17"/>
      <c r="Q1422" s="18" t="s">
        <v>78</v>
      </c>
      <c r="R1422" s="18" t="s">
        <v>79</v>
      </c>
      <c r="S1422" s="18" t="s">
        <v>61</v>
      </c>
      <c r="T1422" s="18" t="s">
        <v>62</v>
      </c>
      <c r="U1422" s="19" t="s">
        <v>80</v>
      </c>
    </row>
    <row r="1423" spans="1:21" ht="15.75" customHeight="1" x14ac:dyDescent="0.25">
      <c r="A1423" s="27" t="s">
        <v>8500</v>
      </c>
      <c r="B1423" s="28" t="s">
        <v>8501</v>
      </c>
      <c r="C1423" s="29" t="s">
        <v>8502</v>
      </c>
      <c r="D1423" s="37" t="s">
        <v>109</v>
      </c>
      <c r="E1423" s="29" t="s">
        <v>47</v>
      </c>
      <c r="F1423" s="31">
        <v>139</v>
      </c>
      <c r="G1423" s="24" t="s">
        <v>85</v>
      </c>
      <c r="H1423" s="29" t="s">
        <v>330</v>
      </c>
      <c r="I1423" s="32" t="s">
        <v>8503</v>
      </c>
      <c r="J1423" s="28" t="s">
        <v>8504</v>
      </c>
      <c r="K1423" s="29" t="s">
        <v>626</v>
      </c>
      <c r="L1423" s="27" t="s">
        <v>1350</v>
      </c>
      <c r="M1423" s="28" t="s">
        <v>1351</v>
      </c>
      <c r="N1423" s="38"/>
      <c r="O1423" s="34"/>
      <c r="P1423" s="34"/>
      <c r="Q1423" s="35" t="s">
        <v>78</v>
      </c>
      <c r="R1423" s="35" t="s">
        <v>79</v>
      </c>
      <c r="S1423" s="35" t="s">
        <v>61</v>
      </c>
      <c r="T1423" s="35" t="s">
        <v>62</v>
      </c>
      <c r="U1423" s="36" t="s">
        <v>80</v>
      </c>
    </row>
    <row r="1424" spans="1:21" ht="15.75" customHeight="1" x14ac:dyDescent="0.25">
      <c r="A1424" s="9" t="s">
        <v>8505</v>
      </c>
      <c r="B1424" s="10" t="s">
        <v>8506</v>
      </c>
      <c r="C1424" s="11" t="s">
        <v>8507</v>
      </c>
      <c r="D1424" s="21" t="s">
        <v>109</v>
      </c>
      <c r="E1424" s="11" t="s">
        <v>98</v>
      </c>
      <c r="F1424" s="13">
        <v>404</v>
      </c>
      <c r="G1424" s="24" t="s">
        <v>85</v>
      </c>
      <c r="H1424" s="11" t="s">
        <v>129</v>
      </c>
      <c r="I1424" s="15" t="s">
        <v>6317</v>
      </c>
      <c r="J1424" s="10" t="s">
        <v>8508</v>
      </c>
      <c r="K1424" s="11"/>
      <c r="L1424" s="9"/>
      <c r="M1424" s="10"/>
      <c r="N1424" s="22"/>
      <c r="O1424" s="17"/>
      <c r="P1424" s="17"/>
      <c r="Q1424" s="18" t="s">
        <v>78</v>
      </c>
      <c r="R1424" s="18" t="s">
        <v>79</v>
      </c>
      <c r="S1424" s="18" t="s">
        <v>61</v>
      </c>
      <c r="T1424" s="18" t="s">
        <v>62</v>
      </c>
      <c r="U1424" s="19" t="s">
        <v>80</v>
      </c>
    </row>
    <row r="1425" spans="1:21" ht="15.75" customHeight="1" x14ac:dyDescent="0.25">
      <c r="A1425" s="27" t="s">
        <v>8509</v>
      </c>
      <c r="B1425" s="28" t="s">
        <v>8510</v>
      </c>
      <c r="C1425" s="29" t="s">
        <v>8511</v>
      </c>
      <c r="D1425" s="37" t="s">
        <v>109</v>
      </c>
      <c r="E1425" s="29" t="s">
        <v>47</v>
      </c>
      <c r="F1425" s="29" t="s">
        <v>8512</v>
      </c>
      <c r="G1425" s="24" t="s">
        <v>85</v>
      </c>
      <c r="H1425" s="29" t="s">
        <v>120</v>
      </c>
      <c r="I1425" s="32" t="s">
        <v>8513</v>
      </c>
      <c r="J1425" s="28" t="s">
        <v>8514</v>
      </c>
      <c r="K1425" s="29"/>
      <c r="L1425" s="27"/>
      <c r="M1425" s="28"/>
      <c r="N1425" s="38"/>
      <c r="O1425" s="34"/>
      <c r="P1425" s="34"/>
      <c r="Q1425" s="35" t="s">
        <v>78</v>
      </c>
      <c r="R1425" s="35" t="s">
        <v>79</v>
      </c>
      <c r="S1425" s="35" t="s">
        <v>61</v>
      </c>
      <c r="T1425" s="35" t="s">
        <v>62</v>
      </c>
      <c r="U1425" s="36" t="s">
        <v>80</v>
      </c>
    </row>
    <row r="1426" spans="1:21" ht="15.75" customHeight="1" x14ac:dyDescent="0.25">
      <c r="A1426" s="9" t="s">
        <v>8515</v>
      </c>
      <c r="B1426" s="10" t="s">
        <v>8516</v>
      </c>
      <c r="C1426" s="11" t="s">
        <v>8517</v>
      </c>
      <c r="D1426" s="21" t="s">
        <v>109</v>
      </c>
      <c r="E1426" s="11"/>
      <c r="F1426" s="13">
        <v>231</v>
      </c>
      <c r="G1426" s="25" t="s">
        <v>110</v>
      </c>
      <c r="H1426" s="11" t="s">
        <v>129</v>
      </c>
      <c r="I1426" s="15" t="s">
        <v>8518</v>
      </c>
      <c r="J1426" s="10" t="s">
        <v>8519</v>
      </c>
      <c r="K1426" s="11" t="s">
        <v>1000</v>
      </c>
      <c r="L1426" s="9" t="s">
        <v>90</v>
      </c>
      <c r="M1426" s="10" t="s">
        <v>91</v>
      </c>
      <c r="N1426" s="22"/>
      <c r="O1426" s="17"/>
      <c r="P1426" s="17"/>
      <c r="Q1426" s="18" t="s">
        <v>78</v>
      </c>
      <c r="R1426" s="18" t="s">
        <v>79</v>
      </c>
      <c r="S1426" s="18" t="s">
        <v>61</v>
      </c>
      <c r="T1426" s="18" t="s">
        <v>62</v>
      </c>
      <c r="U1426" s="19" t="s">
        <v>80</v>
      </c>
    </row>
    <row r="1427" spans="1:21" ht="15.75" customHeight="1" x14ac:dyDescent="0.25">
      <c r="A1427" s="27" t="s">
        <v>8520</v>
      </c>
      <c r="B1427" s="28" t="s">
        <v>8521</v>
      </c>
      <c r="C1427" s="29" t="s">
        <v>8522</v>
      </c>
      <c r="D1427" s="37" t="s">
        <v>109</v>
      </c>
      <c r="E1427" s="29" t="s">
        <v>47</v>
      </c>
      <c r="F1427" s="31">
        <v>172</v>
      </c>
      <c r="G1427" s="14" t="s">
        <v>119</v>
      </c>
      <c r="H1427" s="29" t="s">
        <v>86</v>
      </c>
      <c r="I1427" s="32" t="s">
        <v>8523</v>
      </c>
      <c r="J1427" s="28" t="s">
        <v>8524</v>
      </c>
      <c r="K1427" s="29" t="s">
        <v>903</v>
      </c>
      <c r="L1427" s="27" t="s">
        <v>158</v>
      </c>
      <c r="M1427" s="28" t="s">
        <v>159</v>
      </c>
      <c r="N1427" s="38"/>
      <c r="O1427" s="34"/>
      <c r="P1427" s="34"/>
      <c r="Q1427" s="35" t="s">
        <v>78</v>
      </c>
      <c r="R1427" s="35" t="s">
        <v>79</v>
      </c>
      <c r="S1427" s="35" t="s">
        <v>61</v>
      </c>
      <c r="T1427" s="35" t="s">
        <v>62</v>
      </c>
      <c r="U1427" s="36" t="s">
        <v>80</v>
      </c>
    </row>
    <row r="1428" spans="1:21" ht="15.75" customHeight="1" x14ac:dyDescent="0.25">
      <c r="A1428" s="9" t="s">
        <v>8525</v>
      </c>
      <c r="B1428" s="10" t="s">
        <v>8526</v>
      </c>
      <c r="C1428" s="11" t="s">
        <v>8527</v>
      </c>
      <c r="D1428" s="21" t="s">
        <v>109</v>
      </c>
      <c r="E1428" s="11" t="s">
        <v>47</v>
      </c>
      <c r="F1428" s="13">
        <v>90</v>
      </c>
      <c r="G1428" s="24" t="s">
        <v>85</v>
      </c>
      <c r="H1428" s="11" t="s">
        <v>48</v>
      </c>
      <c r="I1428" s="15" t="s">
        <v>8528</v>
      </c>
      <c r="J1428" s="10" t="s">
        <v>8529</v>
      </c>
      <c r="K1428" s="11"/>
      <c r="L1428" s="9"/>
      <c r="M1428" s="10"/>
      <c r="N1428" s="22"/>
      <c r="O1428" s="17"/>
      <c r="P1428" s="17"/>
      <c r="Q1428" s="18" t="s">
        <v>78</v>
      </c>
      <c r="R1428" s="18" t="s">
        <v>79</v>
      </c>
      <c r="S1428" s="18" t="s">
        <v>61</v>
      </c>
      <c r="T1428" s="18" t="s">
        <v>62</v>
      </c>
      <c r="U1428" s="19" t="s">
        <v>80</v>
      </c>
    </row>
    <row r="1429" spans="1:21" ht="15.75" customHeight="1" x14ac:dyDescent="0.25">
      <c r="A1429" s="27" t="s">
        <v>8530</v>
      </c>
      <c r="B1429" s="28" t="s">
        <v>8531</v>
      </c>
      <c r="C1429" s="29" t="s">
        <v>8532</v>
      </c>
      <c r="D1429" s="37" t="s">
        <v>109</v>
      </c>
      <c r="E1429" s="29" t="s">
        <v>98</v>
      </c>
      <c r="F1429" s="29" t="s">
        <v>118</v>
      </c>
      <c r="G1429" s="14" t="s">
        <v>119</v>
      </c>
      <c r="H1429" s="29" t="s">
        <v>100</v>
      </c>
      <c r="I1429" s="32" t="s">
        <v>8533</v>
      </c>
      <c r="J1429" s="28" t="s">
        <v>8534</v>
      </c>
      <c r="K1429" s="29" t="s">
        <v>8378</v>
      </c>
      <c r="L1429" s="27" t="s">
        <v>1203</v>
      </c>
      <c r="M1429" s="28" t="s">
        <v>1204</v>
      </c>
      <c r="N1429" s="38"/>
      <c r="O1429" s="34"/>
      <c r="P1429" s="34"/>
      <c r="Q1429" s="35" t="s">
        <v>78</v>
      </c>
      <c r="R1429" s="35" t="s">
        <v>79</v>
      </c>
      <c r="S1429" s="35" t="s">
        <v>61</v>
      </c>
      <c r="T1429" s="35" t="s">
        <v>62</v>
      </c>
      <c r="U1429" s="36" t="s">
        <v>80</v>
      </c>
    </row>
    <row r="1430" spans="1:21" ht="15.75" customHeight="1" x14ac:dyDescent="0.25">
      <c r="A1430" s="9" t="s">
        <v>8535</v>
      </c>
      <c r="B1430" s="10" t="s">
        <v>8536</v>
      </c>
      <c r="C1430" s="11" t="s">
        <v>1131</v>
      </c>
      <c r="D1430" s="21" t="s">
        <v>109</v>
      </c>
      <c r="E1430" s="11" t="s">
        <v>67</v>
      </c>
      <c r="F1430" s="13">
        <v>17</v>
      </c>
      <c r="G1430" s="14" t="s">
        <v>119</v>
      </c>
      <c r="H1430" s="11" t="s">
        <v>69</v>
      </c>
      <c r="I1430" s="15" t="s">
        <v>8537</v>
      </c>
      <c r="J1430" s="10" t="s">
        <v>8538</v>
      </c>
      <c r="K1430" s="11" t="s">
        <v>8539</v>
      </c>
      <c r="L1430" s="9" t="s">
        <v>158</v>
      </c>
      <c r="M1430" s="10" t="s">
        <v>159</v>
      </c>
      <c r="N1430" s="22"/>
      <c r="O1430" s="17"/>
      <c r="P1430" s="17"/>
      <c r="Q1430" s="18" t="s">
        <v>78</v>
      </c>
      <c r="R1430" s="18" t="s">
        <v>79</v>
      </c>
      <c r="S1430" s="18" t="s">
        <v>61</v>
      </c>
      <c r="T1430" s="18" t="s">
        <v>62</v>
      </c>
      <c r="U1430" s="19" t="s">
        <v>80</v>
      </c>
    </row>
    <row r="1431" spans="1:21" ht="15.75" customHeight="1" x14ac:dyDescent="0.25">
      <c r="A1431" s="27" t="s">
        <v>8540</v>
      </c>
      <c r="B1431" s="28" t="s">
        <v>8541</v>
      </c>
      <c r="C1431" s="29" t="s">
        <v>1294</v>
      </c>
      <c r="D1431" s="37" t="s">
        <v>109</v>
      </c>
      <c r="E1431" s="29" t="s">
        <v>67</v>
      </c>
      <c r="F1431" s="31">
        <v>48</v>
      </c>
      <c r="G1431" s="14" t="s">
        <v>119</v>
      </c>
      <c r="H1431" s="29" t="s">
        <v>69</v>
      </c>
      <c r="I1431" s="32" t="s">
        <v>8542</v>
      </c>
      <c r="J1431" s="28" t="s">
        <v>8543</v>
      </c>
      <c r="K1431" s="29" t="s">
        <v>7289</v>
      </c>
      <c r="L1431" s="27" t="s">
        <v>158</v>
      </c>
      <c r="M1431" s="28" t="s">
        <v>159</v>
      </c>
      <c r="N1431" s="38"/>
      <c r="O1431" s="34"/>
      <c r="P1431" s="34"/>
      <c r="Q1431" s="35" t="s">
        <v>78</v>
      </c>
      <c r="R1431" s="35" t="s">
        <v>79</v>
      </c>
      <c r="S1431" s="35" t="s">
        <v>61</v>
      </c>
      <c r="T1431" s="35" t="s">
        <v>62</v>
      </c>
      <c r="U1431" s="36" t="s">
        <v>80</v>
      </c>
    </row>
    <row r="1432" spans="1:21" ht="15.75" customHeight="1" x14ac:dyDescent="0.25">
      <c r="A1432" s="9" t="s">
        <v>8544</v>
      </c>
      <c r="B1432" s="10" t="s">
        <v>8545</v>
      </c>
      <c r="C1432" s="11" t="s">
        <v>1469</v>
      </c>
      <c r="D1432" s="21" t="s">
        <v>109</v>
      </c>
      <c r="E1432" s="11" t="s">
        <v>67</v>
      </c>
      <c r="F1432" s="13">
        <v>30</v>
      </c>
      <c r="G1432" s="14" t="s">
        <v>119</v>
      </c>
      <c r="H1432" s="11" t="s">
        <v>69</v>
      </c>
      <c r="I1432" s="15" t="s">
        <v>6659</v>
      </c>
      <c r="J1432" s="10" t="s">
        <v>8546</v>
      </c>
      <c r="K1432" s="11" t="s">
        <v>7614</v>
      </c>
      <c r="L1432" s="9" t="s">
        <v>158</v>
      </c>
      <c r="M1432" s="10" t="s">
        <v>159</v>
      </c>
      <c r="N1432" s="22"/>
      <c r="O1432" s="17"/>
      <c r="P1432" s="17"/>
      <c r="Q1432" s="18" t="s">
        <v>78</v>
      </c>
      <c r="R1432" s="18" t="s">
        <v>79</v>
      </c>
      <c r="S1432" s="18" t="s">
        <v>61</v>
      </c>
      <c r="T1432" s="18" t="s">
        <v>62</v>
      </c>
      <c r="U1432" s="19" t="s">
        <v>80</v>
      </c>
    </row>
    <row r="1433" spans="1:21" ht="15.75" customHeight="1" x14ac:dyDescent="0.25">
      <c r="A1433" s="27" t="s">
        <v>8547</v>
      </c>
      <c r="B1433" s="28" t="s">
        <v>8548</v>
      </c>
      <c r="C1433" s="29" t="s">
        <v>1815</v>
      </c>
      <c r="D1433" s="30" t="s">
        <v>8549</v>
      </c>
      <c r="E1433" s="29" t="s">
        <v>67</v>
      </c>
      <c r="F1433" s="31">
        <v>51</v>
      </c>
      <c r="G1433" s="14" t="s">
        <v>119</v>
      </c>
      <c r="H1433" s="29" t="s">
        <v>48</v>
      </c>
      <c r="I1433" s="32" t="s">
        <v>3547</v>
      </c>
      <c r="J1433" s="28" t="s">
        <v>8550</v>
      </c>
      <c r="K1433" s="29" t="s">
        <v>6894</v>
      </c>
      <c r="L1433" s="27" t="s">
        <v>158</v>
      </c>
      <c r="M1433" s="28" t="s">
        <v>159</v>
      </c>
      <c r="N1433" s="33" t="s">
        <v>75</v>
      </c>
      <c r="O1433" s="34" t="s">
        <v>2702</v>
      </c>
      <c r="P1433" s="34" t="s">
        <v>2703</v>
      </c>
      <c r="Q1433" s="35" t="s">
        <v>78</v>
      </c>
      <c r="R1433" s="35" t="s">
        <v>79</v>
      </c>
      <c r="S1433" s="35" t="s">
        <v>61</v>
      </c>
      <c r="T1433" s="35" t="s">
        <v>62</v>
      </c>
      <c r="U1433" s="36" t="s">
        <v>80</v>
      </c>
    </row>
    <row r="1434" spans="1:21" ht="15.75" customHeight="1" x14ac:dyDescent="0.25">
      <c r="A1434" s="9" t="s">
        <v>8551</v>
      </c>
      <c r="B1434" s="10" t="s">
        <v>8552</v>
      </c>
      <c r="C1434" s="11" t="s">
        <v>8553</v>
      </c>
      <c r="D1434" s="21" t="s">
        <v>109</v>
      </c>
      <c r="E1434" s="11" t="s">
        <v>47</v>
      </c>
      <c r="F1434" s="13">
        <v>130.5</v>
      </c>
      <c r="G1434" s="25" t="s">
        <v>110</v>
      </c>
      <c r="H1434" s="11" t="s">
        <v>330</v>
      </c>
      <c r="I1434" s="15" t="s">
        <v>1336</v>
      </c>
      <c r="J1434" s="10" t="s">
        <v>8554</v>
      </c>
      <c r="K1434" s="11" t="s">
        <v>2265</v>
      </c>
      <c r="L1434" s="9" t="s">
        <v>90</v>
      </c>
      <c r="M1434" s="10" t="s">
        <v>91</v>
      </c>
      <c r="N1434" s="22"/>
      <c r="O1434" s="17"/>
      <c r="P1434" s="17"/>
      <c r="Q1434" s="18" t="s">
        <v>78</v>
      </c>
      <c r="R1434" s="18" t="s">
        <v>79</v>
      </c>
      <c r="S1434" s="18" t="s">
        <v>61</v>
      </c>
      <c r="T1434" s="18" t="s">
        <v>62</v>
      </c>
      <c r="U1434" s="19" t="s">
        <v>80</v>
      </c>
    </row>
    <row r="1435" spans="1:21" ht="15.75" customHeight="1" x14ac:dyDescent="0.25">
      <c r="A1435" s="27" t="s">
        <v>8555</v>
      </c>
      <c r="B1435" s="28" t="s">
        <v>8556</v>
      </c>
      <c r="C1435" s="29" t="s">
        <v>8557</v>
      </c>
      <c r="D1435" s="37" t="s">
        <v>109</v>
      </c>
      <c r="E1435" s="29" t="s">
        <v>1264</v>
      </c>
      <c r="F1435" s="29"/>
      <c r="G1435" s="24" t="s">
        <v>85</v>
      </c>
      <c r="H1435" s="29" t="s">
        <v>100</v>
      </c>
      <c r="I1435" s="32" t="s">
        <v>8558</v>
      </c>
      <c r="J1435" s="28" t="s">
        <v>8559</v>
      </c>
      <c r="K1435" s="29"/>
      <c r="L1435" s="27"/>
      <c r="M1435" s="28"/>
      <c r="N1435" s="38"/>
      <c r="O1435" s="34"/>
      <c r="P1435" s="34"/>
      <c r="Q1435" s="35" t="s">
        <v>78</v>
      </c>
      <c r="R1435" s="35" t="s">
        <v>79</v>
      </c>
      <c r="S1435" s="35" t="s">
        <v>61</v>
      </c>
      <c r="T1435" s="35" t="s">
        <v>62</v>
      </c>
      <c r="U1435" s="36" t="s">
        <v>80</v>
      </c>
    </row>
    <row r="1436" spans="1:21" ht="15.75" customHeight="1" x14ac:dyDescent="0.25">
      <c r="A1436" s="9" t="s">
        <v>8560</v>
      </c>
      <c r="B1436" s="10" t="s">
        <v>8561</v>
      </c>
      <c r="C1436" s="11" t="s">
        <v>8562</v>
      </c>
      <c r="D1436" s="21" t="s">
        <v>109</v>
      </c>
      <c r="E1436" s="11" t="s">
        <v>98</v>
      </c>
      <c r="F1436" s="11"/>
      <c r="G1436" s="24" t="s">
        <v>85</v>
      </c>
      <c r="H1436" s="11" t="s">
        <v>100</v>
      </c>
      <c r="I1436" s="15" t="s">
        <v>6453</v>
      </c>
      <c r="J1436" s="10" t="s">
        <v>8563</v>
      </c>
      <c r="K1436" s="11"/>
      <c r="L1436" s="9"/>
      <c r="M1436" s="10"/>
      <c r="N1436" s="22"/>
      <c r="O1436" s="17"/>
      <c r="P1436" s="17"/>
      <c r="Q1436" s="18" t="s">
        <v>78</v>
      </c>
      <c r="R1436" s="18" t="s">
        <v>79</v>
      </c>
      <c r="S1436" s="18" t="s">
        <v>61</v>
      </c>
      <c r="T1436" s="18" t="s">
        <v>62</v>
      </c>
      <c r="U1436" s="19" t="s">
        <v>80</v>
      </c>
    </row>
    <row r="1437" spans="1:21" ht="15.75" customHeight="1" x14ac:dyDescent="0.25">
      <c r="A1437" s="27" t="s">
        <v>8564</v>
      </c>
      <c r="B1437" s="28" t="s">
        <v>8565</v>
      </c>
      <c r="C1437" s="29" t="s">
        <v>8566</v>
      </c>
      <c r="D1437" s="37" t="s">
        <v>109</v>
      </c>
      <c r="E1437" s="29" t="s">
        <v>98</v>
      </c>
      <c r="F1437" s="29"/>
      <c r="G1437" s="24" t="s">
        <v>85</v>
      </c>
      <c r="H1437" s="29" t="s">
        <v>100</v>
      </c>
      <c r="I1437" s="32" t="s">
        <v>4491</v>
      </c>
      <c r="J1437" s="28" t="s">
        <v>8567</v>
      </c>
      <c r="K1437" s="29"/>
      <c r="L1437" s="27"/>
      <c r="M1437" s="28"/>
      <c r="N1437" s="38"/>
      <c r="O1437" s="34"/>
      <c r="P1437" s="34"/>
      <c r="Q1437" s="35" t="s">
        <v>78</v>
      </c>
      <c r="R1437" s="35" t="s">
        <v>79</v>
      </c>
      <c r="S1437" s="35" t="s">
        <v>61</v>
      </c>
      <c r="T1437" s="35" t="s">
        <v>62</v>
      </c>
      <c r="U1437" s="36" t="s">
        <v>80</v>
      </c>
    </row>
    <row r="1438" spans="1:21" ht="15.75" customHeight="1" x14ac:dyDescent="0.25">
      <c r="A1438" s="9" t="s">
        <v>8568</v>
      </c>
      <c r="B1438" s="10" t="s">
        <v>8569</v>
      </c>
      <c r="C1438" s="11" t="s">
        <v>8570</v>
      </c>
      <c r="D1438" s="21" t="s">
        <v>109</v>
      </c>
      <c r="E1438" s="11" t="s">
        <v>47</v>
      </c>
      <c r="F1438" s="13">
        <v>230</v>
      </c>
      <c r="G1438" s="24" t="s">
        <v>85</v>
      </c>
      <c r="H1438" s="11" t="s">
        <v>129</v>
      </c>
      <c r="I1438" s="15" t="s">
        <v>4265</v>
      </c>
      <c r="J1438" s="10" t="s">
        <v>8571</v>
      </c>
      <c r="K1438" s="11" t="s">
        <v>348</v>
      </c>
      <c r="L1438" s="9" t="s">
        <v>197</v>
      </c>
      <c r="M1438" s="10" t="s">
        <v>198</v>
      </c>
      <c r="N1438" s="22"/>
      <c r="O1438" s="17"/>
      <c r="P1438" s="17"/>
      <c r="Q1438" s="18" t="s">
        <v>78</v>
      </c>
      <c r="R1438" s="18" t="s">
        <v>79</v>
      </c>
      <c r="S1438" s="18" t="s">
        <v>61</v>
      </c>
      <c r="T1438" s="18" t="s">
        <v>62</v>
      </c>
      <c r="U1438" s="19" t="s">
        <v>80</v>
      </c>
    </row>
    <row r="1439" spans="1:21" ht="15.75" customHeight="1" x14ac:dyDescent="0.25">
      <c r="A1439" s="27" t="s">
        <v>8572</v>
      </c>
      <c r="B1439" s="28" t="s">
        <v>8573</v>
      </c>
      <c r="C1439" s="29" t="s">
        <v>8574</v>
      </c>
      <c r="D1439" s="37" t="s">
        <v>109</v>
      </c>
      <c r="E1439" s="29" t="s">
        <v>47</v>
      </c>
      <c r="F1439" s="31">
        <v>139.5</v>
      </c>
      <c r="G1439" s="14" t="s">
        <v>119</v>
      </c>
      <c r="H1439" s="29" t="s">
        <v>330</v>
      </c>
      <c r="I1439" s="32" t="s">
        <v>8575</v>
      </c>
      <c r="J1439" s="28" t="s">
        <v>8576</v>
      </c>
      <c r="K1439" s="29" t="s">
        <v>903</v>
      </c>
      <c r="L1439" s="27" t="s">
        <v>158</v>
      </c>
      <c r="M1439" s="28" t="s">
        <v>159</v>
      </c>
      <c r="N1439" s="38"/>
      <c r="O1439" s="34"/>
      <c r="P1439" s="34"/>
      <c r="Q1439" s="35" t="s">
        <v>78</v>
      </c>
      <c r="R1439" s="35" t="s">
        <v>79</v>
      </c>
      <c r="S1439" s="35" t="s">
        <v>61</v>
      </c>
      <c r="T1439" s="35" t="s">
        <v>62</v>
      </c>
      <c r="U1439" s="36" t="s">
        <v>80</v>
      </c>
    </row>
    <row r="1440" spans="1:21" ht="15.75" customHeight="1" x14ac:dyDescent="0.25">
      <c r="A1440" s="9" t="s">
        <v>8577</v>
      </c>
      <c r="B1440" s="10" t="s">
        <v>8578</v>
      </c>
      <c r="C1440" s="11" t="s">
        <v>8579</v>
      </c>
      <c r="D1440" s="21" t="s">
        <v>109</v>
      </c>
      <c r="E1440" s="11" t="s">
        <v>47</v>
      </c>
      <c r="F1440" s="13">
        <v>68</v>
      </c>
      <c r="G1440" s="14" t="s">
        <v>119</v>
      </c>
      <c r="H1440" s="11" t="s">
        <v>48</v>
      </c>
      <c r="I1440" s="15" t="s">
        <v>6758</v>
      </c>
      <c r="J1440" s="10" t="s">
        <v>8580</v>
      </c>
      <c r="K1440" s="11" t="s">
        <v>8581</v>
      </c>
      <c r="L1440" s="9" t="s">
        <v>158</v>
      </c>
      <c r="M1440" s="10" t="s">
        <v>159</v>
      </c>
      <c r="N1440" s="22"/>
      <c r="O1440" s="17"/>
      <c r="P1440" s="17"/>
      <c r="Q1440" s="18" t="s">
        <v>78</v>
      </c>
      <c r="R1440" s="18" t="s">
        <v>79</v>
      </c>
      <c r="S1440" s="18" t="s">
        <v>61</v>
      </c>
      <c r="T1440" s="18" t="s">
        <v>62</v>
      </c>
      <c r="U1440" s="19" t="s">
        <v>80</v>
      </c>
    </row>
    <row r="1441" spans="1:21" ht="15.75" customHeight="1" x14ac:dyDescent="0.25">
      <c r="A1441" s="27" t="s">
        <v>8582</v>
      </c>
      <c r="B1441" s="28" t="s">
        <v>8583</v>
      </c>
      <c r="C1441" s="29" t="s">
        <v>8584</v>
      </c>
      <c r="D1441" s="37" t="s">
        <v>109</v>
      </c>
      <c r="E1441" s="29" t="s">
        <v>47</v>
      </c>
      <c r="F1441" s="31">
        <v>199</v>
      </c>
      <c r="G1441" s="24" t="s">
        <v>85</v>
      </c>
      <c r="H1441" s="29" t="s">
        <v>86</v>
      </c>
      <c r="I1441" s="32" t="s">
        <v>6667</v>
      </c>
      <c r="J1441" s="28" t="s">
        <v>8585</v>
      </c>
      <c r="K1441" s="29"/>
      <c r="L1441" s="27"/>
      <c r="M1441" s="28"/>
      <c r="N1441" s="38"/>
      <c r="O1441" s="34"/>
      <c r="P1441" s="34"/>
      <c r="Q1441" s="35" t="s">
        <v>78</v>
      </c>
      <c r="R1441" s="35" t="s">
        <v>79</v>
      </c>
      <c r="S1441" s="35" t="s">
        <v>61</v>
      </c>
      <c r="T1441" s="35" t="s">
        <v>62</v>
      </c>
      <c r="U1441" s="36" t="s">
        <v>80</v>
      </c>
    </row>
    <row r="1442" spans="1:21" ht="15.75" customHeight="1" x14ac:dyDescent="0.25">
      <c r="A1442" s="9" t="s">
        <v>8586</v>
      </c>
      <c r="B1442" s="10" t="s">
        <v>8587</v>
      </c>
      <c r="C1442" s="11" t="s">
        <v>8588</v>
      </c>
      <c r="D1442" s="21" t="s">
        <v>109</v>
      </c>
      <c r="E1442" s="11" t="s">
        <v>47</v>
      </c>
      <c r="F1442" s="13">
        <v>155</v>
      </c>
      <c r="G1442" s="25" t="s">
        <v>110</v>
      </c>
      <c r="H1442" s="11" t="s">
        <v>86</v>
      </c>
      <c r="I1442" s="15" t="s">
        <v>1408</v>
      </c>
      <c r="J1442" s="10" t="s">
        <v>8589</v>
      </c>
      <c r="K1442" s="11" t="s">
        <v>8590</v>
      </c>
      <c r="L1442" s="9" t="s">
        <v>90</v>
      </c>
      <c r="M1442" s="10" t="s">
        <v>91</v>
      </c>
      <c r="N1442" s="22"/>
      <c r="O1442" s="17"/>
      <c r="P1442" s="17"/>
      <c r="Q1442" s="18" t="s">
        <v>78</v>
      </c>
      <c r="R1442" s="18" t="s">
        <v>79</v>
      </c>
      <c r="S1442" s="18" t="s">
        <v>61</v>
      </c>
      <c r="T1442" s="18" t="s">
        <v>62</v>
      </c>
      <c r="U1442" s="19" t="s">
        <v>80</v>
      </c>
    </row>
    <row r="1443" spans="1:21" ht="15.75" customHeight="1" x14ac:dyDescent="0.25">
      <c r="A1443" s="27" t="s">
        <v>8591</v>
      </c>
      <c r="B1443" s="28" t="s">
        <v>8592</v>
      </c>
      <c r="C1443" s="29" t="s">
        <v>8593</v>
      </c>
      <c r="D1443" s="37" t="s">
        <v>109</v>
      </c>
      <c r="E1443" s="29" t="s">
        <v>47</v>
      </c>
      <c r="F1443" s="31">
        <v>81</v>
      </c>
      <c r="G1443" s="25" t="s">
        <v>110</v>
      </c>
      <c r="H1443" s="29" t="s">
        <v>48</v>
      </c>
      <c r="I1443" s="32" t="s">
        <v>6675</v>
      </c>
      <c r="J1443" s="28" t="s">
        <v>8594</v>
      </c>
      <c r="K1443" s="29" t="s">
        <v>7375</v>
      </c>
      <c r="L1443" s="27" t="s">
        <v>90</v>
      </c>
      <c r="M1443" s="28" t="s">
        <v>91</v>
      </c>
      <c r="N1443" s="38"/>
      <c r="O1443" s="34"/>
      <c r="P1443" s="34"/>
      <c r="Q1443" s="35" t="s">
        <v>78</v>
      </c>
      <c r="R1443" s="35" t="s">
        <v>79</v>
      </c>
      <c r="S1443" s="35" t="s">
        <v>61</v>
      </c>
      <c r="T1443" s="35" t="s">
        <v>62</v>
      </c>
      <c r="U1443" s="36" t="s">
        <v>80</v>
      </c>
    </row>
    <row r="1444" spans="1:21" ht="15.75" customHeight="1" x14ac:dyDescent="0.25">
      <c r="A1444" s="9" t="s">
        <v>8595</v>
      </c>
      <c r="B1444" s="10" t="s">
        <v>8596</v>
      </c>
      <c r="C1444" s="11" t="s">
        <v>8597</v>
      </c>
      <c r="D1444" s="21" t="s">
        <v>109</v>
      </c>
      <c r="E1444" s="11" t="s">
        <v>47</v>
      </c>
      <c r="F1444" s="13">
        <v>86.3</v>
      </c>
      <c r="G1444" s="14" t="s">
        <v>119</v>
      </c>
      <c r="H1444" s="11" t="s">
        <v>48</v>
      </c>
      <c r="I1444" s="15" t="s">
        <v>6338</v>
      </c>
      <c r="J1444" s="10" t="s">
        <v>8598</v>
      </c>
      <c r="K1444" s="11" t="s">
        <v>8599</v>
      </c>
      <c r="L1444" s="9" t="s">
        <v>158</v>
      </c>
      <c r="M1444" s="10" t="s">
        <v>159</v>
      </c>
      <c r="N1444" s="22"/>
      <c r="O1444" s="17"/>
      <c r="P1444" s="17"/>
      <c r="Q1444" s="18" t="s">
        <v>78</v>
      </c>
      <c r="R1444" s="18" t="s">
        <v>79</v>
      </c>
      <c r="S1444" s="18" t="s">
        <v>61</v>
      </c>
      <c r="T1444" s="18" t="s">
        <v>62</v>
      </c>
      <c r="U1444" s="19" t="s">
        <v>80</v>
      </c>
    </row>
    <row r="1445" spans="1:21" ht="15.75" customHeight="1" x14ac:dyDescent="0.25">
      <c r="A1445" s="27" t="s">
        <v>8600</v>
      </c>
      <c r="B1445" s="28" t="s">
        <v>8601</v>
      </c>
      <c r="C1445" s="29" t="s">
        <v>8602</v>
      </c>
      <c r="D1445" s="37" t="s">
        <v>109</v>
      </c>
      <c r="E1445" s="29" t="s">
        <v>98</v>
      </c>
      <c r="F1445" s="31">
        <v>265</v>
      </c>
      <c r="G1445" s="25" t="s">
        <v>110</v>
      </c>
      <c r="H1445" s="29" t="s">
        <v>129</v>
      </c>
      <c r="I1445" s="32" t="s">
        <v>8603</v>
      </c>
      <c r="J1445" s="28" t="s">
        <v>8604</v>
      </c>
      <c r="K1445" s="29" t="s">
        <v>4252</v>
      </c>
      <c r="L1445" s="27" t="s">
        <v>90</v>
      </c>
      <c r="M1445" s="28" t="s">
        <v>91</v>
      </c>
      <c r="N1445" s="38"/>
      <c r="O1445" s="34"/>
      <c r="P1445" s="34"/>
      <c r="Q1445" s="35" t="s">
        <v>78</v>
      </c>
      <c r="R1445" s="35" t="s">
        <v>79</v>
      </c>
      <c r="S1445" s="35" t="s">
        <v>61</v>
      </c>
      <c r="T1445" s="35" t="s">
        <v>62</v>
      </c>
      <c r="U1445" s="36" t="s">
        <v>80</v>
      </c>
    </row>
    <row r="1446" spans="1:21" ht="15.75" customHeight="1" x14ac:dyDescent="0.25">
      <c r="A1446" s="9" t="s">
        <v>8605</v>
      </c>
      <c r="B1446" s="10" t="s">
        <v>8606</v>
      </c>
      <c r="C1446" s="11" t="s">
        <v>8607</v>
      </c>
      <c r="D1446" s="21" t="s">
        <v>109</v>
      </c>
      <c r="E1446" s="11" t="s">
        <v>98</v>
      </c>
      <c r="F1446" s="11" t="s">
        <v>244</v>
      </c>
      <c r="G1446" s="25" t="s">
        <v>110</v>
      </c>
      <c r="H1446" s="11" t="s">
        <v>100</v>
      </c>
      <c r="I1446" s="15" t="s">
        <v>1343</v>
      </c>
      <c r="J1446" s="10" t="s">
        <v>8608</v>
      </c>
      <c r="K1446" s="11" t="s">
        <v>8609</v>
      </c>
      <c r="L1446" s="9" t="s">
        <v>90</v>
      </c>
      <c r="M1446" s="10" t="s">
        <v>91</v>
      </c>
      <c r="N1446" s="22"/>
      <c r="O1446" s="17"/>
      <c r="P1446" s="17"/>
      <c r="Q1446" s="18" t="s">
        <v>78</v>
      </c>
      <c r="R1446" s="18" t="s">
        <v>79</v>
      </c>
      <c r="S1446" s="18" t="s">
        <v>61</v>
      </c>
      <c r="T1446" s="18" t="s">
        <v>62</v>
      </c>
      <c r="U1446" s="19" t="s">
        <v>80</v>
      </c>
    </row>
    <row r="1447" spans="1:21" ht="15.75" customHeight="1" x14ac:dyDescent="0.25">
      <c r="A1447" s="27" t="s">
        <v>8610</v>
      </c>
      <c r="B1447" s="28" t="s">
        <v>8611</v>
      </c>
      <c r="C1447" s="29" t="s">
        <v>8612</v>
      </c>
      <c r="D1447" s="37" t="s">
        <v>109</v>
      </c>
      <c r="E1447" s="29" t="s">
        <v>98</v>
      </c>
      <c r="F1447" s="29" t="s">
        <v>8613</v>
      </c>
      <c r="G1447" s="25" t="s">
        <v>110</v>
      </c>
      <c r="H1447" s="29" t="s">
        <v>120</v>
      </c>
      <c r="I1447" s="32" t="s">
        <v>8614</v>
      </c>
      <c r="J1447" s="28" t="s">
        <v>8615</v>
      </c>
      <c r="K1447" s="29" t="s">
        <v>8616</v>
      </c>
      <c r="L1447" s="27" t="s">
        <v>481</v>
      </c>
      <c r="M1447" s="28" t="s">
        <v>482</v>
      </c>
      <c r="N1447" s="38"/>
      <c r="O1447" s="34"/>
      <c r="P1447" s="34"/>
      <c r="Q1447" s="35" t="s">
        <v>78</v>
      </c>
      <c r="R1447" s="35" t="s">
        <v>79</v>
      </c>
      <c r="S1447" s="35" t="s">
        <v>61</v>
      </c>
      <c r="T1447" s="35" t="s">
        <v>62</v>
      </c>
      <c r="U1447" s="36" t="s">
        <v>80</v>
      </c>
    </row>
    <row r="1448" spans="1:21" ht="15.75" customHeight="1" x14ac:dyDescent="0.25">
      <c r="A1448" s="9" t="s">
        <v>8617</v>
      </c>
      <c r="B1448" s="10" t="s">
        <v>8618</v>
      </c>
      <c r="C1448" s="11" t="s">
        <v>8619</v>
      </c>
      <c r="D1448" s="21" t="s">
        <v>109</v>
      </c>
      <c r="E1448" s="11" t="s">
        <v>98</v>
      </c>
      <c r="F1448" s="11" t="s">
        <v>8620</v>
      </c>
      <c r="G1448" s="24" t="s">
        <v>85</v>
      </c>
      <c r="H1448" s="11" t="s">
        <v>100</v>
      </c>
      <c r="I1448" s="15" t="s">
        <v>6694</v>
      </c>
      <c r="J1448" s="10" t="s">
        <v>8621</v>
      </c>
      <c r="K1448" s="11"/>
      <c r="L1448" s="9"/>
      <c r="M1448" s="10"/>
      <c r="N1448" s="22"/>
      <c r="O1448" s="17"/>
      <c r="P1448" s="17"/>
      <c r="Q1448" s="18" t="s">
        <v>78</v>
      </c>
      <c r="R1448" s="18" t="s">
        <v>79</v>
      </c>
      <c r="S1448" s="18" t="s">
        <v>61</v>
      </c>
      <c r="T1448" s="18" t="s">
        <v>62</v>
      </c>
      <c r="U1448" s="19" t="s">
        <v>80</v>
      </c>
    </row>
    <row r="1449" spans="1:21" ht="15.75" customHeight="1" x14ac:dyDescent="0.25">
      <c r="A1449" s="27" t="s">
        <v>8622</v>
      </c>
      <c r="B1449" s="28" t="s">
        <v>8623</v>
      </c>
      <c r="C1449" s="29" t="s">
        <v>8624</v>
      </c>
      <c r="D1449" s="37" t="s">
        <v>109</v>
      </c>
      <c r="E1449" s="29" t="s">
        <v>98</v>
      </c>
      <c r="F1449" s="29"/>
      <c r="G1449" s="25" t="s">
        <v>110</v>
      </c>
      <c r="H1449" s="29" t="s">
        <v>100</v>
      </c>
      <c r="I1449" s="32" t="s">
        <v>8625</v>
      </c>
      <c r="J1449" s="28" t="s">
        <v>8626</v>
      </c>
      <c r="K1449" s="29" t="s">
        <v>933</v>
      </c>
      <c r="L1449" s="27" t="s">
        <v>90</v>
      </c>
      <c r="M1449" s="28" t="s">
        <v>91</v>
      </c>
      <c r="N1449" s="38"/>
      <c r="O1449" s="34"/>
      <c r="P1449" s="34"/>
      <c r="Q1449" s="35" t="s">
        <v>78</v>
      </c>
      <c r="R1449" s="35" t="s">
        <v>79</v>
      </c>
      <c r="S1449" s="35" t="s">
        <v>61</v>
      </c>
      <c r="T1449" s="35" t="s">
        <v>62</v>
      </c>
      <c r="U1449" s="36" t="s">
        <v>80</v>
      </c>
    </row>
    <row r="1450" spans="1:21" ht="15.75" customHeight="1" x14ac:dyDescent="0.25">
      <c r="A1450" s="9" t="s">
        <v>8627</v>
      </c>
      <c r="B1450" s="10" t="s">
        <v>8628</v>
      </c>
      <c r="C1450" s="11" t="s">
        <v>8629</v>
      </c>
      <c r="D1450" s="21" t="s">
        <v>109</v>
      </c>
      <c r="E1450" s="11" t="s">
        <v>98</v>
      </c>
      <c r="F1450" s="11" t="s">
        <v>8630</v>
      </c>
      <c r="G1450" s="24" t="s">
        <v>85</v>
      </c>
      <c r="H1450" s="11" t="s">
        <v>120</v>
      </c>
      <c r="I1450" s="15" t="s">
        <v>4497</v>
      </c>
      <c r="J1450" s="10" t="s">
        <v>8631</v>
      </c>
      <c r="K1450" s="11"/>
      <c r="L1450" s="9"/>
      <c r="M1450" s="10"/>
      <c r="N1450" s="22"/>
      <c r="O1450" s="17"/>
      <c r="P1450" s="17"/>
      <c r="Q1450" s="18" t="s">
        <v>78</v>
      </c>
      <c r="R1450" s="18" t="s">
        <v>79</v>
      </c>
      <c r="S1450" s="18" t="s">
        <v>61</v>
      </c>
      <c r="T1450" s="18" t="s">
        <v>62</v>
      </c>
      <c r="U1450" s="19" t="s">
        <v>80</v>
      </c>
    </row>
    <row r="1451" spans="1:21" ht="15.75" customHeight="1" x14ac:dyDescent="0.25">
      <c r="A1451" s="27" t="s">
        <v>8632</v>
      </c>
      <c r="B1451" s="28" t="s">
        <v>8633</v>
      </c>
      <c r="C1451" s="29" t="s">
        <v>8634</v>
      </c>
      <c r="D1451" s="37" t="s">
        <v>109</v>
      </c>
      <c r="E1451" s="29" t="s">
        <v>1264</v>
      </c>
      <c r="F1451" s="29"/>
      <c r="G1451" s="24" t="s">
        <v>85</v>
      </c>
      <c r="H1451" s="29" t="s">
        <v>100</v>
      </c>
      <c r="I1451" s="32" t="s">
        <v>8635</v>
      </c>
      <c r="J1451" s="28" t="s">
        <v>8636</v>
      </c>
      <c r="K1451" s="29"/>
      <c r="L1451" s="27"/>
      <c r="M1451" s="28"/>
      <c r="N1451" s="38"/>
      <c r="O1451" s="34"/>
      <c r="P1451" s="34"/>
      <c r="Q1451" s="35" t="s">
        <v>78</v>
      </c>
      <c r="R1451" s="35" t="s">
        <v>79</v>
      </c>
      <c r="S1451" s="35" t="s">
        <v>61</v>
      </c>
      <c r="T1451" s="35" t="s">
        <v>62</v>
      </c>
      <c r="U1451" s="36" t="s">
        <v>80</v>
      </c>
    </row>
    <row r="1452" spans="1:21" ht="15.75" customHeight="1" x14ac:dyDescent="0.25">
      <c r="A1452" s="9" t="s">
        <v>8637</v>
      </c>
      <c r="B1452" s="10" t="s">
        <v>8638</v>
      </c>
      <c r="C1452" s="11" t="s">
        <v>8639</v>
      </c>
      <c r="D1452" s="21" t="s">
        <v>109</v>
      </c>
      <c r="E1452" s="11" t="s">
        <v>98</v>
      </c>
      <c r="F1452" s="13">
        <v>304</v>
      </c>
      <c r="G1452" s="14" t="s">
        <v>119</v>
      </c>
      <c r="H1452" s="11" t="s">
        <v>129</v>
      </c>
      <c r="I1452" s="15" t="s">
        <v>8640</v>
      </c>
      <c r="J1452" s="10" t="s">
        <v>8641</v>
      </c>
      <c r="K1452" s="11" t="s">
        <v>8642</v>
      </c>
      <c r="L1452" s="9" t="s">
        <v>1698</v>
      </c>
      <c r="M1452" s="10" t="s">
        <v>1699</v>
      </c>
      <c r="N1452" s="22"/>
      <c r="O1452" s="17"/>
      <c r="P1452" s="17"/>
      <c r="Q1452" s="18" t="s">
        <v>78</v>
      </c>
      <c r="R1452" s="18" t="s">
        <v>79</v>
      </c>
      <c r="S1452" s="18" t="s">
        <v>61</v>
      </c>
      <c r="T1452" s="18" t="s">
        <v>62</v>
      </c>
      <c r="U1452" s="19" t="s">
        <v>80</v>
      </c>
    </row>
    <row r="1453" spans="1:21" ht="15.75" customHeight="1" x14ac:dyDescent="0.25">
      <c r="A1453" s="27" t="s">
        <v>8643</v>
      </c>
      <c r="B1453" s="28" t="s">
        <v>8644</v>
      </c>
      <c r="C1453" s="29" t="s">
        <v>8645</v>
      </c>
      <c r="D1453" s="30" t="s">
        <v>8646</v>
      </c>
      <c r="E1453" s="29" t="s">
        <v>47</v>
      </c>
      <c r="F1453" s="31">
        <v>223</v>
      </c>
      <c r="G1453" s="20" t="s">
        <v>85</v>
      </c>
      <c r="H1453" s="29" t="s">
        <v>129</v>
      </c>
      <c r="I1453" s="32" t="s">
        <v>6773</v>
      </c>
      <c r="J1453" s="28" t="s">
        <v>8647</v>
      </c>
      <c r="K1453" s="29"/>
      <c r="L1453" s="27"/>
      <c r="M1453" s="28"/>
      <c r="N1453" s="39" t="s">
        <v>179</v>
      </c>
      <c r="O1453" s="34" t="s">
        <v>292</v>
      </c>
      <c r="P1453" s="34" t="s">
        <v>293</v>
      </c>
      <c r="Q1453" s="35" t="s">
        <v>78</v>
      </c>
      <c r="R1453" s="35" t="s">
        <v>79</v>
      </c>
      <c r="S1453" s="35" t="s">
        <v>61</v>
      </c>
      <c r="T1453" s="35" t="s">
        <v>62</v>
      </c>
      <c r="U1453" s="36" t="s">
        <v>80</v>
      </c>
    </row>
    <row r="1454" spans="1:21" ht="15.75" customHeight="1" x14ac:dyDescent="0.25">
      <c r="A1454" s="9" t="s">
        <v>8648</v>
      </c>
      <c r="B1454" s="10" t="s">
        <v>8649</v>
      </c>
      <c r="C1454" s="11" t="s">
        <v>8650</v>
      </c>
      <c r="D1454" s="21" t="s">
        <v>109</v>
      </c>
      <c r="E1454" s="11" t="s">
        <v>1264</v>
      </c>
      <c r="F1454" s="11"/>
      <c r="G1454" s="24" t="s">
        <v>85</v>
      </c>
      <c r="H1454" s="11" t="s">
        <v>100</v>
      </c>
      <c r="I1454" s="15" t="s">
        <v>8651</v>
      </c>
      <c r="J1454" s="10" t="s">
        <v>8652</v>
      </c>
      <c r="K1454" s="11"/>
      <c r="L1454" s="9"/>
      <c r="M1454" s="10"/>
      <c r="N1454" s="22"/>
      <c r="O1454" s="17"/>
      <c r="P1454" s="17"/>
      <c r="Q1454" s="18" t="s">
        <v>78</v>
      </c>
      <c r="R1454" s="18" t="s">
        <v>79</v>
      </c>
      <c r="S1454" s="18" t="s">
        <v>61</v>
      </c>
      <c r="T1454" s="18" t="s">
        <v>62</v>
      </c>
      <c r="U1454" s="19" t="s">
        <v>80</v>
      </c>
    </row>
    <row r="1455" spans="1:21" ht="15.75" customHeight="1" x14ac:dyDescent="0.25">
      <c r="A1455" s="27" t="s">
        <v>8653</v>
      </c>
      <c r="B1455" s="28" t="s">
        <v>8654</v>
      </c>
      <c r="C1455" s="29" t="s">
        <v>8655</v>
      </c>
      <c r="D1455" s="37" t="s">
        <v>109</v>
      </c>
      <c r="E1455" s="29" t="s">
        <v>98</v>
      </c>
      <c r="F1455" s="29" t="s">
        <v>99</v>
      </c>
      <c r="G1455" s="24" t="s">
        <v>85</v>
      </c>
      <c r="H1455" s="29" t="s">
        <v>100</v>
      </c>
      <c r="I1455" s="32" t="s">
        <v>8656</v>
      </c>
      <c r="J1455" s="28" t="s">
        <v>8657</v>
      </c>
      <c r="K1455" s="29"/>
      <c r="L1455" s="27"/>
      <c r="M1455" s="28"/>
      <c r="N1455" s="38"/>
      <c r="O1455" s="34"/>
      <c r="P1455" s="34"/>
      <c r="Q1455" s="35" t="s">
        <v>78</v>
      </c>
      <c r="R1455" s="35" t="s">
        <v>79</v>
      </c>
      <c r="S1455" s="35" t="s">
        <v>61</v>
      </c>
      <c r="T1455" s="35" t="s">
        <v>62</v>
      </c>
      <c r="U1455" s="36" t="s">
        <v>80</v>
      </c>
    </row>
    <row r="1456" spans="1:21" ht="15.75" customHeight="1" x14ac:dyDescent="0.25">
      <c r="A1456" s="9" t="s">
        <v>8658</v>
      </c>
      <c r="B1456" s="10" t="s">
        <v>8659</v>
      </c>
      <c r="C1456" s="11" t="s">
        <v>8660</v>
      </c>
      <c r="D1456" s="21" t="s">
        <v>109</v>
      </c>
      <c r="E1456" s="11" t="s">
        <v>98</v>
      </c>
      <c r="F1456" s="13">
        <v>2355</v>
      </c>
      <c r="G1456" s="14" t="s">
        <v>119</v>
      </c>
      <c r="H1456" s="11" t="s">
        <v>129</v>
      </c>
      <c r="I1456" s="15" t="s">
        <v>8661</v>
      </c>
      <c r="J1456" s="10" t="s">
        <v>8662</v>
      </c>
      <c r="K1456" s="11" t="s">
        <v>7859</v>
      </c>
      <c r="L1456" s="9" t="s">
        <v>1698</v>
      </c>
      <c r="M1456" s="10" t="s">
        <v>1699</v>
      </c>
      <c r="N1456" s="22"/>
      <c r="O1456" s="17"/>
      <c r="P1456" s="17"/>
      <c r="Q1456" s="18" t="s">
        <v>78</v>
      </c>
      <c r="R1456" s="18" t="s">
        <v>79</v>
      </c>
      <c r="S1456" s="18" t="s">
        <v>61</v>
      </c>
      <c r="T1456" s="18" t="s">
        <v>62</v>
      </c>
      <c r="U1456" s="19" t="s">
        <v>80</v>
      </c>
    </row>
    <row r="1457" spans="1:21" ht="15.75" customHeight="1" x14ac:dyDescent="0.25">
      <c r="A1457" s="27" t="s">
        <v>8663</v>
      </c>
      <c r="B1457" s="28" t="s">
        <v>8664</v>
      </c>
      <c r="C1457" s="29" t="s">
        <v>8665</v>
      </c>
      <c r="D1457" s="37" t="s">
        <v>109</v>
      </c>
      <c r="E1457" s="29" t="s">
        <v>98</v>
      </c>
      <c r="F1457" s="31">
        <v>190</v>
      </c>
      <c r="G1457" s="24" t="s">
        <v>85</v>
      </c>
      <c r="H1457" s="29" t="s">
        <v>86</v>
      </c>
      <c r="I1457" s="32" t="s">
        <v>8666</v>
      </c>
      <c r="J1457" s="28" t="s">
        <v>8667</v>
      </c>
      <c r="K1457" s="29"/>
      <c r="L1457" s="27"/>
      <c r="M1457" s="28"/>
      <c r="N1457" s="38"/>
      <c r="O1457" s="34"/>
      <c r="P1457" s="34"/>
      <c r="Q1457" s="35" t="s">
        <v>78</v>
      </c>
      <c r="R1457" s="35" t="s">
        <v>79</v>
      </c>
      <c r="S1457" s="35" t="s">
        <v>61</v>
      </c>
      <c r="T1457" s="35" t="s">
        <v>62</v>
      </c>
      <c r="U1457" s="36" t="s">
        <v>80</v>
      </c>
    </row>
    <row r="1458" spans="1:21" ht="15.75" customHeight="1" x14ac:dyDescent="0.25">
      <c r="A1458" s="9" t="s">
        <v>8668</v>
      </c>
      <c r="B1458" s="10" t="s">
        <v>8669</v>
      </c>
      <c r="C1458" s="11" t="s">
        <v>8670</v>
      </c>
      <c r="D1458" s="21" t="s">
        <v>109</v>
      </c>
      <c r="E1458" s="11" t="s">
        <v>98</v>
      </c>
      <c r="F1458" s="11"/>
      <c r="G1458" s="24" t="s">
        <v>85</v>
      </c>
      <c r="H1458" s="11" t="s">
        <v>100</v>
      </c>
      <c r="I1458" s="15" t="s">
        <v>8479</v>
      </c>
      <c r="J1458" s="10" t="s">
        <v>8671</v>
      </c>
      <c r="K1458" s="11"/>
      <c r="L1458" s="9"/>
      <c r="M1458" s="10"/>
      <c r="N1458" s="22"/>
      <c r="O1458" s="17"/>
      <c r="P1458" s="17"/>
      <c r="Q1458" s="18" t="s">
        <v>78</v>
      </c>
      <c r="R1458" s="18" t="s">
        <v>79</v>
      </c>
      <c r="S1458" s="18" t="s">
        <v>61</v>
      </c>
      <c r="T1458" s="18" t="s">
        <v>62</v>
      </c>
      <c r="U1458" s="19" t="s">
        <v>80</v>
      </c>
    </row>
    <row r="1459" spans="1:21" ht="15.75" customHeight="1" x14ac:dyDescent="0.25">
      <c r="A1459" s="27" t="s">
        <v>8672</v>
      </c>
      <c r="B1459" s="28" t="s">
        <v>8673</v>
      </c>
      <c r="C1459" s="29" t="s">
        <v>8674</v>
      </c>
      <c r="D1459" s="37" t="s">
        <v>109</v>
      </c>
      <c r="E1459" s="29"/>
      <c r="F1459" s="29"/>
      <c r="G1459" s="24" t="s">
        <v>85</v>
      </c>
      <c r="H1459" s="29" t="s">
        <v>120</v>
      </c>
      <c r="I1459" s="32" t="s">
        <v>8675</v>
      </c>
      <c r="J1459" s="28" t="s">
        <v>8676</v>
      </c>
      <c r="K1459" s="29"/>
      <c r="L1459" s="27"/>
      <c r="M1459" s="28"/>
      <c r="N1459" s="38"/>
      <c r="O1459" s="34"/>
      <c r="P1459" s="34"/>
      <c r="Q1459" s="35" t="s">
        <v>78</v>
      </c>
      <c r="R1459" s="35" t="s">
        <v>79</v>
      </c>
      <c r="S1459" s="35" t="s">
        <v>61</v>
      </c>
      <c r="T1459" s="35" t="s">
        <v>62</v>
      </c>
      <c r="U1459" s="36" t="s">
        <v>80</v>
      </c>
    </row>
    <row r="1460" spans="1:21" ht="15.75" customHeight="1" x14ac:dyDescent="0.25">
      <c r="A1460" s="9" t="s">
        <v>8677</v>
      </c>
      <c r="B1460" s="10" t="s">
        <v>8678</v>
      </c>
      <c r="C1460" s="11" t="s">
        <v>8679</v>
      </c>
      <c r="D1460" s="21" t="s">
        <v>109</v>
      </c>
      <c r="E1460" s="11" t="s">
        <v>98</v>
      </c>
      <c r="F1460" s="13">
        <v>249</v>
      </c>
      <c r="G1460" s="24" t="s">
        <v>85</v>
      </c>
      <c r="H1460" s="11" t="s">
        <v>129</v>
      </c>
      <c r="I1460" s="15" t="s">
        <v>8680</v>
      </c>
      <c r="J1460" s="10" t="s">
        <v>8681</v>
      </c>
      <c r="K1460" s="11"/>
      <c r="L1460" s="9"/>
      <c r="M1460" s="10"/>
      <c r="N1460" s="22"/>
      <c r="O1460" s="17"/>
      <c r="P1460" s="17"/>
      <c r="Q1460" s="18" t="s">
        <v>78</v>
      </c>
      <c r="R1460" s="18" t="s">
        <v>79</v>
      </c>
      <c r="S1460" s="18" t="s">
        <v>61</v>
      </c>
      <c r="T1460" s="18" t="s">
        <v>62</v>
      </c>
      <c r="U1460" s="19" t="s">
        <v>80</v>
      </c>
    </row>
    <row r="1461" spans="1:21" ht="15.75" customHeight="1" x14ac:dyDescent="0.25">
      <c r="A1461" s="27" t="s">
        <v>8682</v>
      </c>
      <c r="B1461" s="28" t="s">
        <v>8683</v>
      </c>
      <c r="C1461" s="29" t="s">
        <v>8684</v>
      </c>
      <c r="D1461" s="37" t="s">
        <v>109</v>
      </c>
      <c r="E1461" s="29" t="s">
        <v>47</v>
      </c>
      <c r="F1461" s="31">
        <v>110</v>
      </c>
      <c r="G1461" s="14" t="s">
        <v>119</v>
      </c>
      <c r="H1461" s="29" t="s">
        <v>330</v>
      </c>
      <c r="I1461" s="32" t="s">
        <v>8685</v>
      </c>
      <c r="J1461" s="28" t="s">
        <v>8686</v>
      </c>
      <c r="K1461" s="29" t="s">
        <v>8687</v>
      </c>
      <c r="L1461" s="27" t="s">
        <v>158</v>
      </c>
      <c r="M1461" s="28" t="s">
        <v>159</v>
      </c>
      <c r="N1461" s="38"/>
      <c r="O1461" s="34"/>
      <c r="P1461" s="34"/>
      <c r="Q1461" s="35" t="s">
        <v>78</v>
      </c>
      <c r="R1461" s="35" t="s">
        <v>79</v>
      </c>
      <c r="S1461" s="35" t="s">
        <v>61</v>
      </c>
      <c r="T1461" s="35" t="s">
        <v>62</v>
      </c>
      <c r="U1461" s="36" t="s">
        <v>80</v>
      </c>
    </row>
    <row r="1462" spans="1:21" ht="15.75" customHeight="1" x14ac:dyDescent="0.25">
      <c r="A1462" s="9" t="s">
        <v>8688</v>
      </c>
      <c r="B1462" s="10" t="s">
        <v>8689</v>
      </c>
      <c r="C1462" s="11" t="s">
        <v>8690</v>
      </c>
      <c r="D1462" s="21" t="s">
        <v>109</v>
      </c>
      <c r="E1462" s="11" t="s">
        <v>98</v>
      </c>
      <c r="F1462" s="13">
        <v>157</v>
      </c>
      <c r="G1462" s="24" t="s">
        <v>85</v>
      </c>
      <c r="H1462" s="11" t="s">
        <v>86</v>
      </c>
      <c r="I1462" s="15" t="s">
        <v>7131</v>
      </c>
      <c r="J1462" s="10" t="s">
        <v>8691</v>
      </c>
      <c r="K1462" s="11"/>
      <c r="L1462" s="9"/>
      <c r="M1462" s="10"/>
      <c r="N1462" s="22"/>
      <c r="O1462" s="17"/>
      <c r="P1462" s="17"/>
      <c r="Q1462" s="18" t="s">
        <v>78</v>
      </c>
      <c r="R1462" s="18" t="s">
        <v>79</v>
      </c>
      <c r="S1462" s="18" t="s">
        <v>61</v>
      </c>
      <c r="T1462" s="18" t="s">
        <v>62</v>
      </c>
      <c r="U1462" s="19" t="s">
        <v>80</v>
      </c>
    </row>
    <row r="1463" spans="1:21" ht="15.75" customHeight="1" x14ac:dyDescent="0.25">
      <c r="A1463" s="27" t="s">
        <v>8692</v>
      </c>
      <c r="B1463" s="28" t="s">
        <v>8693</v>
      </c>
      <c r="C1463" s="29" t="s">
        <v>8694</v>
      </c>
      <c r="D1463" s="37" t="s">
        <v>109</v>
      </c>
      <c r="E1463" s="29" t="s">
        <v>98</v>
      </c>
      <c r="F1463" s="29" t="s">
        <v>118</v>
      </c>
      <c r="G1463" s="25" t="s">
        <v>110</v>
      </c>
      <c r="H1463" s="29" t="s">
        <v>100</v>
      </c>
      <c r="I1463" s="32" t="s">
        <v>8695</v>
      </c>
      <c r="J1463" s="28" t="s">
        <v>8696</v>
      </c>
      <c r="K1463" s="29" t="s">
        <v>933</v>
      </c>
      <c r="L1463" s="27" t="s">
        <v>90</v>
      </c>
      <c r="M1463" s="28" t="s">
        <v>91</v>
      </c>
      <c r="N1463" s="38"/>
      <c r="O1463" s="34"/>
      <c r="P1463" s="34"/>
      <c r="Q1463" s="35" t="s">
        <v>78</v>
      </c>
      <c r="R1463" s="35" t="s">
        <v>79</v>
      </c>
      <c r="S1463" s="35" t="s">
        <v>61</v>
      </c>
      <c r="T1463" s="35" t="s">
        <v>62</v>
      </c>
      <c r="U1463" s="36" t="s">
        <v>80</v>
      </c>
    </row>
    <row r="1464" spans="1:21" ht="15.75" customHeight="1" x14ac:dyDescent="0.25">
      <c r="A1464" s="9" t="s">
        <v>8697</v>
      </c>
      <c r="B1464" s="10" t="s">
        <v>8698</v>
      </c>
      <c r="C1464" s="11" t="s">
        <v>8699</v>
      </c>
      <c r="D1464" s="21" t="s">
        <v>109</v>
      </c>
      <c r="E1464" s="11" t="s">
        <v>98</v>
      </c>
      <c r="F1464" s="11" t="s">
        <v>8700</v>
      </c>
      <c r="G1464" s="25" t="s">
        <v>110</v>
      </c>
      <c r="H1464" s="11" t="s">
        <v>100</v>
      </c>
      <c r="I1464" s="15" t="s">
        <v>8701</v>
      </c>
      <c r="J1464" s="10" t="s">
        <v>8702</v>
      </c>
      <c r="K1464" s="11" t="s">
        <v>1690</v>
      </c>
      <c r="L1464" s="9" t="s">
        <v>90</v>
      </c>
      <c r="M1464" s="10" t="s">
        <v>91</v>
      </c>
      <c r="N1464" s="22"/>
      <c r="O1464" s="17"/>
      <c r="P1464" s="17"/>
      <c r="Q1464" s="18" t="s">
        <v>78</v>
      </c>
      <c r="R1464" s="18" t="s">
        <v>79</v>
      </c>
      <c r="S1464" s="18" t="s">
        <v>61</v>
      </c>
      <c r="T1464" s="18" t="s">
        <v>62</v>
      </c>
      <c r="U1464" s="19" t="s">
        <v>80</v>
      </c>
    </row>
    <row r="1465" spans="1:21" ht="15.75" customHeight="1" x14ac:dyDescent="0.25">
      <c r="A1465" s="27" t="s">
        <v>8703</v>
      </c>
      <c r="B1465" s="28" t="s">
        <v>8704</v>
      </c>
      <c r="C1465" s="29" t="s">
        <v>8705</v>
      </c>
      <c r="D1465" s="37" t="s">
        <v>109</v>
      </c>
      <c r="E1465" s="29"/>
      <c r="F1465" s="31">
        <v>250</v>
      </c>
      <c r="G1465" s="24" t="s">
        <v>85</v>
      </c>
      <c r="H1465" s="29" t="s">
        <v>129</v>
      </c>
      <c r="I1465" s="32" t="s">
        <v>8706</v>
      </c>
      <c r="J1465" s="28" t="s">
        <v>8707</v>
      </c>
      <c r="K1465" s="29"/>
      <c r="L1465" s="27"/>
      <c r="M1465" s="28"/>
      <c r="N1465" s="38"/>
      <c r="O1465" s="34"/>
      <c r="P1465" s="34"/>
      <c r="Q1465" s="35" t="s">
        <v>78</v>
      </c>
      <c r="R1465" s="35" t="s">
        <v>79</v>
      </c>
      <c r="S1465" s="35" t="s">
        <v>61</v>
      </c>
      <c r="T1465" s="35" t="s">
        <v>62</v>
      </c>
      <c r="U1465" s="36" t="s">
        <v>80</v>
      </c>
    </row>
    <row r="1466" spans="1:21" ht="15.75" customHeight="1" x14ac:dyDescent="0.25">
      <c r="A1466" s="9" t="s">
        <v>8708</v>
      </c>
      <c r="B1466" s="10" t="s">
        <v>8709</v>
      </c>
      <c r="C1466" s="11" t="s">
        <v>8710</v>
      </c>
      <c r="D1466" s="21" t="s">
        <v>109</v>
      </c>
      <c r="E1466" s="11" t="s">
        <v>98</v>
      </c>
      <c r="F1466" s="11"/>
      <c r="G1466" s="24" t="s">
        <v>85</v>
      </c>
      <c r="H1466" s="11" t="s">
        <v>100</v>
      </c>
      <c r="I1466" s="15" t="s">
        <v>8711</v>
      </c>
      <c r="J1466" s="10" t="s">
        <v>8712</v>
      </c>
      <c r="K1466" s="11"/>
      <c r="L1466" s="9"/>
      <c r="M1466" s="10"/>
      <c r="N1466" s="22"/>
      <c r="O1466" s="17"/>
      <c r="P1466" s="17"/>
      <c r="Q1466" s="18" t="s">
        <v>78</v>
      </c>
      <c r="R1466" s="18" t="s">
        <v>79</v>
      </c>
      <c r="S1466" s="18" t="s">
        <v>61</v>
      </c>
      <c r="T1466" s="18" t="s">
        <v>62</v>
      </c>
      <c r="U1466" s="19" t="s">
        <v>80</v>
      </c>
    </row>
    <row r="1467" spans="1:21" ht="15.75" customHeight="1" x14ac:dyDescent="0.25">
      <c r="A1467" s="27" t="s">
        <v>8713</v>
      </c>
      <c r="B1467" s="28" t="s">
        <v>8714</v>
      </c>
      <c r="C1467" s="29" t="s">
        <v>8715</v>
      </c>
      <c r="D1467" s="30" t="s">
        <v>3852</v>
      </c>
      <c r="E1467" s="29" t="s">
        <v>47</v>
      </c>
      <c r="F1467" s="31">
        <v>215</v>
      </c>
      <c r="G1467" s="20" t="s">
        <v>85</v>
      </c>
      <c r="H1467" s="29" t="s">
        <v>129</v>
      </c>
      <c r="I1467" s="32" t="s">
        <v>8716</v>
      </c>
      <c r="J1467" s="28" t="s">
        <v>8717</v>
      </c>
      <c r="K1467" s="29" t="s">
        <v>3001</v>
      </c>
      <c r="L1467" s="27" t="s">
        <v>90</v>
      </c>
      <c r="M1467" s="28" t="s">
        <v>91</v>
      </c>
      <c r="N1467" s="39" t="s">
        <v>179</v>
      </c>
      <c r="O1467" s="34" t="s">
        <v>292</v>
      </c>
      <c r="P1467" s="34" t="s">
        <v>293</v>
      </c>
      <c r="Q1467" s="35" t="s">
        <v>78</v>
      </c>
      <c r="R1467" s="35" t="s">
        <v>79</v>
      </c>
      <c r="S1467" s="35" t="s">
        <v>61</v>
      </c>
      <c r="T1467" s="35" t="s">
        <v>62</v>
      </c>
      <c r="U1467" s="36" t="s">
        <v>80</v>
      </c>
    </row>
    <row r="1468" spans="1:21" ht="15.75" customHeight="1" x14ac:dyDescent="0.25">
      <c r="A1468" s="9" t="s">
        <v>8718</v>
      </c>
      <c r="B1468" s="10" t="s">
        <v>8719</v>
      </c>
      <c r="C1468" s="11" t="s">
        <v>8720</v>
      </c>
      <c r="D1468" s="12" t="s">
        <v>2147</v>
      </c>
      <c r="E1468" s="11" t="s">
        <v>47</v>
      </c>
      <c r="F1468" s="13">
        <v>277</v>
      </c>
      <c r="G1468" s="20" t="s">
        <v>85</v>
      </c>
      <c r="H1468" s="11" t="s">
        <v>129</v>
      </c>
      <c r="I1468" s="15" t="s">
        <v>8721</v>
      </c>
      <c r="J1468" s="10" t="s">
        <v>8722</v>
      </c>
      <c r="K1468" s="11" t="s">
        <v>8723</v>
      </c>
      <c r="L1468" s="9" t="s">
        <v>90</v>
      </c>
      <c r="M1468" s="10" t="s">
        <v>91</v>
      </c>
      <c r="N1468" s="16" t="s">
        <v>75</v>
      </c>
      <c r="O1468" s="17" t="s">
        <v>292</v>
      </c>
      <c r="P1468" s="17" t="s">
        <v>293</v>
      </c>
      <c r="Q1468" s="18" t="s">
        <v>78</v>
      </c>
      <c r="R1468" s="18" t="s">
        <v>79</v>
      </c>
      <c r="S1468" s="18" t="s">
        <v>61</v>
      </c>
      <c r="T1468" s="18" t="s">
        <v>62</v>
      </c>
      <c r="U1468" s="19" t="s">
        <v>80</v>
      </c>
    </row>
    <row r="1469" spans="1:21" ht="15.75" customHeight="1" x14ac:dyDescent="0.25">
      <c r="A1469" s="27" t="s">
        <v>8724</v>
      </c>
      <c r="B1469" s="28" t="s">
        <v>8725</v>
      </c>
      <c r="C1469" s="29" t="s">
        <v>8726</v>
      </c>
      <c r="D1469" s="37" t="s">
        <v>109</v>
      </c>
      <c r="E1469" s="29" t="s">
        <v>47</v>
      </c>
      <c r="F1469" s="31">
        <v>126.6</v>
      </c>
      <c r="G1469" s="14" t="s">
        <v>119</v>
      </c>
      <c r="H1469" s="29" t="s">
        <v>330</v>
      </c>
      <c r="I1469" s="32" t="s">
        <v>8727</v>
      </c>
      <c r="J1469" s="28" t="s">
        <v>8728</v>
      </c>
      <c r="K1469" s="29" t="s">
        <v>6635</v>
      </c>
      <c r="L1469" s="27" t="s">
        <v>158</v>
      </c>
      <c r="M1469" s="28" t="s">
        <v>159</v>
      </c>
      <c r="N1469" s="38"/>
      <c r="O1469" s="34"/>
      <c r="P1469" s="34"/>
      <c r="Q1469" s="35" t="s">
        <v>78</v>
      </c>
      <c r="R1469" s="35" t="s">
        <v>79</v>
      </c>
      <c r="S1469" s="35" t="s">
        <v>61</v>
      </c>
      <c r="T1469" s="35" t="s">
        <v>62</v>
      </c>
      <c r="U1469" s="36" t="s">
        <v>80</v>
      </c>
    </row>
    <row r="1470" spans="1:21" ht="15.75" customHeight="1" x14ac:dyDescent="0.25">
      <c r="A1470" s="9" t="s">
        <v>8729</v>
      </c>
      <c r="B1470" s="10" t="s">
        <v>8730</v>
      </c>
      <c r="C1470" s="11" t="s">
        <v>8731</v>
      </c>
      <c r="D1470" s="21" t="s">
        <v>109</v>
      </c>
      <c r="E1470" s="11"/>
      <c r="F1470" s="11"/>
      <c r="G1470" s="25" t="s">
        <v>110</v>
      </c>
      <c r="H1470" s="11" t="s">
        <v>120</v>
      </c>
      <c r="I1470" s="15" t="s">
        <v>8732</v>
      </c>
      <c r="J1470" s="10" t="s">
        <v>8733</v>
      </c>
      <c r="K1470" s="11" t="s">
        <v>3022</v>
      </c>
      <c r="L1470" s="9" t="s">
        <v>90</v>
      </c>
      <c r="M1470" s="10" t="s">
        <v>91</v>
      </c>
      <c r="N1470" s="22"/>
      <c r="O1470" s="17"/>
      <c r="P1470" s="17"/>
      <c r="Q1470" s="18" t="s">
        <v>78</v>
      </c>
      <c r="R1470" s="18" t="s">
        <v>79</v>
      </c>
      <c r="S1470" s="18" t="s">
        <v>61</v>
      </c>
      <c r="T1470" s="18" t="s">
        <v>62</v>
      </c>
      <c r="U1470" s="19" t="s">
        <v>80</v>
      </c>
    </row>
    <row r="1471" spans="1:21" ht="15.75" customHeight="1" x14ac:dyDescent="0.25">
      <c r="A1471" s="27" t="s">
        <v>8734</v>
      </c>
      <c r="B1471" s="28" t="s">
        <v>8735</v>
      </c>
      <c r="C1471" s="29" t="s">
        <v>8736</v>
      </c>
      <c r="D1471" s="37" t="s">
        <v>109</v>
      </c>
      <c r="E1471" s="29" t="s">
        <v>47</v>
      </c>
      <c r="F1471" s="31">
        <v>151</v>
      </c>
      <c r="G1471" s="14" t="s">
        <v>119</v>
      </c>
      <c r="H1471" s="29" t="s">
        <v>86</v>
      </c>
      <c r="I1471" s="32" t="s">
        <v>8737</v>
      </c>
      <c r="J1471" s="28" t="s">
        <v>8738</v>
      </c>
      <c r="K1471" s="29" t="s">
        <v>8739</v>
      </c>
      <c r="L1471" s="27" t="s">
        <v>158</v>
      </c>
      <c r="M1471" s="28" t="s">
        <v>159</v>
      </c>
      <c r="N1471" s="38"/>
      <c r="O1471" s="34"/>
      <c r="P1471" s="34"/>
      <c r="Q1471" s="35" t="s">
        <v>78</v>
      </c>
      <c r="R1471" s="35" t="s">
        <v>79</v>
      </c>
      <c r="S1471" s="35" t="s">
        <v>61</v>
      </c>
      <c r="T1471" s="35" t="s">
        <v>62</v>
      </c>
      <c r="U1471" s="36" t="s">
        <v>80</v>
      </c>
    </row>
    <row r="1472" spans="1:21" ht="15.75" customHeight="1" x14ac:dyDescent="0.25">
      <c r="A1472" s="9" t="s">
        <v>8740</v>
      </c>
      <c r="B1472" s="10" t="s">
        <v>8741</v>
      </c>
      <c r="C1472" s="11" t="s">
        <v>8742</v>
      </c>
      <c r="D1472" s="12" t="s">
        <v>8743</v>
      </c>
      <c r="E1472" s="11" t="s">
        <v>98</v>
      </c>
      <c r="F1472" s="11" t="s">
        <v>8744</v>
      </c>
      <c r="G1472" s="20" t="s">
        <v>85</v>
      </c>
      <c r="H1472" s="11" t="s">
        <v>100</v>
      </c>
      <c r="I1472" s="15" t="s">
        <v>8745</v>
      </c>
      <c r="J1472" s="10" t="s">
        <v>8746</v>
      </c>
      <c r="K1472" s="11" t="s">
        <v>1655</v>
      </c>
      <c r="L1472" s="9" t="s">
        <v>90</v>
      </c>
      <c r="M1472" s="10" t="s">
        <v>91</v>
      </c>
      <c r="N1472" s="16" t="s">
        <v>75</v>
      </c>
      <c r="O1472" s="17" t="s">
        <v>92</v>
      </c>
      <c r="P1472" s="17" t="s">
        <v>93</v>
      </c>
      <c r="Q1472" s="18" t="s">
        <v>78</v>
      </c>
      <c r="R1472" s="18" t="s">
        <v>79</v>
      </c>
      <c r="S1472" s="18" t="s">
        <v>61</v>
      </c>
      <c r="T1472" s="18" t="s">
        <v>62</v>
      </c>
      <c r="U1472" s="19" t="s">
        <v>80</v>
      </c>
    </row>
    <row r="1473" spans="1:21" ht="15.75" customHeight="1" x14ac:dyDescent="0.25">
      <c r="A1473" s="27" t="s">
        <v>8747</v>
      </c>
      <c r="B1473" s="28" t="s">
        <v>8748</v>
      </c>
      <c r="C1473" s="29" t="s">
        <v>8749</v>
      </c>
      <c r="D1473" s="37" t="s">
        <v>109</v>
      </c>
      <c r="E1473" s="29" t="s">
        <v>98</v>
      </c>
      <c r="F1473" s="31">
        <v>332</v>
      </c>
      <c r="G1473" s="24" t="s">
        <v>85</v>
      </c>
      <c r="H1473" s="29" t="s">
        <v>129</v>
      </c>
      <c r="I1473" s="32" t="s">
        <v>8750</v>
      </c>
      <c r="J1473" s="28" t="s">
        <v>8751</v>
      </c>
      <c r="K1473" s="29"/>
      <c r="L1473" s="27"/>
      <c r="M1473" s="28"/>
      <c r="N1473" s="38"/>
      <c r="O1473" s="34"/>
      <c r="P1473" s="34"/>
      <c r="Q1473" s="35" t="s">
        <v>78</v>
      </c>
      <c r="R1473" s="35" t="s">
        <v>79</v>
      </c>
      <c r="S1473" s="35" t="s">
        <v>61</v>
      </c>
      <c r="T1473" s="35" t="s">
        <v>62</v>
      </c>
      <c r="U1473" s="36" t="s">
        <v>80</v>
      </c>
    </row>
    <row r="1474" spans="1:21" ht="15.75" customHeight="1" x14ac:dyDescent="0.25">
      <c r="A1474" s="9" t="s">
        <v>8752</v>
      </c>
      <c r="B1474" s="10" t="s">
        <v>8753</v>
      </c>
      <c r="C1474" s="11" t="s">
        <v>8754</v>
      </c>
      <c r="D1474" s="21" t="s">
        <v>109</v>
      </c>
      <c r="E1474" s="11" t="s">
        <v>47</v>
      </c>
      <c r="F1474" s="11"/>
      <c r="G1474" s="25" t="s">
        <v>110</v>
      </c>
      <c r="H1474" s="11" t="s">
        <v>330</v>
      </c>
      <c r="I1474" s="15" t="s">
        <v>8755</v>
      </c>
      <c r="J1474" s="10" t="s">
        <v>8756</v>
      </c>
      <c r="K1474" s="11" t="s">
        <v>8757</v>
      </c>
      <c r="L1474" s="9" t="s">
        <v>90</v>
      </c>
      <c r="M1474" s="10" t="s">
        <v>91</v>
      </c>
      <c r="N1474" s="22"/>
      <c r="O1474" s="17"/>
      <c r="P1474" s="17"/>
      <c r="Q1474" s="18" t="s">
        <v>78</v>
      </c>
      <c r="R1474" s="18" t="s">
        <v>79</v>
      </c>
      <c r="S1474" s="18" t="s">
        <v>61</v>
      </c>
      <c r="T1474" s="18" t="s">
        <v>62</v>
      </c>
      <c r="U1474" s="19" t="s">
        <v>80</v>
      </c>
    </row>
    <row r="1475" spans="1:21" ht="15.75" customHeight="1" x14ac:dyDescent="0.25">
      <c r="A1475" s="27" t="s">
        <v>8758</v>
      </c>
      <c r="B1475" s="28" t="s">
        <v>8759</v>
      </c>
      <c r="C1475" s="29" t="s">
        <v>8760</v>
      </c>
      <c r="D1475" s="37" t="s">
        <v>109</v>
      </c>
      <c r="E1475" s="29" t="s">
        <v>47</v>
      </c>
      <c r="F1475" s="31">
        <v>207.6</v>
      </c>
      <c r="G1475" s="24" t="s">
        <v>85</v>
      </c>
      <c r="H1475" s="29" t="s">
        <v>129</v>
      </c>
      <c r="I1475" s="32" t="s">
        <v>8761</v>
      </c>
      <c r="J1475" s="28" t="s">
        <v>8762</v>
      </c>
      <c r="K1475" s="29"/>
      <c r="L1475" s="27"/>
      <c r="M1475" s="28"/>
      <c r="N1475" s="38"/>
      <c r="O1475" s="34"/>
      <c r="P1475" s="34"/>
      <c r="Q1475" s="35" t="s">
        <v>78</v>
      </c>
      <c r="R1475" s="35" t="s">
        <v>79</v>
      </c>
      <c r="S1475" s="35" t="s">
        <v>61</v>
      </c>
      <c r="T1475" s="35" t="s">
        <v>62</v>
      </c>
      <c r="U1475" s="36" t="s">
        <v>80</v>
      </c>
    </row>
    <row r="1476" spans="1:21" ht="15.75" customHeight="1" x14ac:dyDescent="0.25">
      <c r="A1476" s="9" t="s">
        <v>8763</v>
      </c>
      <c r="B1476" s="10" t="s">
        <v>8764</v>
      </c>
      <c r="C1476" s="11" t="s">
        <v>8765</v>
      </c>
      <c r="D1476" s="21" t="s">
        <v>109</v>
      </c>
      <c r="E1476" s="11" t="s">
        <v>98</v>
      </c>
      <c r="F1476" s="11"/>
      <c r="G1476" s="24" t="s">
        <v>85</v>
      </c>
      <c r="H1476" s="11" t="s">
        <v>100</v>
      </c>
      <c r="I1476" s="15" t="s">
        <v>8766</v>
      </c>
      <c r="J1476" s="10" t="s">
        <v>8767</v>
      </c>
      <c r="K1476" s="11" t="s">
        <v>332</v>
      </c>
      <c r="L1476" s="9" t="s">
        <v>197</v>
      </c>
      <c r="M1476" s="10" t="s">
        <v>198</v>
      </c>
      <c r="N1476" s="22"/>
      <c r="O1476" s="17"/>
      <c r="P1476" s="17"/>
      <c r="Q1476" s="18" t="s">
        <v>78</v>
      </c>
      <c r="R1476" s="18" t="s">
        <v>79</v>
      </c>
      <c r="S1476" s="18" t="s">
        <v>61</v>
      </c>
      <c r="T1476" s="18" t="s">
        <v>62</v>
      </c>
      <c r="U1476" s="19" t="s">
        <v>80</v>
      </c>
    </row>
    <row r="1477" spans="1:21" ht="15.75" customHeight="1" x14ac:dyDescent="0.25">
      <c r="A1477" s="27" t="s">
        <v>8768</v>
      </c>
      <c r="B1477" s="28" t="s">
        <v>8769</v>
      </c>
      <c r="C1477" s="29" t="s">
        <v>8770</v>
      </c>
      <c r="D1477" s="37" t="s">
        <v>109</v>
      </c>
      <c r="E1477" s="29" t="s">
        <v>98</v>
      </c>
      <c r="F1477" s="29"/>
      <c r="G1477" s="24" t="s">
        <v>85</v>
      </c>
      <c r="H1477" s="29" t="s">
        <v>120</v>
      </c>
      <c r="I1477" s="32" t="s">
        <v>8771</v>
      </c>
      <c r="J1477" s="28" t="s">
        <v>8772</v>
      </c>
      <c r="K1477" s="29"/>
      <c r="L1477" s="27"/>
      <c r="M1477" s="28"/>
      <c r="N1477" s="38"/>
      <c r="O1477" s="34"/>
      <c r="P1477" s="34"/>
      <c r="Q1477" s="35" t="s">
        <v>78</v>
      </c>
      <c r="R1477" s="35" t="s">
        <v>79</v>
      </c>
      <c r="S1477" s="35" t="s">
        <v>61</v>
      </c>
      <c r="T1477" s="35" t="s">
        <v>62</v>
      </c>
      <c r="U1477" s="36" t="s">
        <v>80</v>
      </c>
    </row>
    <row r="1478" spans="1:21" ht="15.75" customHeight="1" x14ac:dyDescent="0.25">
      <c r="A1478" s="9" t="s">
        <v>8773</v>
      </c>
      <c r="B1478" s="10" t="s">
        <v>8774</v>
      </c>
      <c r="C1478" s="11" t="s">
        <v>8775</v>
      </c>
      <c r="D1478" s="21" t="s">
        <v>109</v>
      </c>
      <c r="E1478" s="11" t="s">
        <v>98</v>
      </c>
      <c r="F1478" s="13">
        <v>66</v>
      </c>
      <c r="G1478" s="14" t="s">
        <v>119</v>
      </c>
      <c r="H1478" s="11" t="s">
        <v>48</v>
      </c>
      <c r="I1478" s="15" t="s">
        <v>8776</v>
      </c>
      <c r="J1478" s="10" t="s">
        <v>8777</v>
      </c>
      <c r="K1478" s="11" t="s">
        <v>8778</v>
      </c>
      <c r="L1478" s="9" t="s">
        <v>1203</v>
      </c>
      <c r="M1478" s="10" t="s">
        <v>1204</v>
      </c>
      <c r="N1478" s="22"/>
      <c r="O1478" s="17"/>
      <c r="P1478" s="17"/>
      <c r="Q1478" s="18" t="s">
        <v>78</v>
      </c>
      <c r="R1478" s="18" t="s">
        <v>79</v>
      </c>
      <c r="S1478" s="18" t="s">
        <v>61</v>
      </c>
      <c r="T1478" s="18" t="s">
        <v>62</v>
      </c>
      <c r="U1478" s="19" t="s">
        <v>80</v>
      </c>
    </row>
    <row r="1479" spans="1:21" ht="15.75" customHeight="1" x14ac:dyDescent="0.25">
      <c r="A1479" s="27" t="s">
        <v>8779</v>
      </c>
      <c r="B1479" s="28" t="s">
        <v>8780</v>
      </c>
      <c r="C1479" s="29" t="s">
        <v>8781</v>
      </c>
      <c r="D1479" s="37" t="s">
        <v>109</v>
      </c>
      <c r="E1479" s="29" t="s">
        <v>98</v>
      </c>
      <c r="F1479" s="31">
        <v>4000</v>
      </c>
      <c r="G1479" s="24" t="s">
        <v>85</v>
      </c>
      <c r="H1479" s="29" t="s">
        <v>129</v>
      </c>
      <c r="I1479" s="32" t="s">
        <v>8782</v>
      </c>
      <c r="J1479" s="28" t="s">
        <v>8783</v>
      </c>
      <c r="K1479" s="29"/>
      <c r="L1479" s="27"/>
      <c r="M1479" s="28"/>
      <c r="N1479" s="38"/>
      <c r="O1479" s="34"/>
      <c r="P1479" s="34"/>
      <c r="Q1479" s="35" t="s">
        <v>78</v>
      </c>
      <c r="R1479" s="35" t="s">
        <v>79</v>
      </c>
      <c r="S1479" s="35" t="s">
        <v>61</v>
      </c>
      <c r="T1479" s="35" t="s">
        <v>62</v>
      </c>
      <c r="U1479" s="36" t="s">
        <v>80</v>
      </c>
    </row>
    <row r="1480" spans="1:21" ht="15.75" customHeight="1" x14ac:dyDescent="0.25">
      <c r="A1480" s="9" t="s">
        <v>8784</v>
      </c>
      <c r="B1480" s="10" t="s">
        <v>8785</v>
      </c>
      <c r="C1480" s="11" t="s">
        <v>8786</v>
      </c>
      <c r="D1480" s="21" t="s">
        <v>109</v>
      </c>
      <c r="E1480" s="11"/>
      <c r="F1480" s="11"/>
      <c r="G1480" s="24" t="s">
        <v>85</v>
      </c>
      <c r="H1480" s="11" t="s">
        <v>120</v>
      </c>
      <c r="I1480" s="15" t="s">
        <v>8787</v>
      </c>
      <c r="J1480" s="10" t="s">
        <v>8788</v>
      </c>
      <c r="K1480" s="11"/>
      <c r="L1480" s="9"/>
      <c r="M1480" s="10"/>
      <c r="N1480" s="22"/>
      <c r="O1480" s="17"/>
      <c r="P1480" s="17"/>
      <c r="Q1480" s="18" t="s">
        <v>78</v>
      </c>
      <c r="R1480" s="18" t="s">
        <v>79</v>
      </c>
      <c r="S1480" s="18" t="s">
        <v>61</v>
      </c>
      <c r="T1480" s="18" t="s">
        <v>62</v>
      </c>
      <c r="U1480" s="19" t="s">
        <v>80</v>
      </c>
    </row>
    <row r="1481" spans="1:21" ht="15.75" customHeight="1" x14ac:dyDescent="0.25">
      <c r="A1481" s="27" t="s">
        <v>8789</v>
      </c>
      <c r="B1481" s="28" t="s">
        <v>8790</v>
      </c>
      <c r="C1481" s="29" t="s">
        <v>8791</v>
      </c>
      <c r="D1481" s="37" t="s">
        <v>109</v>
      </c>
      <c r="E1481" s="29"/>
      <c r="F1481" s="29"/>
      <c r="G1481" s="24" t="s">
        <v>85</v>
      </c>
      <c r="H1481" s="29" t="s">
        <v>120</v>
      </c>
      <c r="I1481" s="32" t="s">
        <v>8792</v>
      </c>
      <c r="J1481" s="28" t="s">
        <v>8793</v>
      </c>
      <c r="K1481" s="29"/>
      <c r="L1481" s="27"/>
      <c r="M1481" s="28"/>
      <c r="N1481" s="38"/>
      <c r="O1481" s="34"/>
      <c r="P1481" s="34"/>
      <c r="Q1481" s="35" t="s">
        <v>78</v>
      </c>
      <c r="R1481" s="35" t="s">
        <v>79</v>
      </c>
      <c r="S1481" s="35" t="s">
        <v>61</v>
      </c>
      <c r="T1481" s="35" t="s">
        <v>62</v>
      </c>
      <c r="U1481" s="36" t="s">
        <v>80</v>
      </c>
    </row>
    <row r="1482" spans="1:21" ht="15.75" customHeight="1" x14ac:dyDescent="0.25">
      <c r="A1482" s="9" t="s">
        <v>8794</v>
      </c>
      <c r="B1482" s="10" t="s">
        <v>8795</v>
      </c>
      <c r="C1482" s="11" t="s">
        <v>8796</v>
      </c>
      <c r="D1482" s="21" t="s">
        <v>109</v>
      </c>
      <c r="E1482" s="11" t="s">
        <v>98</v>
      </c>
      <c r="F1482" s="13">
        <v>1384</v>
      </c>
      <c r="G1482" s="24" t="s">
        <v>85</v>
      </c>
      <c r="H1482" s="11" t="s">
        <v>129</v>
      </c>
      <c r="I1482" s="15" t="s">
        <v>8797</v>
      </c>
      <c r="J1482" s="10" t="s">
        <v>8798</v>
      </c>
      <c r="K1482" s="11"/>
      <c r="L1482" s="9"/>
      <c r="M1482" s="10"/>
      <c r="N1482" s="22"/>
      <c r="O1482" s="17"/>
      <c r="P1482" s="17"/>
      <c r="Q1482" s="18" t="s">
        <v>78</v>
      </c>
      <c r="R1482" s="18" t="s">
        <v>79</v>
      </c>
      <c r="S1482" s="18" t="s">
        <v>61</v>
      </c>
      <c r="T1482" s="18" t="s">
        <v>62</v>
      </c>
      <c r="U1482" s="19" t="s">
        <v>80</v>
      </c>
    </row>
    <row r="1483" spans="1:21" ht="15.75" customHeight="1" x14ac:dyDescent="0.25">
      <c r="A1483" s="27" t="s">
        <v>8799</v>
      </c>
      <c r="B1483" s="28" t="s">
        <v>8800</v>
      </c>
      <c r="C1483" s="29" t="s">
        <v>8801</v>
      </c>
      <c r="D1483" s="37" t="s">
        <v>109</v>
      </c>
      <c r="E1483" s="29" t="s">
        <v>98</v>
      </c>
      <c r="F1483" s="31">
        <v>2260</v>
      </c>
      <c r="G1483" s="24" t="s">
        <v>85</v>
      </c>
      <c r="H1483" s="29" t="s">
        <v>129</v>
      </c>
      <c r="I1483" s="32" t="s">
        <v>8802</v>
      </c>
      <c r="J1483" s="28" t="s">
        <v>8803</v>
      </c>
      <c r="K1483" s="29"/>
      <c r="L1483" s="27"/>
      <c r="M1483" s="28"/>
      <c r="N1483" s="38"/>
      <c r="O1483" s="34"/>
      <c r="P1483" s="34"/>
      <c r="Q1483" s="35" t="s">
        <v>78</v>
      </c>
      <c r="R1483" s="35" t="s">
        <v>79</v>
      </c>
      <c r="S1483" s="35" t="s">
        <v>61</v>
      </c>
      <c r="T1483" s="35" t="s">
        <v>62</v>
      </c>
      <c r="U1483" s="36" t="s">
        <v>80</v>
      </c>
    </row>
    <row r="1484" spans="1:21" ht="15.75" customHeight="1" x14ac:dyDescent="0.25">
      <c r="A1484" s="9" t="s">
        <v>8804</v>
      </c>
      <c r="B1484" s="10" t="s">
        <v>8805</v>
      </c>
      <c r="C1484" s="11" t="s">
        <v>8806</v>
      </c>
      <c r="D1484" s="21" t="s">
        <v>109</v>
      </c>
      <c r="E1484" s="11" t="s">
        <v>98</v>
      </c>
      <c r="F1484" s="11" t="s">
        <v>8807</v>
      </c>
      <c r="G1484" s="24" t="s">
        <v>85</v>
      </c>
      <c r="H1484" s="11" t="s">
        <v>120</v>
      </c>
      <c r="I1484" s="15" t="s">
        <v>8808</v>
      </c>
      <c r="J1484" s="10" t="s">
        <v>8809</v>
      </c>
      <c r="K1484" s="11"/>
      <c r="L1484" s="9"/>
      <c r="M1484" s="10"/>
      <c r="N1484" s="22"/>
      <c r="O1484" s="17"/>
      <c r="P1484" s="17"/>
      <c r="Q1484" s="18" t="s">
        <v>78</v>
      </c>
      <c r="R1484" s="18" t="s">
        <v>79</v>
      </c>
      <c r="S1484" s="18" t="s">
        <v>61</v>
      </c>
      <c r="T1484" s="18" t="s">
        <v>62</v>
      </c>
      <c r="U1484" s="19" t="s">
        <v>80</v>
      </c>
    </row>
    <row r="1485" spans="1:21" ht="15.75" customHeight="1" x14ac:dyDescent="0.25">
      <c r="A1485" s="27" t="s">
        <v>8810</v>
      </c>
      <c r="B1485" s="28" t="s">
        <v>8811</v>
      </c>
      <c r="C1485" s="29" t="s">
        <v>8812</v>
      </c>
      <c r="D1485" s="37" t="s">
        <v>109</v>
      </c>
      <c r="E1485" s="29" t="s">
        <v>98</v>
      </c>
      <c r="F1485" s="29" t="s">
        <v>8813</v>
      </c>
      <c r="G1485" s="25" t="s">
        <v>110</v>
      </c>
      <c r="H1485" s="29" t="s">
        <v>120</v>
      </c>
      <c r="I1485" s="32" t="s">
        <v>8814</v>
      </c>
      <c r="J1485" s="28" t="s">
        <v>8815</v>
      </c>
      <c r="K1485" s="29" t="s">
        <v>3209</v>
      </c>
      <c r="L1485" s="27" t="s">
        <v>481</v>
      </c>
      <c r="M1485" s="28" t="s">
        <v>482</v>
      </c>
      <c r="N1485" s="38"/>
      <c r="O1485" s="34"/>
      <c r="P1485" s="34"/>
      <c r="Q1485" s="35" t="s">
        <v>78</v>
      </c>
      <c r="R1485" s="35" t="s">
        <v>79</v>
      </c>
      <c r="S1485" s="35" t="s">
        <v>61</v>
      </c>
      <c r="T1485" s="35" t="s">
        <v>62</v>
      </c>
      <c r="U1485" s="36" t="s">
        <v>80</v>
      </c>
    </row>
    <row r="1486" spans="1:21" ht="15.75" customHeight="1" x14ac:dyDescent="0.25">
      <c r="A1486" s="9" t="s">
        <v>8816</v>
      </c>
      <c r="B1486" s="10" t="s">
        <v>8817</v>
      </c>
      <c r="C1486" s="11" t="s">
        <v>8818</v>
      </c>
      <c r="D1486" s="21" t="s">
        <v>109</v>
      </c>
      <c r="E1486" s="11" t="s">
        <v>98</v>
      </c>
      <c r="F1486" s="11"/>
      <c r="G1486" s="24" t="s">
        <v>85</v>
      </c>
      <c r="H1486" s="11" t="s">
        <v>100</v>
      </c>
      <c r="I1486" s="15" t="s">
        <v>8819</v>
      </c>
      <c r="J1486" s="10" t="s">
        <v>8820</v>
      </c>
      <c r="K1486" s="11"/>
      <c r="L1486" s="9"/>
      <c r="M1486" s="10"/>
      <c r="N1486" s="22"/>
      <c r="O1486" s="17"/>
      <c r="P1486" s="17"/>
      <c r="Q1486" s="18" t="s">
        <v>78</v>
      </c>
      <c r="R1486" s="18" t="s">
        <v>79</v>
      </c>
      <c r="S1486" s="18" t="s">
        <v>61</v>
      </c>
      <c r="T1486" s="18" t="s">
        <v>62</v>
      </c>
      <c r="U1486" s="19" t="s">
        <v>80</v>
      </c>
    </row>
    <row r="1487" spans="1:21" ht="15.75" customHeight="1" x14ac:dyDescent="0.25">
      <c r="A1487" s="27" t="s">
        <v>8821</v>
      </c>
      <c r="B1487" s="28" t="s">
        <v>8822</v>
      </c>
      <c r="C1487" s="29" t="s">
        <v>8823</v>
      </c>
      <c r="D1487" s="37" t="s">
        <v>109</v>
      </c>
      <c r="E1487" s="29" t="s">
        <v>47</v>
      </c>
      <c r="F1487" s="31">
        <v>245</v>
      </c>
      <c r="G1487" s="24" t="s">
        <v>85</v>
      </c>
      <c r="H1487" s="29" t="s">
        <v>129</v>
      </c>
      <c r="I1487" s="32" t="s">
        <v>8824</v>
      </c>
      <c r="J1487" s="28" t="s">
        <v>8825</v>
      </c>
      <c r="K1487" s="29"/>
      <c r="L1487" s="27"/>
      <c r="M1487" s="28"/>
      <c r="N1487" s="38"/>
      <c r="O1487" s="34"/>
      <c r="P1487" s="34"/>
      <c r="Q1487" s="35" t="s">
        <v>78</v>
      </c>
      <c r="R1487" s="35" t="s">
        <v>79</v>
      </c>
      <c r="S1487" s="35" t="s">
        <v>61</v>
      </c>
      <c r="T1487" s="35" t="s">
        <v>62</v>
      </c>
      <c r="U1487" s="36" t="s">
        <v>80</v>
      </c>
    </row>
    <row r="1488" spans="1:21" ht="15.75" customHeight="1" x14ac:dyDescent="0.25">
      <c r="A1488" s="9" t="s">
        <v>8826</v>
      </c>
      <c r="B1488" s="10" t="s">
        <v>8827</v>
      </c>
      <c r="C1488" s="11" t="s">
        <v>8828</v>
      </c>
      <c r="D1488" s="21" t="s">
        <v>109</v>
      </c>
      <c r="E1488" s="11" t="s">
        <v>98</v>
      </c>
      <c r="F1488" s="11"/>
      <c r="G1488" s="24" t="s">
        <v>85</v>
      </c>
      <c r="H1488" s="11" t="s">
        <v>120</v>
      </c>
      <c r="I1488" s="15" t="s">
        <v>8829</v>
      </c>
      <c r="J1488" s="10" t="s">
        <v>8830</v>
      </c>
      <c r="K1488" s="11"/>
      <c r="L1488" s="9"/>
      <c r="M1488" s="10"/>
      <c r="N1488" s="22"/>
      <c r="O1488" s="17"/>
      <c r="P1488" s="17"/>
      <c r="Q1488" s="18" t="s">
        <v>78</v>
      </c>
      <c r="R1488" s="18" t="s">
        <v>79</v>
      </c>
      <c r="S1488" s="18" t="s">
        <v>61</v>
      </c>
      <c r="T1488" s="18" t="s">
        <v>62</v>
      </c>
      <c r="U1488" s="19" t="s">
        <v>80</v>
      </c>
    </row>
    <row r="1489" spans="1:21" ht="15.75" customHeight="1" x14ac:dyDescent="0.25">
      <c r="A1489" s="27" t="s">
        <v>8831</v>
      </c>
      <c r="B1489" s="28" t="s">
        <v>8832</v>
      </c>
      <c r="C1489" s="29" t="s">
        <v>8833</v>
      </c>
      <c r="D1489" s="37" t="s">
        <v>109</v>
      </c>
      <c r="E1489" s="29" t="s">
        <v>98</v>
      </c>
      <c r="F1489" s="29"/>
      <c r="G1489" s="24" t="s">
        <v>85</v>
      </c>
      <c r="H1489" s="29" t="s">
        <v>100</v>
      </c>
      <c r="I1489" s="32" t="s">
        <v>8834</v>
      </c>
      <c r="J1489" s="28" t="s">
        <v>8835</v>
      </c>
      <c r="K1489" s="29"/>
      <c r="L1489" s="27"/>
      <c r="M1489" s="28"/>
      <c r="N1489" s="38"/>
      <c r="O1489" s="34"/>
      <c r="P1489" s="34"/>
      <c r="Q1489" s="35" t="s">
        <v>78</v>
      </c>
      <c r="R1489" s="35" t="s">
        <v>79</v>
      </c>
      <c r="S1489" s="35" t="s">
        <v>61</v>
      </c>
      <c r="T1489" s="35" t="s">
        <v>62</v>
      </c>
      <c r="U1489" s="36" t="s">
        <v>80</v>
      </c>
    </row>
    <row r="1490" spans="1:21" ht="15.75" customHeight="1" x14ac:dyDescent="0.25">
      <c r="A1490" s="9" t="s">
        <v>8836</v>
      </c>
      <c r="B1490" s="10" t="s">
        <v>8837</v>
      </c>
      <c r="C1490" s="11" t="s">
        <v>8838</v>
      </c>
      <c r="D1490" s="21" t="s">
        <v>109</v>
      </c>
      <c r="E1490" s="11" t="s">
        <v>98</v>
      </c>
      <c r="F1490" s="11"/>
      <c r="G1490" s="24" t="s">
        <v>85</v>
      </c>
      <c r="H1490" s="11" t="s">
        <v>120</v>
      </c>
      <c r="I1490" s="15" t="s">
        <v>8839</v>
      </c>
      <c r="J1490" s="10" t="s">
        <v>8840</v>
      </c>
      <c r="K1490" s="11"/>
      <c r="L1490" s="9"/>
      <c r="M1490" s="10"/>
      <c r="N1490" s="22"/>
      <c r="O1490" s="17"/>
      <c r="P1490" s="17"/>
      <c r="Q1490" s="18" t="s">
        <v>78</v>
      </c>
      <c r="R1490" s="18" t="s">
        <v>79</v>
      </c>
      <c r="S1490" s="18" t="s">
        <v>61</v>
      </c>
      <c r="T1490" s="18" t="s">
        <v>62</v>
      </c>
      <c r="U1490" s="19" t="s">
        <v>80</v>
      </c>
    </row>
    <row r="1491" spans="1:21" ht="15.75" customHeight="1" x14ac:dyDescent="0.25">
      <c r="A1491" s="27" t="s">
        <v>8841</v>
      </c>
      <c r="B1491" s="28" t="s">
        <v>8842</v>
      </c>
      <c r="C1491" s="29" t="s">
        <v>8843</v>
      </c>
      <c r="D1491" s="37" t="s">
        <v>109</v>
      </c>
      <c r="E1491" s="29" t="s">
        <v>1264</v>
      </c>
      <c r="F1491" s="29"/>
      <c r="G1491" s="25" t="s">
        <v>110</v>
      </c>
      <c r="H1491" s="29" t="s">
        <v>100</v>
      </c>
      <c r="I1491" s="32" t="s">
        <v>2694</v>
      </c>
      <c r="J1491" s="28" t="s">
        <v>8844</v>
      </c>
      <c r="K1491" s="29" t="s">
        <v>1655</v>
      </c>
      <c r="L1491" s="27" t="s">
        <v>90</v>
      </c>
      <c r="M1491" s="28" t="s">
        <v>91</v>
      </c>
      <c r="N1491" s="38"/>
      <c r="O1491" s="34"/>
      <c r="P1491" s="34"/>
      <c r="Q1491" s="35" t="s">
        <v>78</v>
      </c>
      <c r="R1491" s="35" t="s">
        <v>79</v>
      </c>
      <c r="S1491" s="35" t="s">
        <v>61</v>
      </c>
      <c r="T1491" s="35" t="s">
        <v>62</v>
      </c>
      <c r="U1491" s="36" t="s">
        <v>80</v>
      </c>
    </row>
    <row r="1492" spans="1:21" ht="15.75" customHeight="1" x14ac:dyDescent="0.25">
      <c r="A1492" s="9" t="s">
        <v>8845</v>
      </c>
      <c r="B1492" s="10" t="s">
        <v>8846</v>
      </c>
      <c r="C1492" s="11" t="s">
        <v>8847</v>
      </c>
      <c r="D1492" s="21" t="s">
        <v>109</v>
      </c>
      <c r="E1492" s="11" t="s">
        <v>1264</v>
      </c>
      <c r="F1492" s="11"/>
      <c r="G1492" s="24" t="s">
        <v>85</v>
      </c>
      <c r="H1492" s="11" t="s">
        <v>100</v>
      </c>
      <c r="I1492" s="15" t="s">
        <v>2502</v>
      </c>
      <c r="J1492" s="10" t="s">
        <v>8848</v>
      </c>
      <c r="K1492" s="11"/>
      <c r="L1492" s="9"/>
      <c r="M1492" s="10"/>
      <c r="N1492" s="22"/>
      <c r="O1492" s="17"/>
      <c r="P1492" s="17"/>
      <c r="Q1492" s="18" t="s">
        <v>78</v>
      </c>
      <c r="R1492" s="18" t="s">
        <v>79</v>
      </c>
      <c r="S1492" s="18" t="s">
        <v>61</v>
      </c>
      <c r="T1492" s="18" t="s">
        <v>62</v>
      </c>
      <c r="U1492" s="19" t="s">
        <v>80</v>
      </c>
    </row>
    <row r="1493" spans="1:21" ht="15.75" customHeight="1" x14ac:dyDescent="0.25">
      <c r="A1493" s="27" t="s">
        <v>8849</v>
      </c>
      <c r="B1493" s="28" t="s">
        <v>8850</v>
      </c>
      <c r="C1493" s="29" t="s">
        <v>8851</v>
      </c>
      <c r="D1493" s="37" t="s">
        <v>109</v>
      </c>
      <c r="E1493" s="29" t="s">
        <v>98</v>
      </c>
      <c r="F1493" s="31">
        <v>212</v>
      </c>
      <c r="G1493" s="24" t="s">
        <v>85</v>
      </c>
      <c r="H1493" s="29" t="s">
        <v>129</v>
      </c>
      <c r="I1493" s="32" t="s">
        <v>7138</v>
      </c>
      <c r="J1493" s="28" t="s">
        <v>8852</v>
      </c>
      <c r="K1493" s="29"/>
      <c r="L1493" s="27"/>
      <c r="M1493" s="28"/>
      <c r="N1493" s="38"/>
      <c r="O1493" s="34"/>
      <c r="P1493" s="34"/>
      <c r="Q1493" s="35" t="s">
        <v>78</v>
      </c>
      <c r="R1493" s="35" t="s">
        <v>79</v>
      </c>
      <c r="S1493" s="35" t="s">
        <v>61</v>
      </c>
      <c r="T1493" s="35" t="s">
        <v>62</v>
      </c>
      <c r="U1493" s="36" t="s">
        <v>80</v>
      </c>
    </row>
    <row r="1494" spans="1:21" ht="15.75" customHeight="1" x14ac:dyDescent="0.25">
      <c r="A1494" s="9" t="s">
        <v>8853</v>
      </c>
      <c r="B1494" s="10" t="s">
        <v>8854</v>
      </c>
      <c r="C1494" s="11" t="s">
        <v>8855</v>
      </c>
      <c r="D1494" s="21" t="s">
        <v>109</v>
      </c>
      <c r="E1494" s="11" t="s">
        <v>98</v>
      </c>
      <c r="F1494" s="11" t="s">
        <v>8856</v>
      </c>
      <c r="G1494" s="25" t="s">
        <v>110</v>
      </c>
      <c r="H1494" s="11" t="s">
        <v>100</v>
      </c>
      <c r="I1494" s="15" t="s">
        <v>172</v>
      </c>
      <c r="J1494" s="10" t="s">
        <v>8857</v>
      </c>
      <c r="K1494" s="11" t="s">
        <v>1655</v>
      </c>
      <c r="L1494" s="9" t="s">
        <v>90</v>
      </c>
      <c r="M1494" s="10" t="s">
        <v>91</v>
      </c>
      <c r="N1494" s="22"/>
      <c r="O1494" s="17"/>
      <c r="P1494" s="17"/>
      <c r="Q1494" s="18" t="s">
        <v>78</v>
      </c>
      <c r="R1494" s="18" t="s">
        <v>79</v>
      </c>
      <c r="S1494" s="18" t="s">
        <v>61</v>
      </c>
      <c r="T1494" s="18" t="s">
        <v>62</v>
      </c>
      <c r="U1494" s="19" t="s">
        <v>80</v>
      </c>
    </row>
    <row r="1495" spans="1:21" ht="15.75" customHeight="1" x14ac:dyDescent="0.25">
      <c r="A1495" s="27" t="s">
        <v>8858</v>
      </c>
      <c r="B1495" s="28" t="s">
        <v>8859</v>
      </c>
      <c r="C1495" s="29" t="s">
        <v>8860</v>
      </c>
      <c r="D1495" s="37" t="s">
        <v>109</v>
      </c>
      <c r="E1495" s="29" t="s">
        <v>47</v>
      </c>
      <c r="F1495" s="31">
        <v>185</v>
      </c>
      <c r="G1495" s="14" t="s">
        <v>119</v>
      </c>
      <c r="H1495" s="29" t="s">
        <v>86</v>
      </c>
      <c r="I1495" s="32" t="s">
        <v>6158</v>
      </c>
      <c r="J1495" s="28" t="s">
        <v>8861</v>
      </c>
      <c r="K1495" s="29" t="s">
        <v>6826</v>
      </c>
      <c r="L1495" s="27" t="s">
        <v>158</v>
      </c>
      <c r="M1495" s="28" t="s">
        <v>159</v>
      </c>
      <c r="N1495" s="38"/>
      <c r="O1495" s="34"/>
      <c r="P1495" s="34"/>
      <c r="Q1495" s="35" t="s">
        <v>78</v>
      </c>
      <c r="R1495" s="35" t="s">
        <v>79</v>
      </c>
      <c r="S1495" s="35" t="s">
        <v>61</v>
      </c>
      <c r="T1495" s="35" t="s">
        <v>62</v>
      </c>
      <c r="U1495" s="36" t="s">
        <v>80</v>
      </c>
    </row>
    <row r="1496" spans="1:21" ht="15.75" customHeight="1" x14ac:dyDescent="0.25">
      <c r="A1496" s="9" t="s">
        <v>8862</v>
      </c>
      <c r="B1496" s="10" t="s">
        <v>8863</v>
      </c>
      <c r="C1496" s="11" t="s">
        <v>8864</v>
      </c>
      <c r="D1496" s="21" t="s">
        <v>109</v>
      </c>
      <c r="E1496" s="11" t="s">
        <v>47</v>
      </c>
      <c r="F1496" s="13">
        <v>223</v>
      </c>
      <c r="G1496" s="25" t="s">
        <v>110</v>
      </c>
      <c r="H1496" s="11" t="s">
        <v>129</v>
      </c>
      <c r="I1496" s="15" t="s">
        <v>8865</v>
      </c>
      <c r="J1496" s="10" t="s">
        <v>8866</v>
      </c>
      <c r="K1496" s="11" t="s">
        <v>2121</v>
      </c>
      <c r="L1496" s="9" t="s">
        <v>481</v>
      </c>
      <c r="M1496" s="10" t="s">
        <v>482</v>
      </c>
      <c r="N1496" s="22"/>
      <c r="O1496" s="17"/>
      <c r="P1496" s="17"/>
      <c r="Q1496" s="18" t="s">
        <v>78</v>
      </c>
      <c r="R1496" s="18" t="s">
        <v>79</v>
      </c>
      <c r="S1496" s="18" t="s">
        <v>61</v>
      </c>
      <c r="T1496" s="18" t="s">
        <v>62</v>
      </c>
      <c r="U1496" s="19" t="s">
        <v>80</v>
      </c>
    </row>
    <row r="1497" spans="1:21" ht="15.75" customHeight="1" x14ac:dyDescent="0.25">
      <c r="A1497" s="27" t="s">
        <v>8867</v>
      </c>
      <c r="B1497" s="28" t="s">
        <v>8868</v>
      </c>
      <c r="C1497" s="29" t="s">
        <v>8869</v>
      </c>
      <c r="D1497" s="37" t="s">
        <v>109</v>
      </c>
      <c r="E1497" s="29" t="s">
        <v>47</v>
      </c>
      <c r="F1497" s="29" t="s">
        <v>8870</v>
      </c>
      <c r="G1497" s="25" t="s">
        <v>110</v>
      </c>
      <c r="H1497" s="29" t="s">
        <v>330</v>
      </c>
      <c r="I1497" s="32" t="s">
        <v>8871</v>
      </c>
      <c r="J1497" s="28" t="s">
        <v>8872</v>
      </c>
      <c r="K1497" s="29" t="s">
        <v>8873</v>
      </c>
      <c r="L1497" s="27" t="s">
        <v>90</v>
      </c>
      <c r="M1497" s="28" t="s">
        <v>91</v>
      </c>
      <c r="N1497" s="38"/>
      <c r="O1497" s="34"/>
      <c r="P1497" s="34"/>
      <c r="Q1497" s="35" t="s">
        <v>78</v>
      </c>
      <c r="R1497" s="35" t="s">
        <v>79</v>
      </c>
      <c r="S1497" s="35" t="s">
        <v>61</v>
      </c>
      <c r="T1497" s="35" t="s">
        <v>62</v>
      </c>
      <c r="U1497" s="36" t="s">
        <v>80</v>
      </c>
    </row>
    <row r="1498" spans="1:21" ht="15.75" customHeight="1" x14ac:dyDescent="0.25">
      <c r="A1498" s="9" t="s">
        <v>8874</v>
      </c>
      <c r="B1498" s="10" t="s">
        <v>8875</v>
      </c>
      <c r="C1498" s="11" t="s">
        <v>8876</v>
      </c>
      <c r="D1498" s="21" t="s">
        <v>109</v>
      </c>
      <c r="E1498" s="11" t="s">
        <v>98</v>
      </c>
      <c r="F1498" s="11"/>
      <c r="G1498" s="25" t="s">
        <v>110</v>
      </c>
      <c r="H1498" s="11" t="s">
        <v>120</v>
      </c>
      <c r="I1498" s="15" t="s">
        <v>8877</v>
      </c>
      <c r="J1498" s="10" t="s">
        <v>8878</v>
      </c>
      <c r="K1498" s="11" t="s">
        <v>1997</v>
      </c>
      <c r="L1498" s="9" t="s">
        <v>90</v>
      </c>
      <c r="M1498" s="10" t="s">
        <v>91</v>
      </c>
      <c r="N1498" s="22"/>
      <c r="O1498" s="17"/>
      <c r="P1498" s="17"/>
      <c r="Q1498" s="18" t="s">
        <v>78</v>
      </c>
      <c r="R1498" s="18" t="s">
        <v>79</v>
      </c>
      <c r="S1498" s="18" t="s">
        <v>61</v>
      </c>
      <c r="T1498" s="18" t="s">
        <v>62</v>
      </c>
      <c r="U1498" s="19" t="s">
        <v>80</v>
      </c>
    </row>
    <row r="1499" spans="1:21" ht="15.75" customHeight="1" x14ac:dyDescent="0.25">
      <c r="A1499" s="27" t="s">
        <v>8879</v>
      </c>
      <c r="B1499" s="28" t="s">
        <v>8880</v>
      </c>
      <c r="C1499" s="29" t="s">
        <v>8881</v>
      </c>
      <c r="D1499" s="37" t="s">
        <v>109</v>
      </c>
      <c r="E1499" s="29" t="s">
        <v>98</v>
      </c>
      <c r="F1499" s="29"/>
      <c r="G1499" s="24" t="s">
        <v>85</v>
      </c>
      <c r="H1499" s="29" t="s">
        <v>100</v>
      </c>
      <c r="I1499" s="32" t="s">
        <v>8882</v>
      </c>
      <c r="J1499" s="28" t="s">
        <v>8883</v>
      </c>
      <c r="K1499" s="29"/>
      <c r="L1499" s="27"/>
      <c r="M1499" s="28"/>
      <c r="N1499" s="38"/>
      <c r="O1499" s="34"/>
      <c r="P1499" s="34"/>
      <c r="Q1499" s="35" t="s">
        <v>78</v>
      </c>
      <c r="R1499" s="35" t="s">
        <v>79</v>
      </c>
      <c r="S1499" s="35" t="s">
        <v>61</v>
      </c>
      <c r="T1499" s="35" t="s">
        <v>62</v>
      </c>
      <c r="U1499" s="36" t="s">
        <v>80</v>
      </c>
    </row>
    <row r="1500" spans="1:21" ht="15.75" customHeight="1" x14ac:dyDescent="0.25">
      <c r="A1500" s="9" t="s">
        <v>8884</v>
      </c>
      <c r="B1500" s="10" t="s">
        <v>8885</v>
      </c>
      <c r="C1500" s="11" t="s">
        <v>8886</v>
      </c>
      <c r="D1500" s="21" t="s">
        <v>109</v>
      </c>
      <c r="E1500" s="11" t="s">
        <v>1264</v>
      </c>
      <c r="F1500" s="11"/>
      <c r="G1500" s="24" t="s">
        <v>85</v>
      </c>
      <c r="H1500" s="11" t="s">
        <v>100</v>
      </c>
      <c r="I1500" s="15" t="s">
        <v>8887</v>
      </c>
      <c r="J1500" s="10" t="s">
        <v>8888</v>
      </c>
      <c r="K1500" s="11"/>
      <c r="L1500" s="9"/>
      <c r="M1500" s="10"/>
      <c r="N1500" s="22"/>
      <c r="O1500" s="17"/>
      <c r="P1500" s="17"/>
      <c r="Q1500" s="18" t="s">
        <v>78</v>
      </c>
      <c r="R1500" s="18" t="s">
        <v>79</v>
      </c>
      <c r="S1500" s="18" t="s">
        <v>61</v>
      </c>
      <c r="T1500" s="18" t="s">
        <v>62</v>
      </c>
      <c r="U1500" s="19" t="s">
        <v>80</v>
      </c>
    </row>
    <row r="1501" spans="1:21" ht="15.75" customHeight="1" x14ac:dyDescent="0.25">
      <c r="A1501" s="27" t="s">
        <v>8889</v>
      </c>
      <c r="B1501" s="28" t="s">
        <v>8890</v>
      </c>
      <c r="C1501" s="29" t="s">
        <v>8891</v>
      </c>
      <c r="D1501" s="37" t="s">
        <v>109</v>
      </c>
      <c r="E1501" s="29" t="s">
        <v>98</v>
      </c>
      <c r="F1501" s="29"/>
      <c r="G1501" s="24" t="s">
        <v>85</v>
      </c>
      <c r="H1501" s="29" t="s">
        <v>100</v>
      </c>
      <c r="I1501" s="32" t="s">
        <v>8892</v>
      </c>
      <c r="J1501" s="28" t="s">
        <v>8893</v>
      </c>
      <c r="K1501" s="29"/>
      <c r="L1501" s="27"/>
      <c r="M1501" s="28"/>
      <c r="N1501" s="38"/>
      <c r="O1501" s="34"/>
      <c r="P1501" s="34"/>
      <c r="Q1501" s="35" t="s">
        <v>78</v>
      </c>
      <c r="R1501" s="35" t="s">
        <v>79</v>
      </c>
      <c r="S1501" s="35" t="s">
        <v>61</v>
      </c>
      <c r="T1501" s="35" t="s">
        <v>62</v>
      </c>
      <c r="U1501" s="36" t="s">
        <v>80</v>
      </c>
    </row>
    <row r="1502" spans="1:21" ht="15.75" customHeight="1" x14ac:dyDescent="0.25">
      <c r="A1502" s="9" t="s">
        <v>8894</v>
      </c>
      <c r="B1502" s="10" t="s">
        <v>8895</v>
      </c>
      <c r="C1502" s="11" t="s">
        <v>8896</v>
      </c>
      <c r="D1502" s="21" t="s">
        <v>109</v>
      </c>
      <c r="E1502" s="11" t="s">
        <v>98</v>
      </c>
      <c r="F1502" s="11" t="s">
        <v>8897</v>
      </c>
      <c r="G1502" s="24" t="s">
        <v>85</v>
      </c>
      <c r="H1502" s="11" t="s">
        <v>120</v>
      </c>
      <c r="I1502" s="15" t="s">
        <v>8898</v>
      </c>
      <c r="J1502" s="10" t="s">
        <v>8899</v>
      </c>
      <c r="K1502" s="11"/>
      <c r="L1502" s="9"/>
      <c r="M1502" s="10"/>
      <c r="N1502" s="22"/>
      <c r="O1502" s="17"/>
      <c r="P1502" s="17"/>
      <c r="Q1502" s="18" t="s">
        <v>78</v>
      </c>
      <c r="R1502" s="18" t="s">
        <v>79</v>
      </c>
      <c r="S1502" s="18" t="s">
        <v>61</v>
      </c>
      <c r="T1502" s="18" t="s">
        <v>62</v>
      </c>
      <c r="U1502" s="19" t="s">
        <v>80</v>
      </c>
    </row>
    <row r="1503" spans="1:21" ht="15.75" customHeight="1" x14ac:dyDescent="0.25">
      <c r="A1503" s="27" t="s">
        <v>8900</v>
      </c>
      <c r="B1503" s="28" t="s">
        <v>8901</v>
      </c>
      <c r="C1503" s="29" t="s">
        <v>8902</v>
      </c>
      <c r="D1503" s="37" t="s">
        <v>109</v>
      </c>
      <c r="E1503" s="29" t="s">
        <v>47</v>
      </c>
      <c r="F1503" s="31">
        <v>111.5</v>
      </c>
      <c r="G1503" s="14" t="s">
        <v>119</v>
      </c>
      <c r="H1503" s="29" t="s">
        <v>330</v>
      </c>
      <c r="I1503" s="32" t="s">
        <v>8903</v>
      </c>
      <c r="J1503" s="28" t="s">
        <v>8904</v>
      </c>
      <c r="K1503" s="29" t="s">
        <v>8905</v>
      </c>
      <c r="L1503" s="27" t="s">
        <v>158</v>
      </c>
      <c r="M1503" s="28" t="s">
        <v>159</v>
      </c>
      <c r="N1503" s="38"/>
      <c r="O1503" s="34"/>
      <c r="P1503" s="34"/>
      <c r="Q1503" s="35" t="s">
        <v>78</v>
      </c>
      <c r="R1503" s="35" t="s">
        <v>79</v>
      </c>
      <c r="S1503" s="35" t="s">
        <v>61</v>
      </c>
      <c r="T1503" s="35" t="s">
        <v>62</v>
      </c>
      <c r="U1503" s="36" t="s">
        <v>80</v>
      </c>
    </row>
    <row r="1504" spans="1:21" ht="15.75" customHeight="1" x14ac:dyDescent="0.25">
      <c r="A1504" s="9" t="s">
        <v>8906</v>
      </c>
      <c r="B1504" s="10" t="s">
        <v>8907</v>
      </c>
      <c r="C1504" s="11" t="s">
        <v>8908</v>
      </c>
      <c r="D1504" s="21" t="s">
        <v>109</v>
      </c>
      <c r="E1504" s="11" t="s">
        <v>98</v>
      </c>
      <c r="F1504" s="11" t="s">
        <v>8909</v>
      </c>
      <c r="G1504" s="24" t="s">
        <v>85</v>
      </c>
      <c r="H1504" s="11" t="s">
        <v>100</v>
      </c>
      <c r="I1504" s="15" t="s">
        <v>4123</v>
      </c>
      <c r="J1504" s="10" t="s">
        <v>8910</v>
      </c>
      <c r="K1504" s="11"/>
      <c r="L1504" s="9"/>
      <c r="M1504" s="10"/>
      <c r="N1504" s="22"/>
      <c r="O1504" s="17"/>
      <c r="P1504" s="17"/>
      <c r="Q1504" s="18" t="s">
        <v>78</v>
      </c>
      <c r="R1504" s="18" t="s">
        <v>79</v>
      </c>
      <c r="S1504" s="18" t="s">
        <v>61</v>
      </c>
      <c r="T1504" s="18" t="s">
        <v>62</v>
      </c>
      <c r="U1504" s="19" t="s">
        <v>80</v>
      </c>
    </row>
    <row r="1505" spans="1:21" ht="15.75" customHeight="1" x14ac:dyDescent="0.25">
      <c r="A1505" s="27" t="s">
        <v>8911</v>
      </c>
      <c r="B1505" s="28" t="s">
        <v>8912</v>
      </c>
      <c r="C1505" s="29" t="s">
        <v>8913</v>
      </c>
      <c r="D1505" s="37" t="s">
        <v>109</v>
      </c>
      <c r="E1505" s="29" t="s">
        <v>47</v>
      </c>
      <c r="F1505" s="31">
        <v>250</v>
      </c>
      <c r="G1505" s="24" t="s">
        <v>85</v>
      </c>
      <c r="H1505" s="29" t="s">
        <v>129</v>
      </c>
      <c r="I1505" s="32" t="s">
        <v>189</v>
      </c>
      <c r="J1505" s="28" t="s">
        <v>8914</v>
      </c>
      <c r="K1505" s="29"/>
      <c r="L1505" s="27"/>
      <c r="M1505" s="28"/>
      <c r="N1505" s="38"/>
      <c r="O1505" s="34"/>
      <c r="P1505" s="34"/>
      <c r="Q1505" s="35" t="s">
        <v>78</v>
      </c>
      <c r="R1505" s="35" t="s">
        <v>79</v>
      </c>
      <c r="S1505" s="35" t="s">
        <v>61</v>
      </c>
      <c r="T1505" s="35" t="s">
        <v>62</v>
      </c>
      <c r="U1505" s="36" t="s">
        <v>80</v>
      </c>
    </row>
    <row r="1506" spans="1:21" ht="15.75" customHeight="1" x14ac:dyDescent="0.25">
      <c r="A1506" s="9" t="s">
        <v>8915</v>
      </c>
      <c r="B1506" s="10" t="s">
        <v>8916</v>
      </c>
      <c r="C1506" s="11" t="s">
        <v>8917</v>
      </c>
      <c r="D1506" s="21" t="s">
        <v>109</v>
      </c>
      <c r="E1506" s="11" t="s">
        <v>1264</v>
      </c>
      <c r="F1506" s="11"/>
      <c r="G1506" s="24" t="s">
        <v>85</v>
      </c>
      <c r="H1506" s="11" t="s">
        <v>100</v>
      </c>
      <c r="I1506" s="15" t="s">
        <v>2532</v>
      </c>
      <c r="J1506" s="10" t="s">
        <v>8918</v>
      </c>
      <c r="K1506" s="11"/>
      <c r="L1506" s="9"/>
      <c r="M1506" s="10"/>
      <c r="N1506" s="22"/>
      <c r="O1506" s="17"/>
      <c r="P1506" s="17"/>
      <c r="Q1506" s="18" t="s">
        <v>78</v>
      </c>
      <c r="R1506" s="18" t="s">
        <v>79</v>
      </c>
      <c r="S1506" s="18" t="s">
        <v>61</v>
      </c>
      <c r="T1506" s="18" t="s">
        <v>62</v>
      </c>
      <c r="U1506" s="19" t="s">
        <v>80</v>
      </c>
    </row>
    <row r="1507" spans="1:21" ht="15.75" customHeight="1" x14ac:dyDescent="0.25">
      <c r="A1507" s="27" t="s">
        <v>8919</v>
      </c>
      <c r="B1507" s="28" t="s">
        <v>8920</v>
      </c>
      <c r="C1507" s="29" t="s">
        <v>8921</v>
      </c>
      <c r="D1507" s="30" t="s">
        <v>8922</v>
      </c>
      <c r="E1507" s="29" t="s">
        <v>98</v>
      </c>
      <c r="F1507" s="29"/>
      <c r="G1507" s="14" t="s">
        <v>68</v>
      </c>
      <c r="H1507" s="29" t="s">
        <v>100</v>
      </c>
      <c r="I1507" s="32" t="s">
        <v>1568</v>
      </c>
      <c r="J1507" s="28" t="s">
        <v>8923</v>
      </c>
      <c r="K1507" s="29"/>
      <c r="L1507" s="27" t="s">
        <v>1698</v>
      </c>
      <c r="M1507" s="28" t="s">
        <v>1699</v>
      </c>
      <c r="N1507" s="33" t="s">
        <v>75</v>
      </c>
      <c r="O1507" s="34" t="s">
        <v>2007</v>
      </c>
      <c r="P1507" s="34" t="s">
        <v>2008</v>
      </c>
      <c r="Q1507" s="35" t="s">
        <v>78</v>
      </c>
      <c r="R1507" s="35" t="s">
        <v>79</v>
      </c>
      <c r="S1507" s="35" t="s">
        <v>61</v>
      </c>
      <c r="T1507" s="35" t="s">
        <v>62</v>
      </c>
      <c r="U1507" s="36" t="s">
        <v>80</v>
      </c>
    </row>
    <row r="1508" spans="1:21" ht="15.75" customHeight="1" x14ac:dyDescent="0.25">
      <c r="A1508" s="9" t="s">
        <v>8924</v>
      </c>
      <c r="B1508" s="10" t="s">
        <v>8925</v>
      </c>
      <c r="C1508" s="11" t="s">
        <v>8926</v>
      </c>
      <c r="D1508" s="21" t="s">
        <v>109</v>
      </c>
      <c r="E1508" s="11"/>
      <c r="F1508" s="13">
        <v>282</v>
      </c>
      <c r="G1508" s="14" t="s">
        <v>119</v>
      </c>
      <c r="H1508" s="11" t="s">
        <v>129</v>
      </c>
      <c r="I1508" s="15" t="s">
        <v>2539</v>
      </c>
      <c r="J1508" s="10" t="s">
        <v>8927</v>
      </c>
      <c r="K1508" s="11" t="s">
        <v>7109</v>
      </c>
      <c r="L1508" s="9" t="s">
        <v>158</v>
      </c>
      <c r="M1508" s="10" t="s">
        <v>159</v>
      </c>
      <c r="N1508" s="22"/>
      <c r="O1508" s="17"/>
      <c r="P1508" s="17"/>
      <c r="Q1508" s="18" t="s">
        <v>78</v>
      </c>
      <c r="R1508" s="18" t="s">
        <v>79</v>
      </c>
      <c r="S1508" s="18" t="s">
        <v>61</v>
      </c>
      <c r="T1508" s="18" t="s">
        <v>62</v>
      </c>
      <c r="U1508" s="19" t="s">
        <v>80</v>
      </c>
    </row>
    <row r="1509" spans="1:21" ht="15.75" customHeight="1" x14ac:dyDescent="0.25">
      <c r="A1509" s="27" t="s">
        <v>8928</v>
      </c>
      <c r="B1509" s="28" t="s">
        <v>8929</v>
      </c>
      <c r="C1509" s="29" t="s">
        <v>8930</v>
      </c>
      <c r="D1509" s="30" t="s">
        <v>8931</v>
      </c>
      <c r="E1509" s="29" t="s">
        <v>47</v>
      </c>
      <c r="F1509" s="31">
        <v>214</v>
      </c>
      <c r="G1509" s="20" t="s">
        <v>119</v>
      </c>
      <c r="H1509" s="29" t="s">
        <v>129</v>
      </c>
      <c r="I1509" s="32" t="s">
        <v>8932</v>
      </c>
      <c r="J1509" s="28" t="s">
        <v>8933</v>
      </c>
      <c r="K1509" s="29" t="s">
        <v>3001</v>
      </c>
      <c r="L1509" s="27" t="s">
        <v>90</v>
      </c>
      <c r="M1509" s="28" t="s">
        <v>91</v>
      </c>
      <c r="N1509" s="39" t="s">
        <v>179</v>
      </c>
      <c r="O1509" s="34" t="s">
        <v>292</v>
      </c>
      <c r="P1509" s="34" t="s">
        <v>293</v>
      </c>
      <c r="Q1509" s="35" t="s">
        <v>78</v>
      </c>
      <c r="R1509" s="35" t="s">
        <v>79</v>
      </c>
      <c r="S1509" s="35" t="s">
        <v>61</v>
      </c>
      <c r="T1509" s="35" t="s">
        <v>62</v>
      </c>
      <c r="U1509" s="36" t="s">
        <v>80</v>
      </c>
    </row>
    <row r="1510" spans="1:21" ht="15.75" customHeight="1" x14ac:dyDescent="0.25">
      <c r="A1510" s="9" t="s">
        <v>8934</v>
      </c>
      <c r="B1510" s="10" t="s">
        <v>8935</v>
      </c>
      <c r="C1510" s="11" t="s">
        <v>8936</v>
      </c>
      <c r="D1510" s="21" t="s">
        <v>109</v>
      </c>
      <c r="E1510" s="11" t="s">
        <v>98</v>
      </c>
      <c r="F1510" s="13">
        <v>286</v>
      </c>
      <c r="G1510" s="24" t="s">
        <v>85</v>
      </c>
      <c r="H1510" s="11" t="s">
        <v>129</v>
      </c>
      <c r="I1510" s="15" t="s">
        <v>8937</v>
      </c>
      <c r="J1510" s="10" t="s">
        <v>8938</v>
      </c>
      <c r="K1510" s="11"/>
      <c r="L1510" s="9"/>
      <c r="M1510" s="10"/>
      <c r="N1510" s="22"/>
      <c r="O1510" s="17"/>
      <c r="P1510" s="17"/>
      <c r="Q1510" s="18" t="s">
        <v>78</v>
      </c>
      <c r="R1510" s="18" t="s">
        <v>79</v>
      </c>
      <c r="S1510" s="18" t="s">
        <v>61</v>
      </c>
      <c r="T1510" s="18" t="s">
        <v>62</v>
      </c>
      <c r="U1510" s="19" t="s">
        <v>80</v>
      </c>
    </row>
    <row r="1511" spans="1:21" ht="15.75" customHeight="1" x14ac:dyDescent="0.25">
      <c r="A1511" s="27" t="s">
        <v>8939</v>
      </c>
      <c r="B1511" s="28" t="s">
        <v>8940</v>
      </c>
      <c r="C1511" s="29" t="s">
        <v>8941</v>
      </c>
      <c r="D1511" s="37" t="s">
        <v>109</v>
      </c>
      <c r="E1511" s="29" t="s">
        <v>1264</v>
      </c>
      <c r="F1511" s="29" t="s">
        <v>3307</v>
      </c>
      <c r="G1511" s="24" t="s">
        <v>85</v>
      </c>
      <c r="H1511" s="29" t="s">
        <v>100</v>
      </c>
      <c r="I1511" s="32" t="s">
        <v>3931</v>
      </c>
      <c r="J1511" s="28" t="s">
        <v>8942</v>
      </c>
      <c r="K1511" s="29"/>
      <c r="L1511" s="27"/>
      <c r="M1511" s="28"/>
      <c r="N1511" s="38"/>
      <c r="O1511" s="34"/>
      <c r="P1511" s="34"/>
      <c r="Q1511" s="35" t="s">
        <v>78</v>
      </c>
      <c r="R1511" s="35" t="s">
        <v>79</v>
      </c>
      <c r="S1511" s="35" t="s">
        <v>61</v>
      </c>
      <c r="T1511" s="35" t="s">
        <v>62</v>
      </c>
      <c r="U1511" s="36" t="s">
        <v>80</v>
      </c>
    </row>
    <row r="1512" spans="1:21" ht="15.75" customHeight="1" x14ac:dyDescent="0.25">
      <c r="A1512" s="9" t="s">
        <v>8943</v>
      </c>
      <c r="B1512" s="10" t="s">
        <v>8944</v>
      </c>
      <c r="C1512" s="11" t="s">
        <v>8945</v>
      </c>
      <c r="D1512" s="21" t="s">
        <v>109</v>
      </c>
      <c r="E1512" s="11" t="s">
        <v>98</v>
      </c>
      <c r="F1512" s="11" t="s">
        <v>118</v>
      </c>
      <c r="G1512" s="24" t="s">
        <v>85</v>
      </c>
      <c r="H1512" s="11" t="s">
        <v>120</v>
      </c>
      <c r="I1512" s="15" t="s">
        <v>8946</v>
      </c>
      <c r="J1512" s="10" t="s">
        <v>8947</v>
      </c>
      <c r="K1512" s="11"/>
      <c r="L1512" s="9"/>
      <c r="M1512" s="10"/>
      <c r="N1512" s="22"/>
      <c r="O1512" s="17"/>
      <c r="P1512" s="17"/>
      <c r="Q1512" s="18" t="s">
        <v>78</v>
      </c>
      <c r="R1512" s="18" t="s">
        <v>79</v>
      </c>
      <c r="S1512" s="18" t="s">
        <v>61</v>
      </c>
      <c r="T1512" s="18" t="s">
        <v>62</v>
      </c>
      <c r="U1512" s="19" t="s">
        <v>80</v>
      </c>
    </row>
    <row r="1513" spans="1:21" ht="15.75" customHeight="1" x14ac:dyDescent="0.25">
      <c r="A1513" s="27" t="s">
        <v>8948</v>
      </c>
      <c r="B1513" s="28" t="s">
        <v>8949</v>
      </c>
      <c r="C1513" s="29" t="s">
        <v>8950</v>
      </c>
      <c r="D1513" s="37" t="s">
        <v>109</v>
      </c>
      <c r="E1513" s="29" t="s">
        <v>47</v>
      </c>
      <c r="F1513" s="31">
        <v>252</v>
      </c>
      <c r="G1513" s="24" t="s">
        <v>85</v>
      </c>
      <c r="H1513" s="29" t="s">
        <v>129</v>
      </c>
      <c r="I1513" s="32" t="s">
        <v>7750</v>
      </c>
      <c r="J1513" s="28" t="s">
        <v>8951</v>
      </c>
      <c r="K1513" s="29"/>
      <c r="L1513" s="27"/>
      <c r="M1513" s="28"/>
      <c r="N1513" s="38"/>
      <c r="O1513" s="34"/>
      <c r="P1513" s="34"/>
      <c r="Q1513" s="35" t="s">
        <v>78</v>
      </c>
      <c r="R1513" s="35" t="s">
        <v>79</v>
      </c>
      <c r="S1513" s="35" t="s">
        <v>61</v>
      </c>
      <c r="T1513" s="35" t="s">
        <v>62</v>
      </c>
      <c r="U1513" s="36" t="s">
        <v>80</v>
      </c>
    </row>
    <row r="1514" spans="1:21" ht="15.75" customHeight="1" x14ac:dyDescent="0.25">
      <c r="A1514" s="9" t="s">
        <v>8952</v>
      </c>
      <c r="B1514" s="10" t="s">
        <v>8953</v>
      </c>
      <c r="C1514" s="11" t="s">
        <v>8954</v>
      </c>
      <c r="D1514" s="21" t="s">
        <v>109</v>
      </c>
      <c r="E1514" s="11" t="s">
        <v>47</v>
      </c>
      <c r="F1514" s="13">
        <v>214</v>
      </c>
      <c r="G1514" s="24" t="s">
        <v>85</v>
      </c>
      <c r="H1514" s="11" t="s">
        <v>129</v>
      </c>
      <c r="I1514" s="15" t="s">
        <v>1607</v>
      </c>
      <c r="J1514" s="10" t="s">
        <v>8955</v>
      </c>
      <c r="K1514" s="11"/>
      <c r="L1514" s="9"/>
      <c r="M1514" s="10"/>
      <c r="N1514" s="22"/>
      <c r="O1514" s="17"/>
      <c r="P1514" s="17"/>
      <c r="Q1514" s="18" t="s">
        <v>78</v>
      </c>
      <c r="R1514" s="18" t="s">
        <v>79</v>
      </c>
      <c r="S1514" s="18" t="s">
        <v>61</v>
      </c>
      <c r="T1514" s="18" t="s">
        <v>62</v>
      </c>
      <c r="U1514" s="19" t="s">
        <v>80</v>
      </c>
    </row>
    <row r="1515" spans="1:21" ht="15.75" customHeight="1" x14ac:dyDescent="0.25">
      <c r="A1515" s="27" t="s">
        <v>8956</v>
      </c>
      <c r="B1515" s="28" t="s">
        <v>8957</v>
      </c>
      <c r="C1515" s="29" t="s">
        <v>8958</v>
      </c>
      <c r="D1515" s="37" t="s">
        <v>109</v>
      </c>
      <c r="E1515" s="29" t="s">
        <v>47</v>
      </c>
      <c r="F1515" s="31">
        <v>82</v>
      </c>
      <c r="G1515" s="14" t="s">
        <v>119</v>
      </c>
      <c r="H1515" s="29" t="s">
        <v>48</v>
      </c>
      <c r="I1515" s="32" t="s">
        <v>8959</v>
      </c>
      <c r="J1515" s="28" t="s">
        <v>8960</v>
      </c>
      <c r="K1515" s="29" t="s">
        <v>8961</v>
      </c>
      <c r="L1515" s="27" t="s">
        <v>158</v>
      </c>
      <c r="M1515" s="28" t="s">
        <v>159</v>
      </c>
      <c r="N1515" s="38"/>
      <c r="O1515" s="34"/>
      <c r="P1515" s="34"/>
      <c r="Q1515" s="35" t="s">
        <v>78</v>
      </c>
      <c r="R1515" s="35" t="s">
        <v>79</v>
      </c>
      <c r="S1515" s="35" t="s">
        <v>61</v>
      </c>
      <c r="T1515" s="35" t="s">
        <v>62</v>
      </c>
      <c r="U1515" s="36" t="s">
        <v>80</v>
      </c>
    </row>
    <row r="1516" spans="1:21" ht="15.75" customHeight="1" x14ac:dyDescent="0.25">
      <c r="A1516" s="9" t="s">
        <v>8962</v>
      </c>
      <c r="B1516" s="10" t="s">
        <v>8963</v>
      </c>
      <c r="C1516" s="11" t="s">
        <v>8964</v>
      </c>
      <c r="D1516" s="21" t="s">
        <v>109</v>
      </c>
      <c r="E1516" s="11" t="s">
        <v>47</v>
      </c>
      <c r="F1516" s="13">
        <v>121.4</v>
      </c>
      <c r="G1516" s="14" t="s">
        <v>119</v>
      </c>
      <c r="H1516" s="11" t="s">
        <v>330</v>
      </c>
      <c r="I1516" s="15" t="s">
        <v>6474</v>
      </c>
      <c r="J1516" s="10" t="s">
        <v>8965</v>
      </c>
      <c r="K1516" s="11" t="s">
        <v>6861</v>
      </c>
      <c r="L1516" s="9" t="s">
        <v>158</v>
      </c>
      <c r="M1516" s="10" t="s">
        <v>159</v>
      </c>
      <c r="N1516" s="22"/>
      <c r="O1516" s="17"/>
      <c r="P1516" s="17"/>
      <c r="Q1516" s="18" t="s">
        <v>78</v>
      </c>
      <c r="R1516" s="18" t="s">
        <v>79</v>
      </c>
      <c r="S1516" s="18" t="s">
        <v>61</v>
      </c>
      <c r="T1516" s="18" t="s">
        <v>62</v>
      </c>
      <c r="U1516" s="19" t="s">
        <v>80</v>
      </c>
    </row>
    <row r="1517" spans="1:21" ht="15.75" customHeight="1" x14ac:dyDescent="0.25">
      <c r="A1517" s="27" t="s">
        <v>8966</v>
      </c>
      <c r="B1517" s="28" t="s">
        <v>8967</v>
      </c>
      <c r="C1517" s="29" t="s">
        <v>8968</v>
      </c>
      <c r="D1517" s="37" t="s">
        <v>109</v>
      </c>
      <c r="E1517" s="29" t="s">
        <v>47</v>
      </c>
      <c r="F1517" s="31">
        <v>216</v>
      </c>
      <c r="G1517" s="24" t="s">
        <v>85</v>
      </c>
      <c r="H1517" s="29" t="s">
        <v>129</v>
      </c>
      <c r="I1517" s="32" t="s">
        <v>6180</v>
      </c>
      <c r="J1517" s="28" t="s">
        <v>8969</v>
      </c>
      <c r="K1517" s="29"/>
      <c r="L1517" s="27"/>
      <c r="M1517" s="28"/>
      <c r="N1517" s="38"/>
      <c r="O1517" s="34"/>
      <c r="P1517" s="34"/>
      <c r="Q1517" s="35" t="s">
        <v>78</v>
      </c>
      <c r="R1517" s="35" t="s">
        <v>79</v>
      </c>
      <c r="S1517" s="35" t="s">
        <v>61</v>
      </c>
      <c r="T1517" s="35" t="s">
        <v>62</v>
      </c>
      <c r="U1517" s="36" t="s">
        <v>80</v>
      </c>
    </row>
    <row r="1518" spans="1:21" ht="15.75" customHeight="1" x14ac:dyDescent="0.25">
      <c r="A1518" s="9" t="s">
        <v>8970</v>
      </c>
      <c r="B1518" s="10" t="s">
        <v>8971</v>
      </c>
      <c r="C1518" s="11" t="s">
        <v>8972</v>
      </c>
      <c r="D1518" s="21" t="s">
        <v>109</v>
      </c>
      <c r="E1518" s="11" t="s">
        <v>47</v>
      </c>
      <c r="F1518" s="13">
        <v>208.3</v>
      </c>
      <c r="G1518" s="24" t="s">
        <v>85</v>
      </c>
      <c r="H1518" s="11" t="s">
        <v>129</v>
      </c>
      <c r="I1518" s="15" t="s">
        <v>8973</v>
      </c>
      <c r="J1518" s="10" t="s">
        <v>8974</v>
      </c>
      <c r="K1518" s="11"/>
      <c r="L1518" s="9"/>
      <c r="M1518" s="10"/>
      <c r="N1518" s="22"/>
      <c r="O1518" s="17"/>
      <c r="P1518" s="17"/>
      <c r="Q1518" s="18" t="s">
        <v>78</v>
      </c>
      <c r="R1518" s="18" t="s">
        <v>79</v>
      </c>
      <c r="S1518" s="18" t="s">
        <v>61</v>
      </c>
      <c r="T1518" s="18" t="s">
        <v>62</v>
      </c>
      <c r="U1518" s="19" t="s">
        <v>80</v>
      </c>
    </row>
    <row r="1519" spans="1:21" ht="15.75" customHeight="1" x14ac:dyDescent="0.25">
      <c r="A1519" s="27" t="s">
        <v>8975</v>
      </c>
      <c r="B1519" s="28" t="s">
        <v>8976</v>
      </c>
      <c r="C1519" s="29" t="s">
        <v>8977</v>
      </c>
      <c r="D1519" s="37" t="s">
        <v>109</v>
      </c>
      <c r="E1519" s="29" t="s">
        <v>47</v>
      </c>
      <c r="F1519" s="31">
        <v>259.10000000000002</v>
      </c>
      <c r="G1519" s="24" t="s">
        <v>85</v>
      </c>
      <c r="H1519" s="29" t="s">
        <v>129</v>
      </c>
      <c r="I1519" s="32" t="s">
        <v>8978</v>
      </c>
      <c r="J1519" s="28" t="s">
        <v>8979</v>
      </c>
      <c r="K1519" s="29"/>
      <c r="L1519" s="27"/>
      <c r="M1519" s="28"/>
      <c r="N1519" s="38"/>
      <c r="O1519" s="34"/>
      <c r="P1519" s="34"/>
      <c r="Q1519" s="35" t="s">
        <v>78</v>
      </c>
      <c r="R1519" s="35" t="s">
        <v>79</v>
      </c>
      <c r="S1519" s="35" t="s">
        <v>61</v>
      </c>
      <c r="T1519" s="35" t="s">
        <v>62</v>
      </c>
      <c r="U1519" s="36" t="s">
        <v>80</v>
      </c>
    </row>
    <row r="1520" spans="1:21" ht="15.75" customHeight="1" x14ac:dyDescent="0.25">
      <c r="A1520" s="9" t="s">
        <v>8980</v>
      </c>
      <c r="B1520" s="10" t="s">
        <v>8981</v>
      </c>
      <c r="C1520" s="11" t="s">
        <v>8982</v>
      </c>
      <c r="D1520" s="21" t="s">
        <v>109</v>
      </c>
      <c r="E1520" s="11" t="s">
        <v>47</v>
      </c>
      <c r="F1520" s="13">
        <v>133</v>
      </c>
      <c r="G1520" s="14" t="s">
        <v>119</v>
      </c>
      <c r="H1520" s="11" t="s">
        <v>330</v>
      </c>
      <c r="I1520" s="15" t="s">
        <v>4773</v>
      </c>
      <c r="J1520" s="10" t="s">
        <v>8983</v>
      </c>
      <c r="K1520" s="11" t="s">
        <v>903</v>
      </c>
      <c r="L1520" s="9" t="s">
        <v>158</v>
      </c>
      <c r="M1520" s="10" t="s">
        <v>159</v>
      </c>
      <c r="N1520" s="22"/>
      <c r="O1520" s="17"/>
      <c r="P1520" s="17"/>
      <c r="Q1520" s="18" t="s">
        <v>78</v>
      </c>
      <c r="R1520" s="18" t="s">
        <v>79</v>
      </c>
      <c r="S1520" s="18" t="s">
        <v>61</v>
      </c>
      <c r="T1520" s="18" t="s">
        <v>62</v>
      </c>
      <c r="U1520" s="19" t="s">
        <v>80</v>
      </c>
    </row>
    <row r="1521" spans="1:21" ht="15.75" customHeight="1" x14ac:dyDescent="0.25">
      <c r="A1521" s="27" t="s">
        <v>8984</v>
      </c>
      <c r="B1521" s="28" t="s">
        <v>8985</v>
      </c>
      <c r="C1521" s="29" t="s">
        <v>8986</v>
      </c>
      <c r="D1521" s="37" t="s">
        <v>109</v>
      </c>
      <c r="E1521" s="29" t="s">
        <v>47</v>
      </c>
      <c r="F1521" s="31">
        <v>160</v>
      </c>
      <c r="G1521" s="14" t="s">
        <v>119</v>
      </c>
      <c r="H1521" s="29" t="s">
        <v>86</v>
      </c>
      <c r="I1521" s="32" t="s">
        <v>8987</v>
      </c>
      <c r="J1521" s="28" t="s">
        <v>8988</v>
      </c>
      <c r="K1521" s="29" t="s">
        <v>8989</v>
      </c>
      <c r="L1521" s="27" t="s">
        <v>158</v>
      </c>
      <c r="M1521" s="28" t="s">
        <v>159</v>
      </c>
      <c r="N1521" s="38"/>
      <c r="O1521" s="34"/>
      <c r="P1521" s="34"/>
      <c r="Q1521" s="35" t="s">
        <v>78</v>
      </c>
      <c r="R1521" s="35" t="s">
        <v>79</v>
      </c>
      <c r="S1521" s="35" t="s">
        <v>61</v>
      </c>
      <c r="T1521" s="35" t="s">
        <v>62</v>
      </c>
      <c r="U1521" s="36" t="s">
        <v>80</v>
      </c>
    </row>
    <row r="1522" spans="1:21" ht="15.75" customHeight="1" x14ac:dyDescent="0.25">
      <c r="A1522" s="9" t="s">
        <v>8990</v>
      </c>
      <c r="B1522" s="10" t="s">
        <v>8991</v>
      </c>
      <c r="C1522" s="11" t="s">
        <v>8992</v>
      </c>
      <c r="D1522" s="21" t="s">
        <v>109</v>
      </c>
      <c r="E1522" s="11" t="s">
        <v>98</v>
      </c>
      <c r="F1522" s="11" t="s">
        <v>8993</v>
      </c>
      <c r="G1522" s="24" t="s">
        <v>85</v>
      </c>
      <c r="H1522" s="11" t="s">
        <v>100</v>
      </c>
      <c r="I1522" s="15" t="s">
        <v>2710</v>
      </c>
      <c r="J1522" s="10" t="s">
        <v>8994</v>
      </c>
      <c r="K1522" s="11" t="s">
        <v>1605</v>
      </c>
      <c r="L1522" s="9" t="s">
        <v>1350</v>
      </c>
      <c r="M1522" s="10" t="s">
        <v>1351</v>
      </c>
      <c r="N1522" s="22"/>
      <c r="O1522" s="17"/>
      <c r="P1522" s="17"/>
      <c r="Q1522" s="18" t="s">
        <v>78</v>
      </c>
      <c r="R1522" s="18" t="s">
        <v>79</v>
      </c>
      <c r="S1522" s="18" t="s">
        <v>61</v>
      </c>
      <c r="T1522" s="18" t="s">
        <v>62</v>
      </c>
      <c r="U1522" s="19" t="s">
        <v>80</v>
      </c>
    </row>
    <row r="1523" spans="1:21" ht="15.75" customHeight="1" x14ac:dyDescent="0.25">
      <c r="A1523" s="27" t="s">
        <v>8995</v>
      </c>
      <c r="B1523" s="28" t="s">
        <v>8996</v>
      </c>
      <c r="C1523" s="29" t="s">
        <v>8997</v>
      </c>
      <c r="D1523" s="37" t="s">
        <v>109</v>
      </c>
      <c r="E1523" s="29" t="s">
        <v>98</v>
      </c>
      <c r="F1523" s="29" t="s">
        <v>8998</v>
      </c>
      <c r="G1523" s="24" t="s">
        <v>85</v>
      </c>
      <c r="H1523" s="29" t="s">
        <v>100</v>
      </c>
      <c r="I1523" s="32" t="s">
        <v>8999</v>
      </c>
      <c r="J1523" s="28" t="s">
        <v>9000</v>
      </c>
      <c r="K1523" s="29" t="s">
        <v>2731</v>
      </c>
      <c r="L1523" s="27" t="s">
        <v>1350</v>
      </c>
      <c r="M1523" s="28" t="s">
        <v>1351</v>
      </c>
      <c r="N1523" s="38"/>
      <c r="O1523" s="34"/>
      <c r="P1523" s="34"/>
      <c r="Q1523" s="35" t="s">
        <v>78</v>
      </c>
      <c r="R1523" s="35" t="s">
        <v>79</v>
      </c>
      <c r="S1523" s="35" t="s">
        <v>61</v>
      </c>
      <c r="T1523" s="35" t="s">
        <v>62</v>
      </c>
      <c r="U1523" s="36" t="s">
        <v>80</v>
      </c>
    </row>
    <row r="1524" spans="1:21" ht="15.75" customHeight="1" x14ac:dyDescent="0.25">
      <c r="A1524" s="9" t="s">
        <v>9001</v>
      </c>
      <c r="B1524" s="10" t="s">
        <v>9002</v>
      </c>
      <c r="C1524" s="11" t="s">
        <v>9003</v>
      </c>
      <c r="D1524" s="21" t="s">
        <v>109</v>
      </c>
      <c r="E1524" s="11" t="s">
        <v>98</v>
      </c>
      <c r="F1524" s="11"/>
      <c r="G1524" s="24" t="s">
        <v>85</v>
      </c>
      <c r="H1524" s="11" t="s">
        <v>100</v>
      </c>
      <c r="I1524" s="15" t="s">
        <v>9004</v>
      </c>
      <c r="J1524" s="10" t="s">
        <v>9005</v>
      </c>
      <c r="K1524" s="11"/>
      <c r="L1524" s="9"/>
      <c r="M1524" s="10"/>
      <c r="N1524" s="22"/>
      <c r="O1524" s="17"/>
      <c r="P1524" s="17"/>
      <c r="Q1524" s="18" t="s">
        <v>78</v>
      </c>
      <c r="R1524" s="18" t="s">
        <v>79</v>
      </c>
      <c r="S1524" s="18" t="s">
        <v>61</v>
      </c>
      <c r="T1524" s="18" t="s">
        <v>62</v>
      </c>
      <c r="U1524" s="19" t="s">
        <v>80</v>
      </c>
    </row>
    <row r="1525" spans="1:21" ht="15.75" customHeight="1" x14ac:dyDescent="0.25">
      <c r="A1525" s="27" t="s">
        <v>9006</v>
      </c>
      <c r="B1525" s="28" t="s">
        <v>9007</v>
      </c>
      <c r="C1525" s="29" t="s">
        <v>9008</v>
      </c>
      <c r="D1525" s="37" t="s">
        <v>109</v>
      </c>
      <c r="E1525" s="29" t="s">
        <v>98</v>
      </c>
      <c r="F1525" s="29"/>
      <c r="G1525" s="24" t="s">
        <v>85</v>
      </c>
      <c r="H1525" s="29" t="s">
        <v>100</v>
      </c>
      <c r="I1525" s="32" t="s">
        <v>300</v>
      </c>
      <c r="J1525" s="28" t="s">
        <v>9009</v>
      </c>
      <c r="K1525" s="29" t="s">
        <v>332</v>
      </c>
      <c r="L1525" s="27" t="s">
        <v>197</v>
      </c>
      <c r="M1525" s="28" t="s">
        <v>198</v>
      </c>
      <c r="N1525" s="38"/>
      <c r="O1525" s="34"/>
      <c r="P1525" s="34"/>
      <c r="Q1525" s="35" t="s">
        <v>78</v>
      </c>
      <c r="R1525" s="35" t="s">
        <v>79</v>
      </c>
      <c r="S1525" s="35" t="s">
        <v>61</v>
      </c>
      <c r="T1525" s="35" t="s">
        <v>62</v>
      </c>
      <c r="U1525" s="36" t="s">
        <v>80</v>
      </c>
    </row>
    <row r="1526" spans="1:21" ht="15.75" customHeight="1" x14ac:dyDescent="0.25">
      <c r="A1526" s="9" t="s">
        <v>9010</v>
      </c>
      <c r="B1526" s="10" t="s">
        <v>9011</v>
      </c>
      <c r="C1526" s="11" t="s">
        <v>9012</v>
      </c>
      <c r="D1526" s="21" t="s">
        <v>109</v>
      </c>
      <c r="E1526" s="11" t="s">
        <v>98</v>
      </c>
      <c r="F1526" s="11" t="s">
        <v>3307</v>
      </c>
      <c r="G1526" s="24" t="s">
        <v>85</v>
      </c>
      <c r="H1526" s="11" t="s">
        <v>100</v>
      </c>
      <c r="I1526" s="15" t="s">
        <v>9013</v>
      </c>
      <c r="J1526" s="10" t="s">
        <v>9014</v>
      </c>
      <c r="K1526" s="11"/>
      <c r="L1526" s="9"/>
      <c r="M1526" s="10"/>
      <c r="N1526" s="22"/>
      <c r="O1526" s="17"/>
      <c r="P1526" s="17"/>
      <c r="Q1526" s="18" t="s">
        <v>78</v>
      </c>
      <c r="R1526" s="18" t="s">
        <v>79</v>
      </c>
      <c r="S1526" s="18" t="s">
        <v>61</v>
      </c>
      <c r="T1526" s="18" t="s">
        <v>62</v>
      </c>
      <c r="U1526" s="19" t="s">
        <v>80</v>
      </c>
    </row>
    <row r="1527" spans="1:21" ht="15.75" customHeight="1" x14ac:dyDescent="0.25">
      <c r="A1527" s="27" t="s">
        <v>9015</v>
      </c>
      <c r="B1527" s="28" t="s">
        <v>9016</v>
      </c>
      <c r="C1527" s="29" t="s">
        <v>9017</v>
      </c>
      <c r="D1527" s="37" t="s">
        <v>109</v>
      </c>
      <c r="E1527" s="29" t="s">
        <v>67</v>
      </c>
      <c r="F1527" s="31">
        <v>-5</v>
      </c>
      <c r="G1527" s="20" t="s">
        <v>68</v>
      </c>
      <c r="H1527" s="29" t="s">
        <v>421</v>
      </c>
      <c r="I1527" s="32" t="s">
        <v>4689</v>
      </c>
      <c r="J1527" s="28" t="s">
        <v>9018</v>
      </c>
      <c r="K1527" s="29" t="s">
        <v>6451</v>
      </c>
      <c r="L1527" s="27" t="s">
        <v>140</v>
      </c>
      <c r="M1527" s="28" t="s">
        <v>141</v>
      </c>
      <c r="N1527" s="38"/>
      <c r="O1527" s="34"/>
      <c r="P1527" s="34"/>
      <c r="Q1527" s="35" t="s">
        <v>78</v>
      </c>
      <c r="R1527" s="35" t="s">
        <v>79</v>
      </c>
      <c r="S1527" s="35" t="s">
        <v>61</v>
      </c>
      <c r="T1527" s="35" t="s">
        <v>62</v>
      </c>
      <c r="U1527" s="36" t="s">
        <v>80</v>
      </c>
    </row>
    <row r="1528" spans="1:21" ht="15.75" customHeight="1" x14ac:dyDescent="0.25">
      <c r="A1528" s="9" t="s">
        <v>9019</v>
      </c>
      <c r="B1528" s="10" t="s">
        <v>9020</v>
      </c>
      <c r="C1528" s="11" t="s">
        <v>9021</v>
      </c>
      <c r="D1528" s="21" t="s">
        <v>109</v>
      </c>
      <c r="E1528" s="11" t="s">
        <v>98</v>
      </c>
      <c r="F1528" s="11" t="s">
        <v>9022</v>
      </c>
      <c r="G1528" s="24" t="s">
        <v>85</v>
      </c>
      <c r="H1528" s="11" t="s">
        <v>100</v>
      </c>
      <c r="I1528" s="15" t="s">
        <v>9023</v>
      </c>
      <c r="J1528" s="10" t="s">
        <v>9024</v>
      </c>
      <c r="K1528" s="11"/>
      <c r="L1528" s="9"/>
      <c r="M1528" s="10"/>
      <c r="N1528" s="22"/>
      <c r="O1528" s="17"/>
      <c r="P1528" s="17"/>
      <c r="Q1528" s="18" t="s">
        <v>78</v>
      </c>
      <c r="R1528" s="18" t="s">
        <v>79</v>
      </c>
      <c r="S1528" s="18" t="s">
        <v>61</v>
      </c>
      <c r="T1528" s="18" t="s">
        <v>62</v>
      </c>
      <c r="U1528" s="19" t="s">
        <v>80</v>
      </c>
    </row>
    <row r="1529" spans="1:21" ht="15.75" customHeight="1" x14ac:dyDescent="0.25">
      <c r="A1529" s="27" t="s">
        <v>9025</v>
      </c>
      <c r="B1529" s="28" t="s">
        <v>9026</v>
      </c>
      <c r="C1529" s="29" t="s">
        <v>9027</v>
      </c>
      <c r="D1529" s="37" t="s">
        <v>109</v>
      </c>
      <c r="E1529" s="29" t="s">
        <v>98</v>
      </c>
      <c r="F1529" s="29"/>
      <c r="G1529" s="25" t="s">
        <v>110</v>
      </c>
      <c r="H1529" s="29" t="s">
        <v>100</v>
      </c>
      <c r="I1529" s="32" t="s">
        <v>9028</v>
      </c>
      <c r="J1529" s="28" t="s">
        <v>9029</v>
      </c>
      <c r="K1529" s="29" t="s">
        <v>2519</v>
      </c>
      <c r="L1529" s="27" t="s">
        <v>90</v>
      </c>
      <c r="M1529" s="28" t="s">
        <v>91</v>
      </c>
      <c r="N1529" s="38"/>
      <c r="O1529" s="34"/>
      <c r="P1529" s="34"/>
      <c r="Q1529" s="35" t="s">
        <v>78</v>
      </c>
      <c r="R1529" s="35" t="s">
        <v>79</v>
      </c>
      <c r="S1529" s="35" t="s">
        <v>61</v>
      </c>
      <c r="T1529" s="35" t="s">
        <v>62</v>
      </c>
      <c r="U1529" s="36" t="s">
        <v>80</v>
      </c>
    </row>
    <row r="1530" spans="1:21" ht="15.75" customHeight="1" x14ac:dyDescent="0.25">
      <c r="A1530" s="9" t="s">
        <v>9030</v>
      </c>
      <c r="B1530" s="10" t="s">
        <v>9031</v>
      </c>
      <c r="C1530" s="11" t="s">
        <v>9032</v>
      </c>
      <c r="D1530" s="21" t="s">
        <v>109</v>
      </c>
      <c r="E1530" s="11" t="s">
        <v>98</v>
      </c>
      <c r="F1530" s="11" t="s">
        <v>244</v>
      </c>
      <c r="G1530" s="25" t="s">
        <v>110</v>
      </c>
      <c r="H1530" s="11" t="s">
        <v>100</v>
      </c>
      <c r="I1530" s="15" t="s">
        <v>9033</v>
      </c>
      <c r="J1530" s="10" t="s">
        <v>9034</v>
      </c>
      <c r="K1530" s="11" t="s">
        <v>4252</v>
      </c>
      <c r="L1530" s="9" t="s">
        <v>90</v>
      </c>
      <c r="M1530" s="10" t="s">
        <v>91</v>
      </c>
      <c r="N1530" s="22"/>
      <c r="O1530" s="17"/>
      <c r="P1530" s="17"/>
      <c r="Q1530" s="18" t="s">
        <v>78</v>
      </c>
      <c r="R1530" s="18" t="s">
        <v>79</v>
      </c>
      <c r="S1530" s="18" t="s">
        <v>61</v>
      </c>
      <c r="T1530" s="18" t="s">
        <v>62</v>
      </c>
      <c r="U1530" s="19" t="s">
        <v>80</v>
      </c>
    </row>
    <row r="1531" spans="1:21" ht="15.75" customHeight="1" x14ac:dyDescent="0.25">
      <c r="A1531" s="27" t="s">
        <v>9035</v>
      </c>
      <c r="B1531" s="28" t="s">
        <v>9036</v>
      </c>
      <c r="C1531" s="29" t="s">
        <v>9037</v>
      </c>
      <c r="D1531" s="30" t="s">
        <v>9038</v>
      </c>
      <c r="E1531" s="29" t="s">
        <v>1264</v>
      </c>
      <c r="F1531" s="29"/>
      <c r="G1531" s="26" t="s">
        <v>119</v>
      </c>
      <c r="H1531" s="29" t="s">
        <v>100</v>
      </c>
      <c r="I1531" s="32" t="s">
        <v>9039</v>
      </c>
      <c r="J1531" s="28" t="s">
        <v>9040</v>
      </c>
      <c r="K1531" s="29" t="s">
        <v>9041</v>
      </c>
      <c r="L1531" s="27" t="s">
        <v>90</v>
      </c>
      <c r="M1531" s="28" t="s">
        <v>91</v>
      </c>
      <c r="N1531" s="33" t="s">
        <v>75</v>
      </c>
      <c r="O1531" s="34" t="s">
        <v>467</v>
      </c>
      <c r="P1531" s="34" t="s">
        <v>468</v>
      </c>
      <c r="Q1531" s="35" t="s">
        <v>78</v>
      </c>
      <c r="R1531" s="35" t="s">
        <v>79</v>
      </c>
      <c r="S1531" s="35" t="s">
        <v>61</v>
      </c>
      <c r="T1531" s="35" t="s">
        <v>62</v>
      </c>
      <c r="U1531" s="36" t="s">
        <v>80</v>
      </c>
    </row>
    <row r="1532" spans="1:21" ht="15.75" customHeight="1" x14ac:dyDescent="0.25">
      <c r="A1532" s="9" t="s">
        <v>9042</v>
      </c>
      <c r="B1532" s="10" t="s">
        <v>9043</v>
      </c>
      <c r="C1532" s="11" t="s">
        <v>9044</v>
      </c>
      <c r="D1532" s="12" t="s">
        <v>9045</v>
      </c>
      <c r="E1532" s="11" t="s">
        <v>98</v>
      </c>
      <c r="F1532" s="11"/>
      <c r="G1532" s="25" t="s">
        <v>708</v>
      </c>
      <c r="H1532" s="11" t="s">
        <v>120</v>
      </c>
      <c r="I1532" s="15" t="s">
        <v>9046</v>
      </c>
      <c r="J1532" s="10" t="s">
        <v>9047</v>
      </c>
      <c r="K1532" s="11" t="s">
        <v>9048</v>
      </c>
      <c r="L1532" s="9" t="s">
        <v>481</v>
      </c>
      <c r="M1532" s="10" t="s">
        <v>482</v>
      </c>
      <c r="N1532" s="16" t="s">
        <v>75</v>
      </c>
      <c r="O1532" s="17" t="s">
        <v>1127</v>
      </c>
      <c r="P1532" s="17" t="s">
        <v>1128</v>
      </c>
      <c r="Q1532" s="18" t="s">
        <v>78</v>
      </c>
      <c r="R1532" s="18" t="s">
        <v>79</v>
      </c>
      <c r="S1532" s="18" t="s">
        <v>61</v>
      </c>
      <c r="T1532" s="18" t="s">
        <v>62</v>
      </c>
      <c r="U1532" s="19" t="s">
        <v>80</v>
      </c>
    </row>
    <row r="1533" spans="1:21" ht="15.75" customHeight="1" x14ac:dyDescent="0.25">
      <c r="A1533" s="27" t="s">
        <v>9049</v>
      </c>
      <c r="B1533" s="28" t="s">
        <v>9050</v>
      </c>
      <c r="C1533" s="29" t="s">
        <v>9051</v>
      </c>
      <c r="D1533" s="30" t="s">
        <v>9052</v>
      </c>
      <c r="E1533" s="29" t="s">
        <v>47</v>
      </c>
      <c r="F1533" s="31">
        <v>110</v>
      </c>
      <c r="G1533" s="20" t="s">
        <v>119</v>
      </c>
      <c r="H1533" s="29" t="s">
        <v>330</v>
      </c>
      <c r="I1533" s="32" t="s">
        <v>7164</v>
      </c>
      <c r="J1533" s="28" t="s">
        <v>9053</v>
      </c>
      <c r="K1533" s="29" t="s">
        <v>9054</v>
      </c>
      <c r="L1533" s="27" t="s">
        <v>158</v>
      </c>
      <c r="M1533" s="28" t="s">
        <v>159</v>
      </c>
      <c r="N1533" s="33" t="s">
        <v>75</v>
      </c>
      <c r="O1533" s="34" t="s">
        <v>544</v>
      </c>
      <c r="P1533" s="34" t="s">
        <v>545</v>
      </c>
      <c r="Q1533" s="35" t="s">
        <v>78</v>
      </c>
      <c r="R1533" s="35" t="s">
        <v>79</v>
      </c>
      <c r="S1533" s="35" t="s">
        <v>61</v>
      </c>
      <c r="T1533" s="35" t="s">
        <v>62</v>
      </c>
      <c r="U1533" s="36" t="s">
        <v>80</v>
      </c>
    </row>
    <row r="1534" spans="1:21" ht="15.75" customHeight="1" x14ac:dyDescent="0.25">
      <c r="A1534" s="9" t="s">
        <v>9055</v>
      </c>
      <c r="B1534" s="10" t="s">
        <v>9056</v>
      </c>
      <c r="C1534" s="11" t="s">
        <v>9057</v>
      </c>
      <c r="D1534" s="21" t="s">
        <v>109</v>
      </c>
      <c r="E1534" s="11" t="s">
        <v>47</v>
      </c>
      <c r="F1534" s="11"/>
      <c r="G1534" s="20" t="s">
        <v>68</v>
      </c>
      <c r="H1534" s="11" t="s">
        <v>330</v>
      </c>
      <c r="I1534" s="15" t="s">
        <v>9058</v>
      </c>
      <c r="J1534" s="10" t="s">
        <v>9059</v>
      </c>
      <c r="K1534" s="11" t="s">
        <v>9060</v>
      </c>
      <c r="L1534" s="9" t="s">
        <v>140</v>
      </c>
      <c r="M1534" s="10" t="s">
        <v>141</v>
      </c>
      <c r="N1534" s="22"/>
      <c r="O1534" s="17"/>
      <c r="P1534" s="17"/>
      <c r="Q1534" s="18" t="s">
        <v>78</v>
      </c>
      <c r="R1534" s="18" t="s">
        <v>79</v>
      </c>
      <c r="S1534" s="18" t="s">
        <v>61</v>
      </c>
      <c r="T1534" s="18" t="s">
        <v>62</v>
      </c>
      <c r="U1534" s="19" t="s">
        <v>80</v>
      </c>
    </row>
    <row r="1535" spans="1:21" ht="15.75" customHeight="1" x14ac:dyDescent="0.25">
      <c r="A1535" s="27" t="s">
        <v>9061</v>
      </c>
      <c r="B1535" s="28" t="s">
        <v>9062</v>
      </c>
      <c r="C1535" s="29" t="s">
        <v>9063</v>
      </c>
      <c r="D1535" s="37" t="s">
        <v>109</v>
      </c>
      <c r="E1535" s="29" t="s">
        <v>1264</v>
      </c>
      <c r="F1535" s="29" t="s">
        <v>2237</v>
      </c>
      <c r="G1535" s="24" t="s">
        <v>85</v>
      </c>
      <c r="H1535" s="29" t="s">
        <v>100</v>
      </c>
      <c r="I1535" s="32" t="s">
        <v>4208</v>
      </c>
      <c r="J1535" s="28" t="s">
        <v>9064</v>
      </c>
      <c r="K1535" s="29"/>
      <c r="L1535" s="27"/>
      <c r="M1535" s="28"/>
      <c r="N1535" s="38"/>
      <c r="O1535" s="34"/>
      <c r="P1535" s="34"/>
      <c r="Q1535" s="35" t="s">
        <v>78</v>
      </c>
      <c r="R1535" s="35" t="s">
        <v>79</v>
      </c>
      <c r="S1535" s="35" t="s">
        <v>61</v>
      </c>
      <c r="T1535" s="35" t="s">
        <v>62</v>
      </c>
      <c r="U1535" s="36" t="s">
        <v>80</v>
      </c>
    </row>
    <row r="1536" spans="1:21" ht="15.75" customHeight="1" x14ac:dyDescent="0.25">
      <c r="A1536" s="9" t="s">
        <v>9065</v>
      </c>
      <c r="B1536" s="10" t="s">
        <v>9066</v>
      </c>
      <c r="C1536" s="11" t="s">
        <v>9067</v>
      </c>
      <c r="D1536" s="21" t="s">
        <v>109</v>
      </c>
      <c r="E1536" s="11" t="s">
        <v>98</v>
      </c>
      <c r="F1536" s="11" t="s">
        <v>118</v>
      </c>
      <c r="G1536" s="24" t="s">
        <v>85</v>
      </c>
      <c r="H1536" s="11" t="s">
        <v>120</v>
      </c>
      <c r="I1536" s="15" t="s">
        <v>6378</v>
      </c>
      <c r="J1536" s="10" t="s">
        <v>9068</v>
      </c>
      <c r="K1536" s="11"/>
      <c r="L1536" s="9"/>
      <c r="M1536" s="10"/>
      <c r="N1536" s="22"/>
      <c r="O1536" s="17"/>
      <c r="P1536" s="17"/>
      <c r="Q1536" s="18" t="s">
        <v>78</v>
      </c>
      <c r="R1536" s="18" t="s">
        <v>79</v>
      </c>
      <c r="S1536" s="18" t="s">
        <v>61</v>
      </c>
      <c r="T1536" s="18" t="s">
        <v>62</v>
      </c>
      <c r="U1536" s="19" t="s">
        <v>80</v>
      </c>
    </row>
    <row r="1537" spans="1:21" ht="15.75" customHeight="1" x14ac:dyDescent="0.25">
      <c r="A1537" s="27" t="s">
        <v>9069</v>
      </c>
      <c r="B1537" s="28" t="s">
        <v>9070</v>
      </c>
      <c r="C1537" s="29" t="s">
        <v>9071</v>
      </c>
      <c r="D1537" s="37" t="s">
        <v>109</v>
      </c>
      <c r="E1537" s="29" t="s">
        <v>47</v>
      </c>
      <c r="F1537" s="31">
        <v>107</v>
      </c>
      <c r="G1537" s="24" t="s">
        <v>85</v>
      </c>
      <c r="H1537" s="29" t="s">
        <v>330</v>
      </c>
      <c r="I1537" s="32" t="s">
        <v>1056</v>
      </c>
      <c r="J1537" s="28" t="s">
        <v>9072</v>
      </c>
      <c r="K1537" s="29"/>
      <c r="L1537" s="27"/>
      <c r="M1537" s="28"/>
      <c r="N1537" s="38"/>
      <c r="O1537" s="34"/>
      <c r="P1537" s="34"/>
      <c r="Q1537" s="35" t="s">
        <v>78</v>
      </c>
      <c r="R1537" s="35" t="s">
        <v>79</v>
      </c>
      <c r="S1537" s="35" t="s">
        <v>61</v>
      </c>
      <c r="T1537" s="35" t="s">
        <v>62</v>
      </c>
      <c r="U1537" s="36" t="s">
        <v>80</v>
      </c>
    </row>
    <row r="1538" spans="1:21" ht="15.75" customHeight="1" x14ac:dyDescent="0.25">
      <c r="A1538" s="9" t="s">
        <v>9073</v>
      </c>
      <c r="B1538" s="10" t="s">
        <v>9074</v>
      </c>
      <c r="C1538" s="11" t="s">
        <v>9075</v>
      </c>
      <c r="D1538" s="21" t="s">
        <v>109</v>
      </c>
      <c r="E1538" s="11" t="s">
        <v>98</v>
      </c>
      <c r="F1538" s="13">
        <v>284</v>
      </c>
      <c r="G1538" s="25" t="s">
        <v>110</v>
      </c>
      <c r="H1538" s="11" t="s">
        <v>129</v>
      </c>
      <c r="I1538" s="15" t="s">
        <v>6439</v>
      </c>
      <c r="J1538" s="10" t="s">
        <v>9076</v>
      </c>
      <c r="K1538" s="11" t="s">
        <v>3080</v>
      </c>
      <c r="L1538" s="9" t="s">
        <v>90</v>
      </c>
      <c r="M1538" s="10" t="s">
        <v>91</v>
      </c>
      <c r="N1538" s="22"/>
      <c r="O1538" s="17"/>
      <c r="P1538" s="17"/>
      <c r="Q1538" s="18" t="s">
        <v>78</v>
      </c>
      <c r="R1538" s="18" t="s">
        <v>79</v>
      </c>
      <c r="S1538" s="18" t="s">
        <v>61</v>
      </c>
      <c r="T1538" s="18" t="s">
        <v>62</v>
      </c>
      <c r="U1538" s="19" t="s">
        <v>80</v>
      </c>
    </row>
    <row r="1539" spans="1:21" ht="15.75" customHeight="1" x14ac:dyDescent="0.25">
      <c r="A1539" s="27" t="s">
        <v>9077</v>
      </c>
      <c r="B1539" s="28" t="s">
        <v>9078</v>
      </c>
      <c r="C1539" s="29" t="s">
        <v>9079</v>
      </c>
      <c r="D1539" s="37" t="s">
        <v>109</v>
      </c>
      <c r="E1539" s="29" t="s">
        <v>98</v>
      </c>
      <c r="F1539" s="29"/>
      <c r="G1539" s="25" t="s">
        <v>110</v>
      </c>
      <c r="H1539" s="29" t="s">
        <v>120</v>
      </c>
      <c r="I1539" s="32" t="s">
        <v>9080</v>
      </c>
      <c r="J1539" s="28" t="s">
        <v>9081</v>
      </c>
      <c r="K1539" s="29" t="s">
        <v>9082</v>
      </c>
      <c r="L1539" s="27" t="s">
        <v>481</v>
      </c>
      <c r="M1539" s="28" t="s">
        <v>482</v>
      </c>
      <c r="N1539" s="38"/>
      <c r="O1539" s="34"/>
      <c r="P1539" s="34"/>
      <c r="Q1539" s="35" t="s">
        <v>78</v>
      </c>
      <c r="R1539" s="35" t="s">
        <v>79</v>
      </c>
      <c r="S1539" s="35" t="s">
        <v>61</v>
      </c>
      <c r="T1539" s="35" t="s">
        <v>62</v>
      </c>
      <c r="U1539" s="36" t="s">
        <v>80</v>
      </c>
    </row>
    <row r="1540" spans="1:21" ht="15.75" customHeight="1" x14ac:dyDescent="0.25">
      <c r="A1540" s="9" t="s">
        <v>9083</v>
      </c>
      <c r="B1540" s="10" t="s">
        <v>9084</v>
      </c>
      <c r="C1540" s="11" t="s">
        <v>9085</v>
      </c>
      <c r="D1540" s="21" t="s">
        <v>109</v>
      </c>
      <c r="E1540" s="11" t="s">
        <v>47</v>
      </c>
      <c r="F1540" s="13">
        <v>138</v>
      </c>
      <c r="G1540" s="25" t="s">
        <v>110</v>
      </c>
      <c r="H1540" s="11" t="s">
        <v>330</v>
      </c>
      <c r="I1540" s="15" t="s">
        <v>500</v>
      </c>
      <c r="J1540" s="10" t="s">
        <v>9086</v>
      </c>
      <c r="K1540" s="11" t="s">
        <v>9087</v>
      </c>
      <c r="L1540" s="9" t="s">
        <v>90</v>
      </c>
      <c r="M1540" s="10" t="s">
        <v>91</v>
      </c>
      <c r="N1540" s="22"/>
      <c r="O1540" s="17"/>
      <c r="P1540" s="17"/>
      <c r="Q1540" s="18" t="s">
        <v>78</v>
      </c>
      <c r="R1540" s="18" t="s">
        <v>79</v>
      </c>
      <c r="S1540" s="18" t="s">
        <v>61</v>
      </c>
      <c r="T1540" s="18" t="s">
        <v>62</v>
      </c>
      <c r="U1540" s="19" t="s">
        <v>80</v>
      </c>
    </row>
    <row r="1541" spans="1:21" ht="15.75" customHeight="1" x14ac:dyDescent="0.25">
      <c r="A1541" s="27" t="s">
        <v>9088</v>
      </c>
      <c r="B1541" s="28" t="s">
        <v>9089</v>
      </c>
      <c r="C1541" s="29" t="s">
        <v>9090</v>
      </c>
      <c r="D1541" s="37" t="s">
        <v>109</v>
      </c>
      <c r="E1541" s="29" t="s">
        <v>47</v>
      </c>
      <c r="F1541" s="31">
        <v>129</v>
      </c>
      <c r="G1541" s="25" t="s">
        <v>110</v>
      </c>
      <c r="H1541" s="29" t="s">
        <v>330</v>
      </c>
      <c r="I1541" s="32" t="s">
        <v>3683</v>
      </c>
      <c r="J1541" s="28" t="s">
        <v>9091</v>
      </c>
      <c r="K1541" s="29" t="s">
        <v>9092</v>
      </c>
      <c r="L1541" s="27" t="s">
        <v>90</v>
      </c>
      <c r="M1541" s="28" t="s">
        <v>91</v>
      </c>
      <c r="N1541" s="38"/>
      <c r="O1541" s="34"/>
      <c r="P1541" s="34"/>
      <c r="Q1541" s="35" t="s">
        <v>78</v>
      </c>
      <c r="R1541" s="35" t="s">
        <v>79</v>
      </c>
      <c r="S1541" s="35" t="s">
        <v>61</v>
      </c>
      <c r="T1541" s="35" t="s">
        <v>62</v>
      </c>
      <c r="U1541" s="36" t="s">
        <v>80</v>
      </c>
    </row>
    <row r="1542" spans="1:21" ht="15.75" customHeight="1" x14ac:dyDescent="0.25">
      <c r="A1542" s="9" t="s">
        <v>9093</v>
      </c>
      <c r="B1542" s="10" t="s">
        <v>9094</v>
      </c>
      <c r="C1542" s="11" t="s">
        <v>9095</v>
      </c>
      <c r="D1542" s="21" t="s">
        <v>109</v>
      </c>
      <c r="E1542" s="11" t="s">
        <v>47</v>
      </c>
      <c r="F1542" s="13">
        <v>115</v>
      </c>
      <c r="G1542" s="25" t="s">
        <v>110</v>
      </c>
      <c r="H1542" s="11" t="s">
        <v>330</v>
      </c>
      <c r="I1542" s="15" t="s">
        <v>1101</v>
      </c>
      <c r="J1542" s="10" t="s">
        <v>9096</v>
      </c>
      <c r="K1542" s="11" t="s">
        <v>9097</v>
      </c>
      <c r="L1542" s="9" t="s">
        <v>90</v>
      </c>
      <c r="M1542" s="10" t="s">
        <v>91</v>
      </c>
      <c r="N1542" s="22"/>
      <c r="O1542" s="17"/>
      <c r="P1542" s="17"/>
      <c r="Q1542" s="18" t="s">
        <v>78</v>
      </c>
      <c r="R1542" s="18" t="s">
        <v>79</v>
      </c>
      <c r="S1542" s="18" t="s">
        <v>61</v>
      </c>
      <c r="T1542" s="18" t="s">
        <v>62</v>
      </c>
      <c r="U1542" s="19" t="s">
        <v>80</v>
      </c>
    </row>
    <row r="1543" spans="1:21" ht="15.75" customHeight="1" x14ac:dyDescent="0.25">
      <c r="A1543" s="27" t="s">
        <v>9098</v>
      </c>
      <c r="B1543" s="28" t="s">
        <v>9099</v>
      </c>
      <c r="C1543" s="29" t="s">
        <v>9100</v>
      </c>
      <c r="D1543" s="37" t="s">
        <v>109</v>
      </c>
      <c r="E1543" s="29" t="s">
        <v>98</v>
      </c>
      <c r="F1543" s="31">
        <v>5425</v>
      </c>
      <c r="G1543" s="14" t="s">
        <v>119</v>
      </c>
      <c r="H1543" s="29" t="s">
        <v>129</v>
      </c>
      <c r="I1543" s="32" t="s">
        <v>6614</v>
      </c>
      <c r="J1543" s="28" t="s">
        <v>9101</v>
      </c>
      <c r="K1543" s="29" t="s">
        <v>1697</v>
      </c>
      <c r="L1543" s="27" t="s">
        <v>1698</v>
      </c>
      <c r="M1543" s="28" t="s">
        <v>1699</v>
      </c>
      <c r="N1543" s="38"/>
      <c r="O1543" s="34"/>
      <c r="P1543" s="34"/>
      <c r="Q1543" s="35" t="s">
        <v>78</v>
      </c>
      <c r="R1543" s="35" t="s">
        <v>79</v>
      </c>
      <c r="S1543" s="35" t="s">
        <v>61</v>
      </c>
      <c r="T1543" s="35" t="s">
        <v>62</v>
      </c>
      <c r="U1543" s="36" t="s">
        <v>80</v>
      </c>
    </row>
    <row r="1544" spans="1:21" ht="15.75" customHeight="1" x14ac:dyDescent="0.25">
      <c r="A1544" s="9" t="s">
        <v>9102</v>
      </c>
      <c r="B1544" s="10" t="s">
        <v>9103</v>
      </c>
      <c r="C1544" s="11" t="s">
        <v>9104</v>
      </c>
      <c r="D1544" s="12" t="s">
        <v>639</v>
      </c>
      <c r="E1544" s="11" t="s">
        <v>47</v>
      </c>
      <c r="F1544" s="13">
        <v>218</v>
      </c>
      <c r="G1544" s="20" t="s">
        <v>119</v>
      </c>
      <c r="H1544" s="11" t="s">
        <v>129</v>
      </c>
      <c r="I1544" s="15" t="s">
        <v>9105</v>
      </c>
      <c r="J1544" s="10" t="s">
        <v>9106</v>
      </c>
      <c r="K1544" s="11"/>
      <c r="L1544" s="9"/>
      <c r="M1544" s="10"/>
      <c r="N1544" s="16" t="s">
        <v>75</v>
      </c>
      <c r="O1544" s="17" t="s">
        <v>180</v>
      </c>
      <c r="P1544" s="17" t="s">
        <v>181</v>
      </c>
      <c r="Q1544" s="18" t="s">
        <v>78</v>
      </c>
      <c r="R1544" s="18" t="s">
        <v>79</v>
      </c>
      <c r="S1544" s="18" t="s">
        <v>61</v>
      </c>
      <c r="T1544" s="18" t="s">
        <v>62</v>
      </c>
      <c r="U1544" s="19" t="s">
        <v>80</v>
      </c>
    </row>
    <row r="1545" spans="1:21" ht="15.75" customHeight="1" x14ac:dyDescent="0.25">
      <c r="A1545" s="27" t="s">
        <v>9107</v>
      </c>
      <c r="B1545" s="28" t="s">
        <v>9108</v>
      </c>
      <c r="C1545" s="29" t="s">
        <v>9109</v>
      </c>
      <c r="D1545" s="37" t="s">
        <v>109</v>
      </c>
      <c r="E1545" s="29"/>
      <c r="F1545" s="29"/>
      <c r="G1545" s="24" t="s">
        <v>85</v>
      </c>
      <c r="H1545" s="29" t="s">
        <v>120</v>
      </c>
      <c r="I1545" s="32" t="s">
        <v>3059</v>
      </c>
      <c r="J1545" s="28" t="s">
        <v>9110</v>
      </c>
      <c r="K1545" s="29"/>
      <c r="L1545" s="27"/>
      <c r="M1545" s="28"/>
      <c r="N1545" s="38"/>
      <c r="O1545" s="34"/>
      <c r="P1545" s="34"/>
      <c r="Q1545" s="35" t="s">
        <v>78</v>
      </c>
      <c r="R1545" s="35" t="s">
        <v>79</v>
      </c>
      <c r="S1545" s="35" t="s">
        <v>61</v>
      </c>
      <c r="T1545" s="35" t="s">
        <v>62</v>
      </c>
      <c r="U1545" s="36" t="s">
        <v>80</v>
      </c>
    </row>
    <row r="1546" spans="1:21" ht="15.75" customHeight="1" x14ac:dyDescent="0.25">
      <c r="A1546" s="9" t="s">
        <v>9111</v>
      </c>
      <c r="B1546" s="10" t="s">
        <v>9112</v>
      </c>
      <c r="C1546" s="11" t="s">
        <v>9113</v>
      </c>
      <c r="D1546" s="21" t="s">
        <v>109</v>
      </c>
      <c r="E1546" s="11" t="s">
        <v>47</v>
      </c>
      <c r="F1546" s="13">
        <v>171</v>
      </c>
      <c r="G1546" s="24" t="s">
        <v>85</v>
      </c>
      <c r="H1546" s="11" t="s">
        <v>86</v>
      </c>
      <c r="I1546" s="15" t="s">
        <v>9114</v>
      </c>
      <c r="J1546" s="10" t="s">
        <v>9115</v>
      </c>
      <c r="K1546" s="11"/>
      <c r="L1546" s="9"/>
      <c r="M1546" s="10"/>
      <c r="N1546" s="22"/>
      <c r="O1546" s="17"/>
      <c r="P1546" s="17"/>
      <c r="Q1546" s="18" t="s">
        <v>78</v>
      </c>
      <c r="R1546" s="18" t="s">
        <v>79</v>
      </c>
      <c r="S1546" s="18" t="s">
        <v>61</v>
      </c>
      <c r="T1546" s="18" t="s">
        <v>62</v>
      </c>
      <c r="U1546" s="19" t="s">
        <v>80</v>
      </c>
    </row>
    <row r="1547" spans="1:21" ht="15.75" customHeight="1" x14ac:dyDescent="0.25">
      <c r="A1547" s="27" t="s">
        <v>9116</v>
      </c>
      <c r="B1547" s="28" t="s">
        <v>9117</v>
      </c>
      <c r="C1547" s="29" t="s">
        <v>9118</v>
      </c>
      <c r="D1547" s="37" t="s">
        <v>109</v>
      </c>
      <c r="E1547" s="29" t="s">
        <v>47</v>
      </c>
      <c r="F1547" s="31">
        <v>247</v>
      </c>
      <c r="G1547" s="24" t="s">
        <v>85</v>
      </c>
      <c r="H1547" s="29" t="s">
        <v>129</v>
      </c>
      <c r="I1547" s="32" t="s">
        <v>9119</v>
      </c>
      <c r="J1547" s="28" t="s">
        <v>9120</v>
      </c>
      <c r="K1547" s="29"/>
      <c r="L1547" s="27"/>
      <c r="M1547" s="28"/>
      <c r="N1547" s="38"/>
      <c r="O1547" s="34"/>
      <c r="P1547" s="34"/>
      <c r="Q1547" s="35" t="s">
        <v>78</v>
      </c>
      <c r="R1547" s="35" t="s">
        <v>79</v>
      </c>
      <c r="S1547" s="35" t="s">
        <v>61</v>
      </c>
      <c r="T1547" s="35" t="s">
        <v>62</v>
      </c>
      <c r="U1547" s="36" t="s">
        <v>80</v>
      </c>
    </row>
    <row r="1548" spans="1:21" ht="15.75" customHeight="1" x14ac:dyDescent="0.25">
      <c r="A1548" s="9" t="s">
        <v>9121</v>
      </c>
      <c r="B1548" s="10" t="s">
        <v>9122</v>
      </c>
      <c r="C1548" s="11" t="s">
        <v>9123</v>
      </c>
      <c r="D1548" s="21" t="s">
        <v>109</v>
      </c>
      <c r="E1548" s="11" t="s">
        <v>47</v>
      </c>
      <c r="F1548" s="11">
        <v>282</v>
      </c>
      <c r="G1548" s="24" t="s">
        <v>85</v>
      </c>
      <c r="H1548" s="11" t="s">
        <v>120</v>
      </c>
      <c r="I1548" s="15" t="s">
        <v>9124</v>
      </c>
      <c r="J1548" s="10" t="s">
        <v>9125</v>
      </c>
      <c r="K1548" s="11"/>
      <c r="L1548" s="9"/>
      <c r="M1548" s="10"/>
      <c r="N1548" s="22"/>
      <c r="O1548" s="17"/>
      <c r="P1548" s="17"/>
      <c r="Q1548" s="18" t="s">
        <v>78</v>
      </c>
      <c r="R1548" s="18" t="s">
        <v>79</v>
      </c>
      <c r="S1548" s="18" t="s">
        <v>61</v>
      </c>
      <c r="T1548" s="18" t="s">
        <v>62</v>
      </c>
      <c r="U1548" s="19" t="s">
        <v>80</v>
      </c>
    </row>
    <row r="1549" spans="1:21" ht="15.75" customHeight="1" x14ac:dyDescent="0.25">
      <c r="A1549" s="27" t="s">
        <v>9126</v>
      </c>
      <c r="B1549" s="28" t="s">
        <v>9127</v>
      </c>
      <c r="C1549" s="29" t="s">
        <v>9128</v>
      </c>
      <c r="D1549" s="37" t="s">
        <v>109</v>
      </c>
      <c r="E1549" s="29"/>
      <c r="F1549" s="31">
        <v>637</v>
      </c>
      <c r="G1549" s="24" t="s">
        <v>85</v>
      </c>
      <c r="H1549" s="29" t="s">
        <v>129</v>
      </c>
      <c r="I1549" s="32" t="s">
        <v>9129</v>
      </c>
      <c r="J1549" s="28" t="s">
        <v>9130</v>
      </c>
      <c r="K1549" s="29"/>
      <c r="L1549" s="27"/>
      <c r="M1549" s="28"/>
      <c r="N1549" s="38"/>
      <c r="O1549" s="34"/>
      <c r="P1549" s="34"/>
      <c r="Q1549" s="35" t="s">
        <v>78</v>
      </c>
      <c r="R1549" s="35" t="s">
        <v>79</v>
      </c>
      <c r="S1549" s="35" t="s">
        <v>61</v>
      </c>
      <c r="T1549" s="35" t="s">
        <v>62</v>
      </c>
      <c r="U1549" s="36" t="s">
        <v>80</v>
      </c>
    </row>
    <row r="1550" spans="1:21" ht="15.75" customHeight="1" x14ac:dyDescent="0.25">
      <c r="A1550" s="9" t="s">
        <v>9131</v>
      </c>
      <c r="B1550" s="10" t="s">
        <v>9132</v>
      </c>
      <c r="C1550" s="11" t="s">
        <v>9133</v>
      </c>
      <c r="D1550" s="21" t="s">
        <v>109</v>
      </c>
      <c r="E1550" s="11" t="s">
        <v>98</v>
      </c>
      <c r="F1550" s="11" t="s">
        <v>9134</v>
      </c>
      <c r="G1550" s="25" t="s">
        <v>110</v>
      </c>
      <c r="H1550" s="11" t="s">
        <v>120</v>
      </c>
      <c r="I1550" s="15" t="s">
        <v>9135</v>
      </c>
      <c r="J1550" s="10" t="s">
        <v>9136</v>
      </c>
      <c r="K1550" s="11" t="s">
        <v>9137</v>
      </c>
      <c r="L1550" s="9" t="s">
        <v>90</v>
      </c>
      <c r="M1550" s="10" t="s">
        <v>91</v>
      </c>
      <c r="N1550" s="22"/>
      <c r="O1550" s="17"/>
      <c r="P1550" s="17"/>
      <c r="Q1550" s="18" t="s">
        <v>78</v>
      </c>
      <c r="R1550" s="18" t="s">
        <v>79</v>
      </c>
      <c r="S1550" s="18" t="s">
        <v>61</v>
      </c>
      <c r="T1550" s="18" t="s">
        <v>62</v>
      </c>
      <c r="U1550" s="19" t="s">
        <v>80</v>
      </c>
    </row>
    <row r="1551" spans="1:21" ht="15.75" customHeight="1" x14ac:dyDescent="0.25">
      <c r="A1551" s="27" t="s">
        <v>9138</v>
      </c>
      <c r="B1551" s="28" t="s">
        <v>9139</v>
      </c>
      <c r="C1551" s="29" t="s">
        <v>9140</v>
      </c>
      <c r="D1551" s="37" t="s">
        <v>109</v>
      </c>
      <c r="E1551" s="29" t="s">
        <v>98</v>
      </c>
      <c r="F1551" s="29"/>
      <c r="G1551" s="24" t="s">
        <v>85</v>
      </c>
      <c r="H1551" s="29" t="s">
        <v>120</v>
      </c>
      <c r="I1551" s="32" t="s">
        <v>1874</v>
      </c>
      <c r="J1551" s="28" t="s">
        <v>9141</v>
      </c>
      <c r="K1551" s="29"/>
      <c r="L1551" s="27"/>
      <c r="M1551" s="28"/>
      <c r="N1551" s="38"/>
      <c r="O1551" s="34"/>
      <c r="P1551" s="34"/>
      <c r="Q1551" s="35" t="s">
        <v>78</v>
      </c>
      <c r="R1551" s="35" t="s">
        <v>79</v>
      </c>
      <c r="S1551" s="35" t="s">
        <v>61</v>
      </c>
      <c r="T1551" s="35" t="s">
        <v>62</v>
      </c>
      <c r="U1551" s="36" t="s">
        <v>80</v>
      </c>
    </row>
    <row r="1552" spans="1:21" ht="15.75" customHeight="1" x14ac:dyDescent="0.25">
      <c r="A1552" s="9" t="s">
        <v>9142</v>
      </c>
      <c r="B1552" s="10" t="s">
        <v>9143</v>
      </c>
      <c r="C1552" s="11" t="s">
        <v>9144</v>
      </c>
      <c r="D1552" s="21" t="s">
        <v>109</v>
      </c>
      <c r="E1552" s="11" t="s">
        <v>98</v>
      </c>
      <c r="F1552" s="13">
        <v>380</v>
      </c>
      <c r="G1552" s="24" t="s">
        <v>85</v>
      </c>
      <c r="H1552" s="11" t="s">
        <v>129</v>
      </c>
      <c r="I1552" s="15" t="s">
        <v>411</v>
      </c>
      <c r="J1552" s="10" t="s">
        <v>9145</v>
      </c>
      <c r="K1552" s="11"/>
      <c r="L1552" s="9"/>
      <c r="M1552" s="10"/>
      <c r="N1552" s="22"/>
      <c r="O1552" s="17"/>
      <c r="P1552" s="17"/>
      <c r="Q1552" s="18" t="s">
        <v>78</v>
      </c>
      <c r="R1552" s="18" t="s">
        <v>79</v>
      </c>
      <c r="S1552" s="18" t="s">
        <v>61</v>
      </c>
      <c r="T1552" s="18" t="s">
        <v>62</v>
      </c>
      <c r="U1552" s="19" t="s">
        <v>80</v>
      </c>
    </row>
    <row r="1553" spans="1:21" ht="15.75" customHeight="1" x14ac:dyDescent="0.25">
      <c r="A1553" s="27" t="s">
        <v>9146</v>
      </c>
      <c r="B1553" s="28" t="s">
        <v>9147</v>
      </c>
      <c r="C1553" s="29" t="s">
        <v>9148</v>
      </c>
      <c r="D1553" s="37" t="s">
        <v>109</v>
      </c>
      <c r="E1553" s="29" t="s">
        <v>1264</v>
      </c>
      <c r="F1553" s="29"/>
      <c r="G1553" s="14" t="s">
        <v>119</v>
      </c>
      <c r="H1553" s="29" t="s">
        <v>100</v>
      </c>
      <c r="I1553" s="32" t="s">
        <v>9149</v>
      </c>
      <c r="J1553" s="28" t="s">
        <v>9150</v>
      </c>
      <c r="K1553" s="29" t="s">
        <v>8640</v>
      </c>
      <c r="L1553" s="27" t="s">
        <v>1203</v>
      </c>
      <c r="M1553" s="28" t="s">
        <v>1204</v>
      </c>
      <c r="N1553" s="38"/>
      <c r="O1553" s="34"/>
      <c r="P1553" s="34"/>
      <c r="Q1553" s="35" t="s">
        <v>78</v>
      </c>
      <c r="R1553" s="35" t="s">
        <v>79</v>
      </c>
      <c r="S1553" s="35" t="s">
        <v>61</v>
      </c>
      <c r="T1553" s="35" t="s">
        <v>62</v>
      </c>
      <c r="U1553" s="36" t="s">
        <v>80</v>
      </c>
    </row>
    <row r="1554" spans="1:21" ht="15.75" customHeight="1" x14ac:dyDescent="0.25">
      <c r="A1554" s="9" t="s">
        <v>9151</v>
      </c>
      <c r="B1554" s="10" t="s">
        <v>9152</v>
      </c>
      <c r="C1554" s="11" t="s">
        <v>9153</v>
      </c>
      <c r="D1554" s="12" t="s">
        <v>193</v>
      </c>
      <c r="E1554" s="11" t="s">
        <v>98</v>
      </c>
      <c r="F1554" s="11"/>
      <c r="G1554" s="20" t="s">
        <v>85</v>
      </c>
      <c r="H1554" s="11" t="s">
        <v>100</v>
      </c>
      <c r="I1554" s="15" t="s">
        <v>7323</v>
      </c>
      <c r="J1554" s="10" t="s">
        <v>9154</v>
      </c>
      <c r="K1554" s="11"/>
      <c r="L1554" s="9"/>
      <c r="M1554" s="10"/>
      <c r="N1554" s="16" t="s">
        <v>75</v>
      </c>
      <c r="O1554" s="17" t="s">
        <v>1409</v>
      </c>
      <c r="P1554" s="17" t="s">
        <v>1410</v>
      </c>
      <c r="Q1554" s="18" t="s">
        <v>78</v>
      </c>
      <c r="R1554" s="18" t="s">
        <v>79</v>
      </c>
      <c r="S1554" s="18" t="s">
        <v>61</v>
      </c>
      <c r="T1554" s="18" t="s">
        <v>62</v>
      </c>
      <c r="U1554" s="19" t="s">
        <v>80</v>
      </c>
    </row>
    <row r="1555" spans="1:21" ht="15.75" customHeight="1" x14ac:dyDescent="0.25">
      <c r="A1555" s="27" t="s">
        <v>9155</v>
      </c>
      <c r="B1555" s="28" t="s">
        <v>9156</v>
      </c>
      <c r="C1555" s="29" t="s">
        <v>9157</v>
      </c>
      <c r="D1555" s="37" t="s">
        <v>109</v>
      </c>
      <c r="E1555" s="29" t="s">
        <v>98</v>
      </c>
      <c r="F1555" s="29"/>
      <c r="G1555" s="24" t="s">
        <v>85</v>
      </c>
      <c r="H1555" s="29" t="s">
        <v>100</v>
      </c>
      <c r="I1555" s="32" t="s">
        <v>9158</v>
      </c>
      <c r="J1555" s="28" t="s">
        <v>9159</v>
      </c>
      <c r="K1555" s="29"/>
      <c r="L1555" s="27"/>
      <c r="M1555" s="28"/>
      <c r="N1555" s="38"/>
      <c r="O1555" s="34"/>
      <c r="P1555" s="34"/>
      <c r="Q1555" s="35" t="s">
        <v>78</v>
      </c>
      <c r="R1555" s="35" t="s">
        <v>79</v>
      </c>
      <c r="S1555" s="35" t="s">
        <v>61</v>
      </c>
      <c r="T1555" s="35" t="s">
        <v>62</v>
      </c>
      <c r="U1555" s="36" t="s">
        <v>80</v>
      </c>
    </row>
    <row r="1556" spans="1:21" ht="15.75" customHeight="1" x14ac:dyDescent="0.25">
      <c r="A1556" s="9" t="s">
        <v>9160</v>
      </c>
      <c r="B1556" s="10" t="s">
        <v>9161</v>
      </c>
      <c r="C1556" s="11" t="s">
        <v>9162</v>
      </c>
      <c r="D1556" s="21" t="s">
        <v>109</v>
      </c>
      <c r="E1556" s="11" t="s">
        <v>47</v>
      </c>
      <c r="F1556" s="11" t="s">
        <v>9163</v>
      </c>
      <c r="G1556" s="25" t="s">
        <v>110</v>
      </c>
      <c r="H1556" s="11" t="s">
        <v>330</v>
      </c>
      <c r="I1556" s="15" t="s">
        <v>9164</v>
      </c>
      <c r="J1556" s="10" t="s">
        <v>9165</v>
      </c>
      <c r="K1556" s="11" t="s">
        <v>9166</v>
      </c>
      <c r="L1556" s="9" t="s">
        <v>90</v>
      </c>
      <c r="M1556" s="10" t="s">
        <v>91</v>
      </c>
      <c r="N1556" s="22"/>
      <c r="O1556" s="17"/>
      <c r="P1556" s="17"/>
      <c r="Q1556" s="18" t="s">
        <v>78</v>
      </c>
      <c r="R1556" s="18" t="s">
        <v>79</v>
      </c>
      <c r="S1556" s="18" t="s">
        <v>61</v>
      </c>
      <c r="T1556" s="18" t="s">
        <v>62</v>
      </c>
      <c r="U1556" s="19" t="s">
        <v>80</v>
      </c>
    </row>
    <row r="1557" spans="1:21" ht="15.75" customHeight="1" x14ac:dyDescent="0.25">
      <c r="A1557" s="27" t="s">
        <v>9167</v>
      </c>
      <c r="B1557" s="28" t="s">
        <v>9168</v>
      </c>
      <c r="C1557" s="29" t="s">
        <v>9169</v>
      </c>
      <c r="D1557" s="37" t="s">
        <v>109</v>
      </c>
      <c r="E1557" s="29" t="s">
        <v>47</v>
      </c>
      <c r="F1557" s="31">
        <v>336</v>
      </c>
      <c r="G1557" s="24" t="s">
        <v>85</v>
      </c>
      <c r="H1557" s="29" t="s">
        <v>129</v>
      </c>
      <c r="I1557" s="32" t="s">
        <v>9170</v>
      </c>
      <c r="J1557" s="28" t="s">
        <v>9171</v>
      </c>
      <c r="K1557" s="29"/>
      <c r="L1557" s="27"/>
      <c r="M1557" s="28"/>
      <c r="N1557" s="38"/>
      <c r="O1557" s="34"/>
      <c r="P1557" s="34"/>
      <c r="Q1557" s="35" t="s">
        <v>78</v>
      </c>
      <c r="R1557" s="35" t="s">
        <v>79</v>
      </c>
      <c r="S1557" s="35" t="s">
        <v>61</v>
      </c>
      <c r="T1557" s="35" t="s">
        <v>62</v>
      </c>
      <c r="U1557" s="36" t="s">
        <v>80</v>
      </c>
    </row>
    <row r="1558" spans="1:21" ht="15.75" customHeight="1" x14ac:dyDescent="0.25">
      <c r="A1558" s="9" t="s">
        <v>9172</v>
      </c>
      <c r="B1558" s="10" t="s">
        <v>9173</v>
      </c>
      <c r="C1558" s="11" t="s">
        <v>9174</v>
      </c>
      <c r="D1558" s="21" t="s">
        <v>109</v>
      </c>
      <c r="E1558" s="11" t="s">
        <v>98</v>
      </c>
      <c r="F1558" s="13">
        <v>253</v>
      </c>
      <c r="G1558" s="24" t="s">
        <v>85</v>
      </c>
      <c r="H1558" s="11" t="s">
        <v>129</v>
      </c>
      <c r="I1558" s="15" t="s">
        <v>9175</v>
      </c>
      <c r="J1558" s="10" t="s">
        <v>9176</v>
      </c>
      <c r="K1558" s="11" t="s">
        <v>332</v>
      </c>
      <c r="L1558" s="9" t="s">
        <v>197</v>
      </c>
      <c r="M1558" s="10" t="s">
        <v>198</v>
      </c>
      <c r="N1558" s="22"/>
      <c r="O1558" s="17"/>
      <c r="P1558" s="17"/>
      <c r="Q1558" s="18" t="s">
        <v>78</v>
      </c>
      <c r="R1558" s="18" t="s">
        <v>79</v>
      </c>
      <c r="S1558" s="18" t="s">
        <v>61</v>
      </c>
      <c r="T1558" s="18" t="s">
        <v>62</v>
      </c>
      <c r="U1558" s="19" t="s">
        <v>80</v>
      </c>
    </row>
    <row r="1559" spans="1:21" ht="15.75" customHeight="1" x14ac:dyDescent="0.25">
      <c r="A1559" s="27" t="s">
        <v>9177</v>
      </c>
      <c r="B1559" s="28" t="s">
        <v>9178</v>
      </c>
      <c r="C1559" s="29" t="s">
        <v>9179</v>
      </c>
      <c r="D1559" s="37" t="s">
        <v>109</v>
      </c>
      <c r="E1559" s="29"/>
      <c r="F1559" s="29"/>
      <c r="G1559" s="24" t="s">
        <v>85</v>
      </c>
      <c r="H1559" s="29" t="s">
        <v>120</v>
      </c>
      <c r="I1559" s="32" t="s">
        <v>9180</v>
      </c>
      <c r="J1559" s="28" t="s">
        <v>9181</v>
      </c>
      <c r="K1559" s="29" t="s">
        <v>332</v>
      </c>
      <c r="L1559" s="27" t="s">
        <v>197</v>
      </c>
      <c r="M1559" s="28" t="s">
        <v>198</v>
      </c>
      <c r="N1559" s="38"/>
      <c r="O1559" s="34"/>
      <c r="P1559" s="34"/>
      <c r="Q1559" s="35" t="s">
        <v>78</v>
      </c>
      <c r="R1559" s="35" t="s">
        <v>79</v>
      </c>
      <c r="S1559" s="35" t="s">
        <v>61</v>
      </c>
      <c r="T1559" s="35" t="s">
        <v>62</v>
      </c>
      <c r="U1559" s="36" t="s">
        <v>80</v>
      </c>
    </row>
    <row r="1560" spans="1:21" ht="15.75" customHeight="1" x14ac:dyDescent="0.25">
      <c r="A1560" s="9" t="s">
        <v>9182</v>
      </c>
      <c r="B1560" s="10" t="s">
        <v>9183</v>
      </c>
      <c r="C1560" s="11" t="s">
        <v>9184</v>
      </c>
      <c r="D1560" s="12" t="s">
        <v>9185</v>
      </c>
      <c r="E1560" s="11" t="s">
        <v>1264</v>
      </c>
      <c r="F1560" s="13">
        <v>189</v>
      </c>
      <c r="G1560" s="20" t="s">
        <v>85</v>
      </c>
      <c r="H1560" s="11" t="s">
        <v>86</v>
      </c>
      <c r="I1560" s="15" t="s">
        <v>9186</v>
      </c>
      <c r="J1560" s="10" t="s">
        <v>9187</v>
      </c>
      <c r="K1560" s="11" t="s">
        <v>3209</v>
      </c>
      <c r="L1560" s="9" t="s">
        <v>481</v>
      </c>
      <c r="M1560" s="10" t="s">
        <v>482</v>
      </c>
      <c r="N1560" s="16" t="s">
        <v>75</v>
      </c>
      <c r="O1560" s="17" t="s">
        <v>92</v>
      </c>
      <c r="P1560" s="17" t="s">
        <v>93</v>
      </c>
      <c r="Q1560" s="18" t="s">
        <v>78</v>
      </c>
      <c r="R1560" s="18" t="s">
        <v>79</v>
      </c>
      <c r="S1560" s="18" t="s">
        <v>61</v>
      </c>
      <c r="T1560" s="18" t="s">
        <v>62</v>
      </c>
      <c r="U1560" s="19" t="s">
        <v>80</v>
      </c>
    </row>
    <row r="1561" spans="1:21" ht="15.75" customHeight="1" x14ac:dyDescent="0.25">
      <c r="A1561" s="27" t="s">
        <v>9188</v>
      </c>
      <c r="B1561" s="28" t="s">
        <v>9189</v>
      </c>
      <c r="C1561" s="29" t="s">
        <v>9190</v>
      </c>
      <c r="D1561" s="37" t="s">
        <v>109</v>
      </c>
      <c r="E1561" s="29" t="s">
        <v>47</v>
      </c>
      <c r="F1561" s="31">
        <v>171</v>
      </c>
      <c r="G1561" s="24" t="s">
        <v>85</v>
      </c>
      <c r="H1561" s="29" t="s">
        <v>86</v>
      </c>
      <c r="I1561" s="32" t="s">
        <v>9191</v>
      </c>
      <c r="J1561" s="28" t="s">
        <v>9192</v>
      </c>
      <c r="K1561" s="29"/>
      <c r="L1561" s="27"/>
      <c r="M1561" s="28"/>
      <c r="N1561" s="38"/>
      <c r="O1561" s="34"/>
      <c r="P1561" s="34"/>
      <c r="Q1561" s="35" t="s">
        <v>78</v>
      </c>
      <c r="R1561" s="35" t="s">
        <v>79</v>
      </c>
      <c r="S1561" s="35" t="s">
        <v>61</v>
      </c>
      <c r="T1561" s="35" t="s">
        <v>62</v>
      </c>
      <c r="U1561" s="36" t="s">
        <v>80</v>
      </c>
    </row>
    <row r="1562" spans="1:21" ht="15.75" customHeight="1" x14ac:dyDescent="0.25">
      <c r="A1562" s="9" t="s">
        <v>9193</v>
      </c>
      <c r="B1562" s="10" t="s">
        <v>9194</v>
      </c>
      <c r="C1562" s="11" t="s">
        <v>9195</v>
      </c>
      <c r="D1562" s="12" t="s">
        <v>9196</v>
      </c>
      <c r="E1562" s="11" t="s">
        <v>47</v>
      </c>
      <c r="F1562" s="13">
        <v>151</v>
      </c>
      <c r="G1562" s="14" t="s">
        <v>110</v>
      </c>
      <c r="H1562" s="11" t="s">
        <v>86</v>
      </c>
      <c r="I1562" s="15" t="s">
        <v>9197</v>
      </c>
      <c r="J1562" s="10" t="s">
        <v>9198</v>
      </c>
      <c r="K1562" s="11" t="s">
        <v>903</v>
      </c>
      <c r="L1562" s="9" t="s">
        <v>158</v>
      </c>
      <c r="M1562" s="10" t="s">
        <v>159</v>
      </c>
      <c r="N1562" s="23" t="s">
        <v>179</v>
      </c>
      <c r="O1562" s="17" t="s">
        <v>712</v>
      </c>
      <c r="P1562" s="17" t="s">
        <v>713</v>
      </c>
      <c r="Q1562" s="18" t="s">
        <v>78</v>
      </c>
      <c r="R1562" s="18" t="s">
        <v>79</v>
      </c>
      <c r="S1562" s="18" t="s">
        <v>61</v>
      </c>
      <c r="T1562" s="18" t="s">
        <v>62</v>
      </c>
      <c r="U1562" s="19" t="s">
        <v>80</v>
      </c>
    </row>
    <row r="1563" spans="1:21" ht="15.75" customHeight="1" x14ac:dyDescent="0.25">
      <c r="A1563" s="27" t="s">
        <v>9199</v>
      </c>
      <c r="B1563" s="28" t="s">
        <v>9200</v>
      </c>
      <c r="C1563" s="29" t="s">
        <v>9201</v>
      </c>
      <c r="D1563" s="37" t="s">
        <v>109</v>
      </c>
      <c r="E1563" s="29" t="s">
        <v>47</v>
      </c>
      <c r="F1563" s="31">
        <v>229</v>
      </c>
      <c r="G1563" s="24" t="s">
        <v>85</v>
      </c>
      <c r="H1563" s="29" t="s">
        <v>129</v>
      </c>
      <c r="I1563" s="32" t="s">
        <v>5593</v>
      </c>
      <c r="J1563" s="28" t="s">
        <v>9202</v>
      </c>
      <c r="K1563" s="29"/>
      <c r="L1563" s="27"/>
      <c r="M1563" s="28"/>
      <c r="N1563" s="38"/>
      <c r="O1563" s="34"/>
      <c r="P1563" s="34"/>
      <c r="Q1563" s="35" t="s">
        <v>78</v>
      </c>
      <c r="R1563" s="35" t="s">
        <v>79</v>
      </c>
      <c r="S1563" s="35" t="s">
        <v>61</v>
      </c>
      <c r="T1563" s="35" t="s">
        <v>62</v>
      </c>
      <c r="U1563" s="36" t="s">
        <v>80</v>
      </c>
    </row>
    <row r="1564" spans="1:21" ht="15.75" customHeight="1" x14ac:dyDescent="0.25">
      <c r="A1564" s="9" t="s">
        <v>9203</v>
      </c>
      <c r="B1564" s="10" t="s">
        <v>9204</v>
      </c>
      <c r="C1564" s="11" t="s">
        <v>9205</v>
      </c>
      <c r="D1564" s="21" t="s">
        <v>109</v>
      </c>
      <c r="E1564" s="11" t="s">
        <v>47</v>
      </c>
      <c r="F1564" s="13">
        <v>230</v>
      </c>
      <c r="G1564" s="24" t="s">
        <v>85</v>
      </c>
      <c r="H1564" s="11" t="s">
        <v>129</v>
      </c>
      <c r="I1564" s="15" t="s">
        <v>5600</v>
      </c>
      <c r="J1564" s="10" t="s">
        <v>9206</v>
      </c>
      <c r="K1564" s="11"/>
      <c r="L1564" s="9"/>
      <c r="M1564" s="10"/>
      <c r="N1564" s="22"/>
      <c r="O1564" s="17"/>
      <c r="P1564" s="17"/>
      <c r="Q1564" s="18" t="s">
        <v>78</v>
      </c>
      <c r="R1564" s="18" t="s">
        <v>79</v>
      </c>
      <c r="S1564" s="18" t="s">
        <v>61</v>
      </c>
      <c r="T1564" s="18" t="s">
        <v>62</v>
      </c>
      <c r="U1564" s="19" t="s">
        <v>80</v>
      </c>
    </row>
    <row r="1565" spans="1:21" ht="15.75" customHeight="1" x14ac:dyDescent="0.25">
      <c r="A1565" s="27" t="s">
        <v>9207</v>
      </c>
      <c r="B1565" s="28" t="s">
        <v>9208</v>
      </c>
      <c r="C1565" s="29" t="s">
        <v>9209</v>
      </c>
      <c r="D1565" s="30" t="s">
        <v>9210</v>
      </c>
      <c r="E1565" s="29" t="s">
        <v>98</v>
      </c>
      <c r="F1565" s="31">
        <v>261</v>
      </c>
      <c r="G1565" s="20" t="s">
        <v>85</v>
      </c>
      <c r="H1565" s="29" t="s">
        <v>129</v>
      </c>
      <c r="I1565" s="32" t="s">
        <v>7170</v>
      </c>
      <c r="J1565" s="28" t="s">
        <v>9211</v>
      </c>
      <c r="K1565" s="29" t="s">
        <v>300</v>
      </c>
      <c r="L1565" s="27" t="s">
        <v>90</v>
      </c>
      <c r="M1565" s="28" t="s">
        <v>91</v>
      </c>
      <c r="N1565" s="33" t="s">
        <v>75</v>
      </c>
      <c r="O1565" s="34" t="s">
        <v>355</v>
      </c>
      <c r="P1565" s="34" t="s">
        <v>356</v>
      </c>
      <c r="Q1565" s="35" t="s">
        <v>78</v>
      </c>
      <c r="R1565" s="35" t="s">
        <v>79</v>
      </c>
      <c r="S1565" s="35" t="s">
        <v>61</v>
      </c>
      <c r="T1565" s="35" t="s">
        <v>62</v>
      </c>
      <c r="U1565" s="36" t="s">
        <v>80</v>
      </c>
    </row>
    <row r="1566" spans="1:21" ht="15.75" customHeight="1" x14ac:dyDescent="0.25">
      <c r="A1566" s="9" t="s">
        <v>9212</v>
      </c>
      <c r="B1566" s="10" t="s">
        <v>9213</v>
      </c>
      <c r="C1566" s="11" t="s">
        <v>9214</v>
      </c>
      <c r="D1566" s="21" t="s">
        <v>109</v>
      </c>
      <c r="E1566" s="11" t="s">
        <v>47</v>
      </c>
      <c r="F1566" s="13">
        <v>176</v>
      </c>
      <c r="G1566" s="14" t="s">
        <v>119</v>
      </c>
      <c r="H1566" s="11" t="s">
        <v>86</v>
      </c>
      <c r="I1566" s="15" t="s">
        <v>9215</v>
      </c>
      <c r="J1566" s="10" t="s">
        <v>9216</v>
      </c>
      <c r="K1566" s="11" t="s">
        <v>8739</v>
      </c>
      <c r="L1566" s="9" t="s">
        <v>158</v>
      </c>
      <c r="M1566" s="10" t="s">
        <v>159</v>
      </c>
      <c r="N1566" s="22"/>
      <c r="O1566" s="17"/>
      <c r="P1566" s="17"/>
      <c r="Q1566" s="18" t="s">
        <v>78</v>
      </c>
      <c r="R1566" s="18" t="s">
        <v>79</v>
      </c>
      <c r="S1566" s="18" t="s">
        <v>61</v>
      </c>
      <c r="T1566" s="18" t="s">
        <v>62</v>
      </c>
      <c r="U1566" s="19" t="s">
        <v>80</v>
      </c>
    </row>
    <row r="1567" spans="1:21" ht="15.75" customHeight="1" x14ac:dyDescent="0.25">
      <c r="A1567" s="27" t="s">
        <v>9217</v>
      </c>
      <c r="B1567" s="28" t="s">
        <v>9218</v>
      </c>
      <c r="C1567" s="29" t="s">
        <v>9219</v>
      </c>
      <c r="D1567" s="37" t="s">
        <v>109</v>
      </c>
      <c r="E1567" s="29" t="s">
        <v>47</v>
      </c>
      <c r="F1567" s="31">
        <v>220</v>
      </c>
      <c r="G1567" s="24" t="s">
        <v>85</v>
      </c>
      <c r="H1567" s="29" t="s">
        <v>129</v>
      </c>
      <c r="I1567" s="32" t="s">
        <v>9220</v>
      </c>
      <c r="J1567" s="28" t="s">
        <v>9221</v>
      </c>
      <c r="K1567" s="29" t="s">
        <v>9222</v>
      </c>
      <c r="L1567" s="27" t="s">
        <v>197</v>
      </c>
      <c r="M1567" s="28" t="s">
        <v>198</v>
      </c>
      <c r="N1567" s="38"/>
      <c r="O1567" s="34"/>
      <c r="P1567" s="34"/>
      <c r="Q1567" s="35" t="s">
        <v>78</v>
      </c>
      <c r="R1567" s="35" t="s">
        <v>79</v>
      </c>
      <c r="S1567" s="35" t="s">
        <v>61</v>
      </c>
      <c r="T1567" s="35" t="s">
        <v>62</v>
      </c>
      <c r="U1567" s="36" t="s">
        <v>80</v>
      </c>
    </row>
    <row r="1568" spans="1:21" ht="15.75" customHeight="1" x14ac:dyDescent="0.25">
      <c r="A1568" s="9" t="s">
        <v>9223</v>
      </c>
      <c r="B1568" s="10" t="s">
        <v>9224</v>
      </c>
      <c r="C1568" s="11" t="s">
        <v>9225</v>
      </c>
      <c r="D1568" s="21" t="s">
        <v>109</v>
      </c>
      <c r="E1568" s="11" t="s">
        <v>47</v>
      </c>
      <c r="F1568" s="13">
        <v>257</v>
      </c>
      <c r="G1568" s="24" t="s">
        <v>85</v>
      </c>
      <c r="H1568" s="11" t="s">
        <v>129</v>
      </c>
      <c r="I1568" s="15" t="s">
        <v>9226</v>
      </c>
      <c r="J1568" s="10" t="s">
        <v>9227</v>
      </c>
      <c r="K1568" s="11"/>
      <c r="L1568" s="9"/>
      <c r="M1568" s="10"/>
      <c r="N1568" s="22"/>
      <c r="O1568" s="17"/>
      <c r="P1568" s="17"/>
      <c r="Q1568" s="18" t="s">
        <v>78</v>
      </c>
      <c r="R1568" s="18" t="s">
        <v>79</v>
      </c>
      <c r="S1568" s="18" t="s">
        <v>61</v>
      </c>
      <c r="T1568" s="18" t="s">
        <v>62</v>
      </c>
      <c r="U1568" s="19" t="s">
        <v>80</v>
      </c>
    </row>
    <row r="1569" spans="1:21" ht="15.75" customHeight="1" x14ac:dyDescent="0.25">
      <c r="A1569" s="27" t="s">
        <v>9228</v>
      </c>
      <c r="B1569" s="28" t="s">
        <v>9229</v>
      </c>
      <c r="C1569" s="29" t="s">
        <v>9230</v>
      </c>
      <c r="D1569" s="37" t="s">
        <v>109</v>
      </c>
      <c r="E1569" s="29" t="s">
        <v>98</v>
      </c>
      <c r="F1569" s="29"/>
      <c r="G1569" s="24" t="s">
        <v>85</v>
      </c>
      <c r="H1569" s="29" t="s">
        <v>100</v>
      </c>
      <c r="I1569" s="32" t="s">
        <v>7150</v>
      </c>
      <c r="J1569" s="28" t="s">
        <v>9231</v>
      </c>
      <c r="K1569" s="29"/>
      <c r="L1569" s="27"/>
      <c r="M1569" s="28"/>
      <c r="N1569" s="38"/>
      <c r="O1569" s="34"/>
      <c r="P1569" s="34"/>
      <c r="Q1569" s="35" t="s">
        <v>78</v>
      </c>
      <c r="R1569" s="35" t="s">
        <v>79</v>
      </c>
      <c r="S1569" s="35" t="s">
        <v>61</v>
      </c>
      <c r="T1569" s="35" t="s">
        <v>62</v>
      </c>
      <c r="U1569" s="36" t="s">
        <v>80</v>
      </c>
    </row>
    <row r="1570" spans="1:21" ht="15.75" customHeight="1" x14ac:dyDescent="0.25">
      <c r="A1570" s="9" t="s">
        <v>9232</v>
      </c>
      <c r="B1570" s="10" t="s">
        <v>9233</v>
      </c>
      <c r="C1570" s="11" t="s">
        <v>9234</v>
      </c>
      <c r="D1570" s="21" t="s">
        <v>109</v>
      </c>
      <c r="E1570" s="11" t="s">
        <v>1264</v>
      </c>
      <c r="F1570" s="11"/>
      <c r="G1570" s="24" t="s">
        <v>85</v>
      </c>
      <c r="H1570" s="11" t="s">
        <v>100</v>
      </c>
      <c r="I1570" s="15" t="s">
        <v>9235</v>
      </c>
      <c r="J1570" s="10" t="s">
        <v>9236</v>
      </c>
      <c r="K1570" s="11"/>
      <c r="L1570" s="9"/>
      <c r="M1570" s="10"/>
      <c r="N1570" s="22"/>
      <c r="O1570" s="17"/>
      <c r="P1570" s="17"/>
      <c r="Q1570" s="18" t="s">
        <v>78</v>
      </c>
      <c r="R1570" s="18" t="s">
        <v>79</v>
      </c>
      <c r="S1570" s="18" t="s">
        <v>61</v>
      </c>
      <c r="T1570" s="18" t="s">
        <v>62</v>
      </c>
      <c r="U1570" s="19" t="s">
        <v>80</v>
      </c>
    </row>
    <row r="1571" spans="1:21" ht="15.75" customHeight="1" x14ac:dyDescent="0.25">
      <c r="A1571" s="27" t="s">
        <v>9237</v>
      </c>
      <c r="B1571" s="28" t="s">
        <v>9238</v>
      </c>
      <c r="C1571" s="29" t="s">
        <v>9239</v>
      </c>
      <c r="D1571" s="30" t="s">
        <v>9240</v>
      </c>
      <c r="E1571" s="29" t="s">
        <v>98</v>
      </c>
      <c r="F1571" s="31">
        <v>120</v>
      </c>
      <c r="G1571" s="20" t="s">
        <v>85</v>
      </c>
      <c r="H1571" s="29" t="s">
        <v>330</v>
      </c>
      <c r="I1571" s="32" t="s">
        <v>6005</v>
      </c>
      <c r="J1571" s="28" t="s">
        <v>9241</v>
      </c>
      <c r="K1571" s="29" t="s">
        <v>8887</v>
      </c>
      <c r="L1571" s="27" t="s">
        <v>90</v>
      </c>
      <c r="M1571" s="28" t="s">
        <v>91</v>
      </c>
      <c r="N1571" s="33" t="s">
        <v>75</v>
      </c>
      <c r="O1571" s="34" t="s">
        <v>1663</v>
      </c>
      <c r="P1571" s="34" t="s">
        <v>1664</v>
      </c>
      <c r="Q1571" s="35" t="s">
        <v>78</v>
      </c>
      <c r="R1571" s="35" t="s">
        <v>79</v>
      </c>
      <c r="S1571" s="35" t="s">
        <v>61</v>
      </c>
      <c r="T1571" s="35" t="s">
        <v>62</v>
      </c>
      <c r="U1571" s="36" t="s">
        <v>80</v>
      </c>
    </row>
    <row r="1572" spans="1:21" ht="15.75" customHeight="1" x14ac:dyDescent="0.25">
      <c r="A1572" s="9" t="s">
        <v>9242</v>
      </c>
      <c r="B1572" s="10" t="s">
        <v>9243</v>
      </c>
      <c r="C1572" s="11" t="s">
        <v>9244</v>
      </c>
      <c r="D1572" s="21" t="s">
        <v>109</v>
      </c>
      <c r="E1572" s="11"/>
      <c r="F1572" s="13">
        <v>190</v>
      </c>
      <c r="G1572" s="25" t="s">
        <v>110</v>
      </c>
      <c r="H1572" s="11" t="s">
        <v>86</v>
      </c>
      <c r="I1572" s="15" t="s">
        <v>9245</v>
      </c>
      <c r="J1572" s="10" t="s">
        <v>9246</v>
      </c>
      <c r="K1572" s="11" t="s">
        <v>4824</v>
      </c>
      <c r="L1572" s="9" t="s">
        <v>481</v>
      </c>
      <c r="M1572" s="10" t="s">
        <v>482</v>
      </c>
      <c r="N1572" s="22"/>
      <c r="O1572" s="17"/>
      <c r="P1572" s="17"/>
      <c r="Q1572" s="18" t="s">
        <v>78</v>
      </c>
      <c r="R1572" s="18" t="s">
        <v>79</v>
      </c>
      <c r="S1572" s="18" t="s">
        <v>61</v>
      </c>
      <c r="T1572" s="18" t="s">
        <v>62</v>
      </c>
      <c r="U1572" s="19" t="s">
        <v>80</v>
      </c>
    </row>
    <row r="1573" spans="1:21" ht="15.75" customHeight="1" x14ac:dyDescent="0.25">
      <c r="A1573" s="27" t="s">
        <v>9247</v>
      </c>
      <c r="B1573" s="28" t="s">
        <v>9248</v>
      </c>
      <c r="C1573" s="29" t="s">
        <v>9249</v>
      </c>
      <c r="D1573" s="37" t="s">
        <v>109</v>
      </c>
      <c r="E1573" s="29" t="s">
        <v>98</v>
      </c>
      <c r="F1573" s="29"/>
      <c r="G1573" s="24" t="s">
        <v>85</v>
      </c>
      <c r="H1573" s="29" t="s">
        <v>100</v>
      </c>
      <c r="I1573" s="32" t="s">
        <v>9250</v>
      </c>
      <c r="J1573" s="28" t="s">
        <v>9251</v>
      </c>
      <c r="K1573" s="29"/>
      <c r="L1573" s="27"/>
      <c r="M1573" s="28"/>
      <c r="N1573" s="38"/>
      <c r="O1573" s="34"/>
      <c r="P1573" s="34"/>
      <c r="Q1573" s="35" t="s">
        <v>78</v>
      </c>
      <c r="R1573" s="35" t="s">
        <v>79</v>
      </c>
      <c r="S1573" s="35" t="s">
        <v>61</v>
      </c>
      <c r="T1573" s="35" t="s">
        <v>62</v>
      </c>
      <c r="U1573" s="36" t="s">
        <v>80</v>
      </c>
    </row>
    <row r="1574" spans="1:21" ht="15.75" customHeight="1" x14ac:dyDescent="0.25">
      <c r="A1574" s="9" t="s">
        <v>9252</v>
      </c>
      <c r="B1574" s="10" t="s">
        <v>9253</v>
      </c>
      <c r="C1574" s="11" t="s">
        <v>9254</v>
      </c>
      <c r="D1574" s="21" t="s">
        <v>109</v>
      </c>
      <c r="E1574" s="11" t="s">
        <v>98</v>
      </c>
      <c r="F1574" s="11">
        <v>1815</v>
      </c>
      <c r="G1574" s="24" t="s">
        <v>85</v>
      </c>
      <c r="H1574" s="11" t="s">
        <v>120</v>
      </c>
      <c r="I1574" s="15" t="s">
        <v>9255</v>
      </c>
      <c r="J1574" s="10" t="s">
        <v>9256</v>
      </c>
      <c r="K1574" s="11"/>
      <c r="L1574" s="9"/>
      <c r="M1574" s="10"/>
      <c r="N1574" s="22"/>
      <c r="O1574" s="17"/>
      <c r="P1574" s="17"/>
      <c r="Q1574" s="18" t="s">
        <v>78</v>
      </c>
      <c r="R1574" s="18" t="s">
        <v>79</v>
      </c>
      <c r="S1574" s="18" t="s">
        <v>61</v>
      </c>
      <c r="T1574" s="18" t="s">
        <v>62</v>
      </c>
      <c r="U1574" s="19" t="s">
        <v>80</v>
      </c>
    </row>
    <row r="1575" spans="1:21" ht="15.75" customHeight="1" x14ac:dyDescent="0.25">
      <c r="A1575" s="27" t="s">
        <v>9257</v>
      </c>
      <c r="B1575" s="28" t="s">
        <v>9258</v>
      </c>
      <c r="C1575" s="29" t="s">
        <v>9259</v>
      </c>
      <c r="D1575" s="30" t="s">
        <v>9260</v>
      </c>
      <c r="E1575" s="29" t="s">
        <v>47</v>
      </c>
      <c r="F1575" s="31">
        <v>128</v>
      </c>
      <c r="G1575" s="20" t="s">
        <v>119</v>
      </c>
      <c r="H1575" s="29" t="s">
        <v>330</v>
      </c>
      <c r="I1575" s="32" t="s">
        <v>9261</v>
      </c>
      <c r="J1575" s="28" t="s">
        <v>9262</v>
      </c>
      <c r="K1575" s="29"/>
      <c r="L1575" s="27"/>
      <c r="M1575" s="28"/>
      <c r="N1575" s="33" t="s">
        <v>75</v>
      </c>
      <c r="O1575" s="34" t="s">
        <v>9263</v>
      </c>
      <c r="P1575" s="34" t="s">
        <v>9264</v>
      </c>
      <c r="Q1575" s="35" t="s">
        <v>78</v>
      </c>
      <c r="R1575" s="35" t="s">
        <v>79</v>
      </c>
      <c r="S1575" s="35" t="s">
        <v>61</v>
      </c>
      <c r="T1575" s="35" t="s">
        <v>62</v>
      </c>
      <c r="U1575" s="36" t="s">
        <v>80</v>
      </c>
    </row>
    <row r="1576" spans="1:21" ht="15.75" customHeight="1" x14ac:dyDescent="0.25">
      <c r="A1576" s="9" t="s">
        <v>9265</v>
      </c>
      <c r="B1576" s="10" t="s">
        <v>9266</v>
      </c>
      <c r="C1576" s="11" t="s">
        <v>9267</v>
      </c>
      <c r="D1576" s="12" t="s">
        <v>9268</v>
      </c>
      <c r="E1576" s="11" t="s">
        <v>98</v>
      </c>
      <c r="F1576" s="11"/>
      <c r="G1576" s="25" t="s">
        <v>110</v>
      </c>
      <c r="H1576" s="11" t="s">
        <v>100</v>
      </c>
      <c r="I1576" s="15" t="s">
        <v>9269</v>
      </c>
      <c r="J1576" s="10" t="s">
        <v>9270</v>
      </c>
      <c r="K1576" s="11" t="s">
        <v>111</v>
      </c>
      <c r="L1576" s="9" t="s">
        <v>9271</v>
      </c>
      <c r="M1576" s="10" t="s">
        <v>9272</v>
      </c>
      <c r="N1576" s="16" t="s">
        <v>75</v>
      </c>
      <c r="O1576" s="17" t="s">
        <v>9273</v>
      </c>
      <c r="P1576" s="17" t="s">
        <v>9274</v>
      </c>
      <c r="Q1576" s="18" t="s">
        <v>78</v>
      </c>
      <c r="R1576" s="18" t="s">
        <v>79</v>
      </c>
      <c r="S1576" s="18" t="s">
        <v>61</v>
      </c>
      <c r="T1576" s="18" t="s">
        <v>62</v>
      </c>
      <c r="U1576" s="19" t="s">
        <v>80</v>
      </c>
    </row>
    <row r="1577" spans="1:21" ht="15.75" customHeight="1" x14ac:dyDescent="0.25">
      <c r="A1577" s="27" t="s">
        <v>9275</v>
      </c>
      <c r="B1577" s="28" t="s">
        <v>9276</v>
      </c>
      <c r="C1577" s="29" t="s">
        <v>9277</v>
      </c>
      <c r="D1577" s="30" t="s">
        <v>1786</v>
      </c>
      <c r="E1577" s="29" t="s">
        <v>98</v>
      </c>
      <c r="F1577" s="29"/>
      <c r="G1577" s="14" t="s">
        <v>119</v>
      </c>
      <c r="H1577" s="29" t="s">
        <v>120</v>
      </c>
      <c r="I1577" s="32" t="s">
        <v>9278</v>
      </c>
      <c r="J1577" s="28" t="s">
        <v>9279</v>
      </c>
      <c r="K1577" s="29"/>
      <c r="L1577" s="27"/>
      <c r="M1577" s="28"/>
      <c r="N1577" s="39" t="s">
        <v>179</v>
      </c>
      <c r="O1577" s="34" t="s">
        <v>869</v>
      </c>
      <c r="P1577" s="34" t="s">
        <v>870</v>
      </c>
      <c r="Q1577" s="35" t="s">
        <v>78</v>
      </c>
      <c r="R1577" s="35" t="s">
        <v>79</v>
      </c>
      <c r="S1577" s="35" t="s">
        <v>61</v>
      </c>
      <c r="T1577" s="35" t="s">
        <v>62</v>
      </c>
      <c r="U1577" s="36" t="s">
        <v>80</v>
      </c>
    </row>
    <row r="1578" spans="1:21" ht="15.75" customHeight="1" x14ac:dyDescent="0.25">
      <c r="A1578" s="9" t="s">
        <v>9280</v>
      </c>
      <c r="B1578" s="10" t="s">
        <v>9281</v>
      </c>
      <c r="C1578" s="11" t="s">
        <v>9282</v>
      </c>
      <c r="D1578" s="12" t="s">
        <v>9283</v>
      </c>
      <c r="E1578" s="11" t="s">
        <v>98</v>
      </c>
      <c r="F1578" s="13">
        <v>236</v>
      </c>
      <c r="G1578" s="20" t="s">
        <v>119</v>
      </c>
      <c r="H1578" s="11" t="s">
        <v>129</v>
      </c>
      <c r="I1578" s="15" t="s">
        <v>9284</v>
      </c>
      <c r="J1578" s="10" t="s">
        <v>9285</v>
      </c>
      <c r="K1578" s="11" t="s">
        <v>300</v>
      </c>
      <c r="L1578" s="9" t="s">
        <v>90</v>
      </c>
      <c r="M1578" s="10" t="s">
        <v>91</v>
      </c>
      <c r="N1578" s="16" t="s">
        <v>75</v>
      </c>
      <c r="O1578" s="17" t="s">
        <v>92</v>
      </c>
      <c r="P1578" s="17" t="s">
        <v>93</v>
      </c>
      <c r="Q1578" s="18" t="s">
        <v>78</v>
      </c>
      <c r="R1578" s="18" t="s">
        <v>79</v>
      </c>
      <c r="S1578" s="18" t="s">
        <v>61</v>
      </c>
      <c r="T1578" s="18" t="s">
        <v>62</v>
      </c>
      <c r="U1578" s="19" t="s">
        <v>80</v>
      </c>
    </row>
    <row r="1579" spans="1:21" ht="15.75" customHeight="1" x14ac:dyDescent="0.25">
      <c r="A1579" s="27" t="s">
        <v>9286</v>
      </c>
      <c r="B1579" s="28" t="s">
        <v>9287</v>
      </c>
      <c r="C1579" s="29" t="s">
        <v>9288</v>
      </c>
      <c r="D1579" s="37" t="s">
        <v>109</v>
      </c>
      <c r="E1579" s="29" t="s">
        <v>98</v>
      </c>
      <c r="F1579" s="29"/>
      <c r="G1579" s="24" t="s">
        <v>85</v>
      </c>
      <c r="H1579" s="29" t="s">
        <v>100</v>
      </c>
      <c r="I1579" s="32" t="s">
        <v>9289</v>
      </c>
      <c r="J1579" s="28" t="s">
        <v>9290</v>
      </c>
      <c r="K1579" s="29"/>
      <c r="L1579" s="27"/>
      <c r="M1579" s="28"/>
      <c r="N1579" s="38"/>
      <c r="O1579" s="34"/>
      <c r="P1579" s="34"/>
      <c r="Q1579" s="35" t="s">
        <v>78</v>
      </c>
      <c r="R1579" s="35" t="s">
        <v>79</v>
      </c>
      <c r="S1579" s="35" t="s">
        <v>61</v>
      </c>
      <c r="T1579" s="35" t="s">
        <v>62</v>
      </c>
      <c r="U1579" s="36" t="s">
        <v>80</v>
      </c>
    </row>
    <row r="1580" spans="1:21" ht="15.75" customHeight="1" x14ac:dyDescent="0.25">
      <c r="A1580" s="9" t="s">
        <v>9291</v>
      </c>
      <c r="B1580" s="10" t="s">
        <v>9292</v>
      </c>
      <c r="C1580" s="11" t="s">
        <v>9293</v>
      </c>
      <c r="D1580" s="12" t="s">
        <v>9294</v>
      </c>
      <c r="E1580" s="11" t="s">
        <v>98</v>
      </c>
      <c r="F1580" s="13">
        <v>370</v>
      </c>
      <c r="G1580" s="26" t="s">
        <v>119</v>
      </c>
      <c r="H1580" s="11" t="s">
        <v>129</v>
      </c>
      <c r="I1580" s="15" t="s">
        <v>9295</v>
      </c>
      <c r="J1580" s="10" t="s">
        <v>9296</v>
      </c>
      <c r="K1580" s="11" t="s">
        <v>332</v>
      </c>
      <c r="L1580" s="9" t="s">
        <v>197</v>
      </c>
      <c r="M1580" s="10" t="s">
        <v>198</v>
      </c>
      <c r="N1580" s="23" t="s">
        <v>179</v>
      </c>
      <c r="O1580" s="17" t="s">
        <v>934</v>
      </c>
      <c r="P1580" s="17" t="s">
        <v>935</v>
      </c>
      <c r="Q1580" s="18" t="s">
        <v>78</v>
      </c>
      <c r="R1580" s="18" t="s">
        <v>79</v>
      </c>
      <c r="S1580" s="18" t="s">
        <v>61</v>
      </c>
      <c r="T1580" s="18" t="s">
        <v>62</v>
      </c>
      <c r="U1580" s="19" t="s">
        <v>80</v>
      </c>
    </row>
    <row r="1581" spans="1:21" ht="15.75" customHeight="1" x14ac:dyDescent="0.25">
      <c r="A1581" s="27" t="s">
        <v>9297</v>
      </c>
      <c r="B1581" s="28" t="s">
        <v>9298</v>
      </c>
      <c r="C1581" s="29" t="s">
        <v>9299</v>
      </c>
      <c r="D1581" s="30" t="s">
        <v>3045</v>
      </c>
      <c r="E1581" s="29" t="s">
        <v>47</v>
      </c>
      <c r="F1581" s="31">
        <v>105</v>
      </c>
      <c r="G1581" s="20" t="s">
        <v>68</v>
      </c>
      <c r="H1581" s="29" t="s">
        <v>330</v>
      </c>
      <c r="I1581" s="32" t="s">
        <v>9300</v>
      </c>
      <c r="J1581" s="28" t="s">
        <v>9301</v>
      </c>
      <c r="K1581" s="29"/>
      <c r="L1581" s="27"/>
      <c r="M1581" s="28"/>
      <c r="N1581" s="39" t="s">
        <v>179</v>
      </c>
      <c r="O1581" s="34" t="s">
        <v>180</v>
      </c>
      <c r="P1581" s="34" t="s">
        <v>181</v>
      </c>
      <c r="Q1581" s="35" t="s">
        <v>78</v>
      </c>
      <c r="R1581" s="35" t="s">
        <v>79</v>
      </c>
      <c r="S1581" s="35" t="s">
        <v>61</v>
      </c>
      <c r="T1581" s="35" t="s">
        <v>62</v>
      </c>
      <c r="U1581" s="36" t="s">
        <v>80</v>
      </c>
    </row>
    <row r="1582" spans="1:21" ht="15.75" customHeight="1" x14ac:dyDescent="0.25">
      <c r="A1582" s="9" t="s">
        <v>9302</v>
      </c>
      <c r="B1582" s="10" t="s">
        <v>9303</v>
      </c>
      <c r="C1582" s="11" t="s">
        <v>9304</v>
      </c>
      <c r="D1582" s="12" t="s">
        <v>9305</v>
      </c>
      <c r="E1582" s="11" t="s">
        <v>98</v>
      </c>
      <c r="F1582" s="13">
        <v>277</v>
      </c>
      <c r="G1582" s="20" t="s">
        <v>85</v>
      </c>
      <c r="H1582" s="11" t="s">
        <v>129</v>
      </c>
      <c r="I1582" s="15" t="s">
        <v>9306</v>
      </c>
      <c r="J1582" s="10" t="s">
        <v>9307</v>
      </c>
      <c r="K1582" s="11"/>
      <c r="L1582" s="9"/>
      <c r="M1582" s="10"/>
      <c r="N1582" s="16" t="s">
        <v>75</v>
      </c>
      <c r="O1582" s="17" t="s">
        <v>180</v>
      </c>
      <c r="P1582" s="17" t="s">
        <v>181</v>
      </c>
      <c r="Q1582" s="18" t="s">
        <v>78</v>
      </c>
      <c r="R1582" s="18" t="s">
        <v>79</v>
      </c>
      <c r="S1582" s="18" t="s">
        <v>61</v>
      </c>
      <c r="T1582" s="18" t="s">
        <v>62</v>
      </c>
      <c r="U1582" s="19" t="s">
        <v>80</v>
      </c>
    </row>
    <row r="1583" spans="1:21" ht="15.75" customHeight="1" x14ac:dyDescent="0.25">
      <c r="A1583" s="27" t="s">
        <v>9308</v>
      </c>
      <c r="B1583" s="28" t="s">
        <v>9309</v>
      </c>
      <c r="C1583" s="29" t="s">
        <v>9310</v>
      </c>
      <c r="D1583" s="37" t="s">
        <v>109</v>
      </c>
      <c r="E1583" s="29" t="s">
        <v>98</v>
      </c>
      <c r="F1583" s="29"/>
      <c r="G1583" s="24" t="s">
        <v>85</v>
      </c>
      <c r="H1583" s="29" t="s">
        <v>120</v>
      </c>
      <c r="I1583" s="32" t="s">
        <v>9311</v>
      </c>
      <c r="J1583" s="28" t="s">
        <v>9312</v>
      </c>
      <c r="K1583" s="29"/>
      <c r="L1583" s="27"/>
      <c r="M1583" s="28"/>
      <c r="N1583" s="38"/>
      <c r="O1583" s="34"/>
      <c r="P1583" s="34"/>
      <c r="Q1583" s="35" t="s">
        <v>78</v>
      </c>
      <c r="R1583" s="35" t="s">
        <v>79</v>
      </c>
      <c r="S1583" s="35" t="s">
        <v>61</v>
      </c>
      <c r="T1583" s="35" t="s">
        <v>62</v>
      </c>
      <c r="U1583" s="36" t="s">
        <v>80</v>
      </c>
    </row>
    <row r="1584" spans="1:21" ht="15.75" customHeight="1" x14ac:dyDescent="0.25">
      <c r="A1584" s="9" t="s">
        <v>9313</v>
      </c>
      <c r="B1584" s="10" t="s">
        <v>9314</v>
      </c>
      <c r="C1584" s="11" t="s">
        <v>9315</v>
      </c>
      <c r="D1584" s="12" t="s">
        <v>3537</v>
      </c>
      <c r="E1584" s="11" t="s">
        <v>98</v>
      </c>
      <c r="F1584" s="11" t="s">
        <v>9316</v>
      </c>
      <c r="G1584" s="14" t="s">
        <v>119</v>
      </c>
      <c r="H1584" s="11" t="s">
        <v>100</v>
      </c>
      <c r="I1584" s="15" t="s">
        <v>9317</v>
      </c>
      <c r="J1584" s="10" t="s">
        <v>9318</v>
      </c>
      <c r="K1584" s="11" t="s">
        <v>8156</v>
      </c>
      <c r="L1584" s="9" t="s">
        <v>2005</v>
      </c>
      <c r="M1584" s="10" t="s">
        <v>2006</v>
      </c>
      <c r="N1584" s="23" t="s">
        <v>179</v>
      </c>
      <c r="O1584" s="17" t="s">
        <v>869</v>
      </c>
      <c r="P1584" s="17" t="s">
        <v>870</v>
      </c>
      <c r="Q1584" s="18" t="s">
        <v>78</v>
      </c>
      <c r="R1584" s="18" t="s">
        <v>79</v>
      </c>
      <c r="S1584" s="18" t="s">
        <v>61</v>
      </c>
      <c r="T1584" s="18" t="s">
        <v>62</v>
      </c>
      <c r="U1584" s="19" t="s">
        <v>80</v>
      </c>
    </row>
    <row r="1585" spans="1:21" ht="15.75" customHeight="1" x14ac:dyDescent="0.25">
      <c r="A1585" s="27" t="s">
        <v>9319</v>
      </c>
      <c r="B1585" s="28" t="s">
        <v>9320</v>
      </c>
      <c r="C1585" s="29" t="s">
        <v>9321</v>
      </c>
      <c r="D1585" s="30" t="s">
        <v>9322</v>
      </c>
      <c r="E1585" s="29" t="s">
        <v>98</v>
      </c>
      <c r="F1585" s="29" t="s">
        <v>9323</v>
      </c>
      <c r="G1585" s="20" t="s">
        <v>119</v>
      </c>
      <c r="H1585" s="29" t="s">
        <v>100</v>
      </c>
      <c r="I1585" s="32" t="s">
        <v>6012</v>
      </c>
      <c r="J1585" s="28" t="s">
        <v>9324</v>
      </c>
      <c r="K1585" s="29"/>
      <c r="L1585" s="27" t="s">
        <v>1350</v>
      </c>
      <c r="M1585" s="28" t="s">
        <v>1351</v>
      </c>
      <c r="N1585" s="33" t="s">
        <v>75</v>
      </c>
      <c r="O1585" s="34" t="s">
        <v>1352</v>
      </c>
      <c r="P1585" s="34" t="s">
        <v>1353</v>
      </c>
      <c r="Q1585" s="35" t="s">
        <v>78</v>
      </c>
      <c r="R1585" s="35" t="s">
        <v>79</v>
      </c>
      <c r="S1585" s="35" t="s">
        <v>61</v>
      </c>
      <c r="T1585" s="35" t="s">
        <v>62</v>
      </c>
      <c r="U1585" s="36" t="s">
        <v>80</v>
      </c>
    </row>
    <row r="1586" spans="1:21" ht="15.75" customHeight="1" x14ac:dyDescent="0.25">
      <c r="A1586" s="9" t="s">
        <v>9325</v>
      </c>
      <c r="B1586" s="10" t="s">
        <v>9326</v>
      </c>
      <c r="C1586" s="11" t="s">
        <v>9327</v>
      </c>
      <c r="D1586" s="12" t="s">
        <v>9328</v>
      </c>
      <c r="E1586" s="11" t="s">
        <v>47</v>
      </c>
      <c r="F1586" s="13">
        <v>115</v>
      </c>
      <c r="G1586" s="20" t="s">
        <v>119</v>
      </c>
      <c r="H1586" s="11" t="s">
        <v>330</v>
      </c>
      <c r="I1586" s="15" t="s">
        <v>9329</v>
      </c>
      <c r="J1586" s="10" t="s">
        <v>9330</v>
      </c>
      <c r="K1586" s="11" t="s">
        <v>9331</v>
      </c>
      <c r="L1586" s="9" t="s">
        <v>90</v>
      </c>
      <c r="M1586" s="10" t="s">
        <v>91</v>
      </c>
      <c r="N1586" s="16" t="s">
        <v>75</v>
      </c>
      <c r="O1586" s="17" t="s">
        <v>779</v>
      </c>
      <c r="P1586" s="17" t="s">
        <v>780</v>
      </c>
      <c r="Q1586" s="18" t="s">
        <v>78</v>
      </c>
      <c r="R1586" s="18" t="s">
        <v>79</v>
      </c>
      <c r="S1586" s="18" t="s">
        <v>61</v>
      </c>
      <c r="T1586" s="18" t="s">
        <v>62</v>
      </c>
      <c r="U1586" s="19" t="s">
        <v>80</v>
      </c>
    </row>
    <row r="1587" spans="1:21" ht="15.75" customHeight="1" x14ac:dyDescent="0.25">
      <c r="A1587" s="27" t="s">
        <v>9332</v>
      </c>
      <c r="B1587" s="28" t="s">
        <v>9333</v>
      </c>
      <c r="C1587" s="29" t="s">
        <v>9334</v>
      </c>
      <c r="D1587" s="30" t="s">
        <v>9335</v>
      </c>
      <c r="E1587" s="29" t="s">
        <v>47</v>
      </c>
      <c r="F1587" s="31">
        <v>296</v>
      </c>
      <c r="G1587" s="20" t="s">
        <v>119</v>
      </c>
      <c r="H1587" s="29" t="s">
        <v>129</v>
      </c>
      <c r="I1587" s="32" t="s">
        <v>9336</v>
      </c>
      <c r="J1587" s="28" t="s">
        <v>9337</v>
      </c>
      <c r="K1587" s="29"/>
      <c r="L1587" s="27"/>
      <c r="M1587" s="28"/>
      <c r="N1587" s="33" t="s">
        <v>75</v>
      </c>
      <c r="O1587" s="34" t="s">
        <v>180</v>
      </c>
      <c r="P1587" s="34" t="s">
        <v>181</v>
      </c>
      <c r="Q1587" s="35" t="s">
        <v>78</v>
      </c>
      <c r="R1587" s="35" t="s">
        <v>79</v>
      </c>
      <c r="S1587" s="35" t="s">
        <v>61</v>
      </c>
      <c r="T1587" s="35" t="s">
        <v>62</v>
      </c>
      <c r="U1587" s="36" t="s">
        <v>80</v>
      </c>
    </row>
    <row r="1588" spans="1:21" ht="15.75" customHeight="1" x14ac:dyDescent="0.25">
      <c r="A1588" s="9" t="s">
        <v>9338</v>
      </c>
      <c r="B1588" s="10" t="s">
        <v>9339</v>
      </c>
      <c r="C1588" s="11" t="s">
        <v>9340</v>
      </c>
      <c r="D1588" s="12" t="s">
        <v>9341</v>
      </c>
      <c r="E1588" s="11" t="s">
        <v>47</v>
      </c>
      <c r="F1588" s="13">
        <v>290</v>
      </c>
      <c r="G1588" s="20" t="s">
        <v>119</v>
      </c>
      <c r="H1588" s="11" t="s">
        <v>129</v>
      </c>
      <c r="I1588" s="15" t="s">
        <v>9342</v>
      </c>
      <c r="J1588" s="10" t="s">
        <v>9343</v>
      </c>
      <c r="K1588" s="11"/>
      <c r="L1588" s="9"/>
      <c r="M1588" s="10"/>
      <c r="N1588" s="16" t="s">
        <v>75</v>
      </c>
      <c r="O1588" s="17" t="s">
        <v>180</v>
      </c>
      <c r="P1588" s="17" t="s">
        <v>181</v>
      </c>
      <c r="Q1588" s="18" t="s">
        <v>78</v>
      </c>
      <c r="R1588" s="18" t="s">
        <v>79</v>
      </c>
      <c r="S1588" s="18" t="s">
        <v>61</v>
      </c>
      <c r="T1588" s="18" t="s">
        <v>62</v>
      </c>
      <c r="U1588" s="19" t="s">
        <v>80</v>
      </c>
    </row>
    <row r="1589" spans="1:21" ht="15.75" customHeight="1" x14ac:dyDescent="0.25">
      <c r="A1589" s="27" t="s">
        <v>9344</v>
      </c>
      <c r="B1589" s="28" t="s">
        <v>9345</v>
      </c>
      <c r="C1589" s="29" t="s">
        <v>9346</v>
      </c>
      <c r="D1589" s="30" t="s">
        <v>7009</v>
      </c>
      <c r="E1589" s="29" t="s">
        <v>47</v>
      </c>
      <c r="F1589" s="31">
        <v>124</v>
      </c>
      <c r="G1589" s="20" t="s">
        <v>119</v>
      </c>
      <c r="H1589" s="29" t="s">
        <v>330</v>
      </c>
      <c r="I1589" s="32" t="s">
        <v>6019</v>
      </c>
      <c r="J1589" s="28" t="s">
        <v>9347</v>
      </c>
      <c r="K1589" s="29"/>
      <c r="L1589" s="27"/>
      <c r="M1589" s="28"/>
      <c r="N1589" s="33" t="s">
        <v>75</v>
      </c>
      <c r="O1589" s="34" t="s">
        <v>180</v>
      </c>
      <c r="P1589" s="34" t="s">
        <v>181</v>
      </c>
      <c r="Q1589" s="35" t="s">
        <v>78</v>
      </c>
      <c r="R1589" s="35" t="s">
        <v>79</v>
      </c>
      <c r="S1589" s="35" t="s">
        <v>61</v>
      </c>
      <c r="T1589" s="35" t="s">
        <v>62</v>
      </c>
      <c r="U1589" s="36" t="s">
        <v>80</v>
      </c>
    </row>
    <row r="1590" spans="1:21" ht="15.75" customHeight="1" x14ac:dyDescent="0.25">
      <c r="A1590" s="9" t="s">
        <v>9348</v>
      </c>
      <c r="B1590" s="10" t="s">
        <v>9349</v>
      </c>
      <c r="C1590" s="11" t="s">
        <v>9350</v>
      </c>
      <c r="D1590" s="12" t="s">
        <v>9351</v>
      </c>
      <c r="E1590" s="11" t="s">
        <v>47</v>
      </c>
      <c r="F1590" s="13">
        <v>67</v>
      </c>
      <c r="G1590" s="20" t="s">
        <v>85</v>
      </c>
      <c r="H1590" s="11" t="s">
        <v>48</v>
      </c>
      <c r="I1590" s="15" t="s">
        <v>5959</v>
      </c>
      <c r="J1590" s="10" t="s">
        <v>9352</v>
      </c>
      <c r="K1590" s="11" t="s">
        <v>2669</v>
      </c>
      <c r="L1590" s="9" t="s">
        <v>158</v>
      </c>
      <c r="M1590" s="10" t="s">
        <v>159</v>
      </c>
      <c r="N1590" s="16" t="s">
        <v>75</v>
      </c>
      <c r="O1590" s="17" t="s">
        <v>492</v>
      </c>
      <c r="P1590" s="17" t="s">
        <v>493</v>
      </c>
      <c r="Q1590" s="18" t="s">
        <v>78</v>
      </c>
      <c r="R1590" s="18" t="s">
        <v>79</v>
      </c>
      <c r="S1590" s="18" t="s">
        <v>61</v>
      </c>
      <c r="T1590" s="18" t="s">
        <v>62</v>
      </c>
      <c r="U1590" s="19" t="s">
        <v>80</v>
      </c>
    </row>
    <row r="1591" spans="1:21" ht="15.75" customHeight="1" x14ac:dyDescent="0.25">
      <c r="A1591" s="27" t="s">
        <v>9353</v>
      </c>
      <c r="B1591" s="28" t="s">
        <v>9354</v>
      </c>
      <c r="C1591" s="29" t="s">
        <v>9355</v>
      </c>
      <c r="D1591" s="30" t="s">
        <v>9356</v>
      </c>
      <c r="E1591" s="29" t="s">
        <v>98</v>
      </c>
      <c r="F1591" s="29"/>
      <c r="G1591" s="20" t="s">
        <v>85</v>
      </c>
      <c r="H1591" s="29" t="s">
        <v>100</v>
      </c>
      <c r="I1591" s="32" t="s">
        <v>9357</v>
      </c>
      <c r="J1591" s="28" t="s">
        <v>9358</v>
      </c>
      <c r="K1591" s="29" t="s">
        <v>9359</v>
      </c>
      <c r="L1591" s="27" t="s">
        <v>90</v>
      </c>
      <c r="M1591" s="28" t="s">
        <v>91</v>
      </c>
      <c r="N1591" s="39" t="s">
        <v>179</v>
      </c>
      <c r="O1591" s="34" t="s">
        <v>292</v>
      </c>
      <c r="P1591" s="34" t="s">
        <v>293</v>
      </c>
      <c r="Q1591" s="35" t="s">
        <v>78</v>
      </c>
      <c r="R1591" s="35" t="s">
        <v>79</v>
      </c>
      <c r="S1591" s="35" t="s">
        <v>61</v>
      </c>
      <c r="T1591" s="35" t="s">
        <v>62</v>
      </c>
      <c r="U1591" s="36" t="s">
        <v>80</v>
      </c>
    </row>
    <row r="1592" spans="1:21" ht="15.75" customHeight="1" x14ac:dyDescent="0.25">
      <c r="A1592" s="9" t="s">
        <v>9360</v>
      </c>
      <c r="B1592" s="10" t="s">
        <v>9361</v>
      </c>
      <c r="C1592" s="11" t="s">
        <v>9362</v>
      </c>
      <c r="D1592" s="12" t="s">
        <v>4794</v>
      </c>
      <c r="E1592" s="11" t="s">
        <v>98</v>
      </c>
      <c r="F1592" s="11"/>
      <c r="G1592" s="25" t="s">
        <v>68</v>
      </c>
      <c r="H1592" s="11" t="s">
        <v>120</v>
      </c>
      <c r="I1592" s="15" t="s">
        <v>9363</v>
      </c>
      <c r="J1592" s="10" t="s">
        <v>9364</v>
      </c>
      <c r="K1592" s="11" t="s">
        <v>9365</v>
      </c>
      <c r="L1592" s="9" t="s">
        <v>481</v>
      </c>
      <c r="M1592" s="10" t="s">
        <v>482</v>
      </c>
      <c r="N1592" s="16" t="s">
        <v>75</v>
      </c>
      <c r="O1592" s="17" t="s">
        <v>2258</v>
      </c>
      <c r="P1592" s="17" t="s">
        <v>2258</v>
      </c>
      <c r="Q1592" s="18" t="s">
        <v>78</v>
      </c>
      <c r="R1592" s="18" t="s">
        <v>79</v>
      </c>
      <c r="S1592" s="18" t="s">
        <v>61</v>
      </c>
      <c r="T1592" s="18" t="s">
        <v>62</v>
      </c>
      <c r="U1592" s="19" t="s">
        <v>80</v>
      </c>
    </row>
    <row r="1593" spans="1:21" ht="15.75" customHeight="1" x14ac:dyDescent="0.25">
      <c r="A1593" s="27" t="s">
        <v>9366</v>
      </c>
      <c r="B1593" s="28" t="s">
        <v>9367</v>
      </c>
      <c r="C1593" s="29" t="s">
        <v>9368</v>
      </c>
      <c r="D1593" s="30" t="s">
        <v>3005</v>
      </c>
      <c r="E1593" s="29"/>
      <c r="F1593" s="31">
        <v>140</v>
      </c>
      <c r="G1593" s="20" t="s">
        <v>119</v>
      </c>
      <c r="H1593" s="29" t="s">
        <v>330</v>
      </c>
      <c r="I1593" s="32" t="s">
        <v>3389</v>
      </c>
      <c r="J1593" s="28" t="s">
        <v>9369</v>
      </c>
      <c r="K1593" s="29"/>
      <c r="L1593" s="27"/>
      <c r="M1593" s="28"/>
      <c r="N1593" s="33" t="s">
        <v>75</v>
      </c>
      <c r="O1593" s="34" t="s">
        <v>355</v>
      </c>
      <c r="P1593" s="34" t="s">
        <v>356</v>
      </c>
      <c r="Q1593" s="35" t="s">
        <v>78</v>
      </c>
      <c r="R1593" s="35" t="s">
        <v>79</v>
      </c>
      <c r="S1593" s="35" t="s">
        <v>61</v>
      </c>
      <c r="T1593" s="35" t="s">
        <v>62</v>
      </c>
      <c r="U1593" s="36" t="s">
        <v>80</v>
      </c>
    </row>
    <row r="1594" spans="1:21" ht="15.75" customHeight="1" x14ac:dyDescent="0.25">
      <c r="A1594" s="9" t="s">
        <v>9370</v>
      </c>
      <c r="B1594" s="10" t="s">
        <v>9371</v>
      </c>
      <c r="C1594" s="11" t="s">
        <v>9372</v>
      </c>
      <c r="D1594" s="12" t="s">
        <v>9373</v>
      </c>
      <c r="E1594" s="11" t="s">
        <v>47</v>
      </c>
      <c r="F1594" s="11" t="s">
        <v>9374</v>
      </c>
      <c r="G1594" s="20" t="s">
        <v>85</v>
      </c>
      <c r="H1594" s="11" t="s">
        <v>330</v>
      </c>
      <c r="I1594" s="15" t="s">
        <v>9375</v>
      </c>
      <c r="J1594" s="10" t="s">
        <v>9376</v>
      </c>
      <c r="K1594" s="11" t="s">
        <v>507</v>
      </c>
      <c r="L1594" s="9" t="s">
        <v>90</v>
      </c>
      <c r="M1594" s="10" t="s">
        <v>91</v>
      </c>
      <c r="N1594" s="16" t="s">
        <v>75</v>
      </c>
      <c r="O1594" s="17" t="s">
        <v>591</v>
      </c>
      <c r="P1594" s="17" t="s">
        <v>592</v>
      </c>
      <c r="Q1594" s="18" t="s">
        <v>78</v>
      </c>
      <c r="R1594" s="18" t="s">
        <v>79</v>
      </c>
      <c r="S1594" s="18" t="s">
        <v>61</v>
      </c>
      <c r="T1594" s="18" t="s">
        <v>62</v>
      </c>
      <c r="U1594" s="19" t="s">
        <v>80</v>
      </c>
    </row>
    <row r="1595" spans="1:21" ht="15.75" customHeight="1" x14ac:dyDescent="0.25">
      <c r="A1595" s="27" t="s">
        <v>9377</v>
      </c>
      <c r="B1595" s="28" t="s">
        <v>9378</v>
      </c>
      <c r="C1595" s="29" t="s">
        <v>9379</v>
      </c>
      <c r="D1595" s="30" t="s">
        <v>9283</v>
      </c>
      <c r="E1595" s="29" t="s">
        <v>98</v>
      </c>
      <c r="F1595" s="31">
        <v>136</v>
      </c>
      <c r="G1595" s="20" t="s">
        <v>119</v>
      </c>
      <c r="H1595" s="29" t="s">
        <v>330</v>
      </c>
      <c r="I1595" s="32" t="s">
        <v>3395</v>
      </c>
      <c r="J1595" s="28" t="s">
        <v>9380</v>
      </c>
      <c r="K1595" s="29" t="s">
        <v>332</v>
      </c>
      <c r="L1595" s="27" t="s">
        <v>197</v>
      </c>
      <c r="M1595" s="28" t="s">
        <v>198</v>
      </c>
      <c r="N1595" s="33" t="s">
        <v>75</v>
      </c>
      <c r="O1595" s="34" t="s">
        <v>9263</v>
      </c>
      <c r="P1595" s="34" t="s">
        <v>9264</v>
      </c>
      <c r="Q1595" s="35" t="s">
        <v>78</v>
      </c>
      <c r="R1595" s="35" t="s">
        <v>79</v>
      </c>
      <c r="S1595" s="35" t="s">
        <v>61</v>
      </c>
      <c r="T1595" s="35" t="s">
        <v>62</v>
      </c>
      <c r="U1595" s="36" t="s">
        <v>80</v>
      </c>
    </row>
    <row r="1596" spans="1:21" ht="15.75" customHeight="1" x14ac:dyDescent="0.25">
      <c r="A1596" s="9" t="s">
        <v>9381</v>
      </c>
      <c r="B1596" s="10" t="s">
        <v>9382</v>
      </c>
      <c r="C1596" s="11" t="s">
        <v>9383</v>
      </c>
      <c r="D1596" s="12" t="s">
        <v>5676</v>
      </c>
      <c r="E1596" s="11" t="s">
        <v>98</v>
      </c>
      <c r="F1596" s="11"/>
      <c r="G1596" s="20" t="s">
        <v>119</v>
      </c>
      <c r="H1596" s="11" t="s">
        <v>100</v>
      </c>
      <c r="I1596" s="15" t="s">
        <v>3402</v>
      </c>
      <c r="J1596" s="10" t="s">
        <v>9384</v>
      </c>
      <c r="K1596" s="11" t="s">
        <v>1286</v>
      </c>
      <c r="L1596" s="9" t="s">
        <v>90</v>
      </c>
      <c r="M1596" s="10" t="s">
        <v>91</v>
      </c>
      <c r="N1596" s="16" t="s">
        <v>75</v>
      </c>
      <c r="O1596" s="17" t="s">
        <v>124</v>
      </c>
      <c r="P1596" s="17" t="s">
        <v>125</v>
      </c>
      <c r="Q1596" s="18" t="s">
        <v>78</v>
      </c>
      <c r="R1596" s="18" t="s">
        <v>79</v>
      </c>
      <c r="S1596" s="18" t="s">
        <v>61</v>
      </c>
      <c r="T1596" s="18" t="s">
        <v>62</v>
      </c>
      <c r="U1596" s="19" t="s">
        <v>80</v>
      </c>
    </row>
    <row r="1597" spans="1:21" ht="15.75" customHeight="1" x14ac:dyDescent="0.25">
      <c r="A1597" s="27" t="s">
        <v>9385</v>
      </c>
      <c r="B1597" s="28" t="s">
        <v>9386</v>
      </c>
      <c r="C1597" s="29" t="s">
        <v>9387</v>
      </c>
      <c r="D1597" s="30" t="s">
        <v>5676</v>
      </c>
      <c r="E1597" s="29" t="s">
        <v>47</v>
      </c>
      <c r="F1597" s="31">
        <v>86</v>
      </c>
      <c r="G1597" s="20" t="s">
        <v>119</v>
      </c>
      <c r="H1597" s="29" t="s">
        <v>48</v>
      </c>
      <c r="I1597" s="32" t="s">
        <v>7674</v>
      </c>
      <c r="J1597" s="28" t="s">
        <v>9388</v>
      </c>
      <c r="K1597" s="29" t="s">
        <v>132</v>
      </c>
      <c r="L1597" s="27" t="s">
        <v>90</v>
      </c>
      <c r="M1597" s="28" t="s">
        <v>91</v>
      </c>
      <c r="N1597" s="33" t="s">
        <v>75</v>
      </c>
      <c r="O1597" s="34" t="s">
        <v>124</v>
      </c>
      <c r="P1597" s="34" t="s">
        <v>125</v>
      </c>
      <c r="Q1597" s="35" t="s">
        <v>78</v>
      </c>
      <c r="R1597" s="35" t="s">
        <v>79</v>
      </c>
      <c r="S1597" s="35" t="s">
        <v>61</v>
      </c>
      <c r="T1597" s="35" t="s">
        <v>62</v>
      </c>
      <c r="U1597" s="36" t="s">
        <v>80</v>
      </c>
    </row>
    <row r="1598" spans="1:21" ht="15.75" customHeight="1" x14ac:dyDescent="0.25">
      <c r="A1598" s="9" t="s">
        <v>9389</v>
      </c>
      <c r="B1598" s="10" t="s">
        <v>9390</v>
      </c>
      <c r="C1598" s="11" t="s">
        <v>9391</v>
      </c>
      <c r="D1598" s="12" t="s">
        <v>9392</v>
      </c>
      <c r="E1598" s="11" t="s">
        <v>47</v>
      </c>
      <c r="F1598" s="11">
        <v>59</v>
      </c>
      <c r="G1598" s="20" t="s">
        <v>68</v>
      </c>
      <c r="H1598" s="11" t="s">
        <v>120</v>
      </c>
      <c r="I1598" s="15" t="s">
        <v>2103</v>
      </c>
      <c r="J1598" s="10" t="s">
        <v>9393</v>
      </c>
      <c r="K1598" s="11" t="s">
        <v>5880</v>
      </c>
      <c r="L1598" s="9" t="s">
        <v>481</v>
      </c>
      <c r="M1598" s="10" t="s">
        <v>482</v>
      </c>
      <c r="N1598" s="16" t="s">
        <v>75</v>
      </c>
      <c r="O1598" s="17" t="s">
        <v>9394</v>
      </c>
      <c r="P1598" s="17" t="s">
        <v>9395</v>
      </c>
      <c r="Q1598" s="18" t="s">
        <v>78</v>
      </c>
      <c r="R1598" s="18" t="s">
        <v>79</v>
      </c>
      <c r="S1598" s="18" t="s">
        <v>61</v>
      </c>
      <c r="T1598" s="18" t="s">
        <v>62</v>
      </c>
      <c r="U1598" s="19" t="s">
        <v>80</v>
      </c>
    </row>
    <row r="1599" spans="1:21" ht="15.75" customHeight="1" x14ac:dyDescent="0.25">
      <c r="A1599" s="27" t="s">
        <v>9396</v>
      </c>
      <c r="B1599" s="28" t="s">
        <v>9397</v>
      </c>
      <c r="C1599" s="29" t="s">
        <v>9398</v>
      </c>
      <c r="D1599" s="30" t="s">
        <v>9399</v>
      </c>
      <c r="E1599" s="29" t="s">
        <v>47</v>
      </c>
      <c r="F1599" s="31">
        <v>81</v>
      </c>
      <c r="G1599" s="20" t="s">
        <v>85</v>
      </c>
      <c r="H1599" s="29" t="s">
        <v>48</v>
      </c>
      <c r="I1599" s="32" t="s">
        <v>552</v>
      </c>
      <c r="J1599" s="28" t="s">
        <v>9400</v>
      </c>
      <c r="K1599" s="29" t="s">
        <v>9401</v>
      </c>
      <c r="L1599" s="27" t="s">
        <v>90</v>
      </c>
      <c r="M1599" s="28" t="s">
        <v>91</v>
      </c>
      <c r="N1599" s="33" t="s">
        <v>75</v>
      </c>
      <c r="O1599" s="34" t="s">
        <v>492</v>
      </c>
      <c r="P1599" s="34" t="s">
        <v>493</v>
      </c>
      <c r="Q1599" s="35" t="s">
        <v>78</v>
      </c>
      <c r="R1599" s="35" t="s">
        <v>79</v>
      </c>
      <c r="S1599" s="35" t="s">
        <v>61</v>
      </c>
      <c r="T1599" s="35" t="s">
        <v>62</v>
      </c>
      <c r="U1599" s="36" t="s">
        <v>80</v>
      </c>
    </row>
    <row r="1600" spans="1:21" ht="15.75" customHeight="1" x14ac:dyDescent="0.25">
      <c r="A1600" s="9" t="s">
        <v>9402</v>
      </c>
      <c r="B1600" s="10" t="s">
        <v>9403</v>
      </c>
      <c r="C1600" s="11" t="s">
        <v>9404</v>
      </c>
      <c r="D1600" s="12" t="s">
        <v>9405</v>
      </c>
      <c r="E1600" s="11" t="s">
        <v>47</v>
      </c>
      <c r="F1600" s="13">
        <v>114</v>
      </c>
      <c r="G1600" s="20" t="s">
        <v>85</v>
      </c>
      <c r="H1600" s="11" t="s">
        <v>330</v>
      </c>
      <c r="I1600" s="15" t="s">
        <v>5721</v>
      </c>
      <c r="J1600" s="10" t="s">
        <v>9406</v>
      </c>
      <c r="K1600" s="11" t="s">
        <v>9407</v>
      </c>
      <c r="L1600" s="9" t="s">
        <v>90</v>
      </c>
      <c r="M1600" s="10" t="s">
        <v>91</v>
      </c>
      <c r="N1600" s="16" t="s">
        <v>75</v>
      </c>
      <c r="O1600" s="17" t="s">
        <v>92</v>
      </c>
      <c r="P1600" s="17" t="s">
        <v>93</v>
      </c>
      <c r="Q1600" s="18" t="s">
        <v>78</v>
      </c>
      <c r="R1600" s="18" t="s">
        <v>79</v>
      </c>
      <c r="S1600" s="18" t="s">
        <v>61</v>
      </c>
      <c r="T1600" s="18" t="s">
        <v>62</v>
      </c>
      <c r="U1600" s="19" t="s">
        <v>80</v>
      </c>
    </row>
    <row r="1601" spans="1:21" ht="15.75" customHeight="1" x14ac:dyDescent="0.25">
      <c r="A1601" s="27" t="s">
        <v>9408</v>
      </c>
      <c r="B1601" s="28" t="s">
        <v>9409</v>
      </c>
      <c r="C1601" s="29" t="s">
        <v>9410</v>
      </c>
      <c r="D1601" s="30" t="s">
        <v>9411</v>
      </c>
      <c r="E1601" s="29" t="s">
        <v>47</v>
      </c>
      <c r="F1601" s="31">
        <v>143.30000000000001</v>
      </c>
      <c r="G1601" s="20" t="s">
        <v>119</v>
      </c>
      <c r="H1601" s="29" t="s">
        <v>330</v>
      </c>
      <c r="I1601" s="32" t="s">
        <v>9412</v>
      </c>
      <c r="J1601" s="28" t="s">
        <v>9413</v>
      </c>
      <c r="K1601" s="29" t="s">
        <v>9414</v>
      </c>
      <c r="L1601" s="27" t="s">
        <v>90</v>
      </c>
      <c r="M1601" s="28" t="s">
        <v>91</v>
      </c>
      <c r="N1601" s="33" t="s">
        <v>75</v>
      </c>
      <c r="O1601" s="34" t="s">
        <v>492</v>
      </c>
      <c r="P1601" s="34" t="s">
        <v>493</v>
      </c>
      <c r="Q1601" s="35" t="s">
        <v>78</v>
      </c>
      <c r="R1601" s="35" t="s">
        <v>79</v>
      </c>
      <c r="S1601" s="35" t="s">
        <v>61</v>
      </c>
      <c r="T1601" s="35" t="s">
        <v>62</v>
      </c>
      <c r="U1601" s="36" t="s">
        <v>80</v>
      </c>
    </row>
    <row r="1602" spans="1:21" ht="15.75" customHeight="1" x14ac:dyDescent="0.25">
      <c r="A1602" s="9" t="s">
        <v>9415</v>
      </c>
      <c r="B1602" s="10" t="s">
        <v>9416</v>
      </c>
      <c r="C1602" s="11" t="s">
        <v>9417</v>
      </c>
      <c r="D1602" s="12" t="s">
        <v>1357</v>
      </c>
      <c r="E1602" s="11" t="s">
        <v>98</v>
      </c>
      <c r="F1602" s="11"/>
      <c r="G1602" s="20" t="s">
        <v>85</v>
      </c>
      <c r="H1602" s="11" t="s">
        <v>120</v>
      </c>
      <c r="I1602" s="15" t="s">
        <v>9418</v>
      </c>
      <c r="J1602" s="10" t="s">
        <v>9419</v>
      </c>
      <c r="K1602" s="11"/>
      <c r="L1602" s="9"/>
      <c r="M1602" s="10"/>
      <c r="N1602" s="23" t="s">
        <v>179</v>
      </c>
      <c r="O1602" s="17" t="s">
        <v>292</v>
      </c>
      <c r="P1602" s="17" t="s">
        <v>293</v>
      </c>
      <c r="Q1602" s="18" t="s">
        <v>78</v>
      </c>
      <c r="R1602" s="18" t="s">
        <v>79</v>
      </c>
      <c r="S1602" s="18" t="s">
        <v>61</v>
      </c>
      <c r="T1602" s="18" t="s">
        <v>62</v>
      </c>
      <c r="U1602" s="19" t="s">
        <v>80</v>
      </c>
    </row>
    <row r="1603" spans="1:21" ht="15.75" customHeight="1" x14ac:dyDescent="0.25">
      <c r="A1603" s="27" t="s">
        <v>9420</v>
      </c>
      <c r="B1603" s="28" t="s">
        <v>9421</v>
      </c>
      <c r="C1603" s="29" t="s">
        <v>9422</v>
      </c>
      <c r="D1603" s="30" t="s">
        <v>9423</v>
      </c>
      <c r="E1603" s="29" t="s">
        <v>98</v>
      </c>
      <c r="F1603" s="29"/>
      <c r="G1603" s="20" t="s">
        <v>85</v>
      </c>
      <c r="H1603" s="29" t="s">
        <v>120</v>
      </c>
      <c r="I1603" s="32" t="s">
        <v>9424</v>
      </c>
      <c r="J1603" s="28" t="s">
        <v>9425</v>
      </c>
      <c r="K1603" s="29"/>
      <c r="L1603" s="27"/>
      <c r="M1603" s="28"/>
      <c r="N1603" s="39" t="s">
        <v>179</v>
      </c>
      <c r="O1603" s="34" t="s">
        <v>180</v>
      </c>
      <c r="P1603" s="34" t="s">
        <v>181</v>
      </c>
      <c r="Q1603" s="35" t="s">
        <v>78</v>
      </c>
      <c r="R1603" s="35" t="s">
        <v>79</v>
      </c>
      <c r="S1603" s="35" t="s">
        <v>61</v>
      </c>
      <c r="T1603" s="35" t="s">
        <v>62</v>
      </c>
      <c r="U1603" s="36" t="s">
        <v>80</v>
      </c>
    </row>
    <row r="1604" spans="1:21" ht="15.75" customHeight="1" x14ac:dyDescent="0.25">
      <c r="A1604" s="9" t="s">
        <v>9426</v>
      </c>
      <c r="B1604" s="10" t="s">
        <v>9427</v>
      </c>
      <c r="C1604" s="11" t="s">
        <v>9428</v>
      </c>
      <c r="D1604" s="12" t="s">
        <v>9429</v>
      </c>
      <c r="E1604" s="11" t="s">
        <v>47</v>
      </c>
      <c r="F1604" s="11"/>
      <c r="G1604" s="20" t="s">
        <v>85</v>
      </c>
      <c r="H1604" s="11" t="s">
        <v>120</v>
      </c>
      <c r="I1604" s="15" t="s">
        <v>9430</v>
      </c>
      <c r="J1604" s="10" t="s">
        <v>9431</v>
      </c>
      <c r="K1604" s="11"/>
      <c r="L1604" s="9"/>
      <c r="M1604" s="10"/>
      <c r="N1604" s="16" t="s">
        <v>75</v>
      </c>
      <c r="O1604" s="17" t="s">
        <v>5560</v>
      </c>
      <c r="P1604" s="17" t="s">
        <v>5561</v>
      </c>
      <c r="Q1604" s="18" t="s">
        <v>78</v>
      </c>
      <c r="R1604" s="18" t="s">
        <v>79</v>
      </c>
      <c r="S1604" s="18" t="s">
        <v>61</v>
      </c>
      <c r="T1604" s="18" t="s">
        <v>62</v>
      </c>
      <c r="U1604" s="19" t="s">
        <v>80</v>
      </c>
    </row>
    <row r="1605" spans="1:21" ht="15.75" customHeight="1" x14ac:dyDescent="0.25">
      <c r="A1605" s="27" t="s">
        <v>9432</v>
      </c>
      <c r="B1605" s="28" t="s">
        <v>9433</v>
      </c>
      <c r="C1605" s="29" t="s">
        <v>9434</v>
      </c>
      <c r="D1605" s="30" t="s">
        <v>9435</v>
      </c>
      <c r="E1605" s="29" t="s">
        <v>47</v>
      </c>
      <c r="F1605" s="29"/>
      <c r="G1605" s="20" t="s">
        <v>85</v>
      </c>
      <c r="H1605" s="29" t="s">
        <v>120</v>
      </c>
      <c r="I1605" s="32" t="s">
        <v>8117</v>
      </c>
      <c r="J1605" s="28" t="s">
        <v>9436</v>
      </c>
      <c r="K1605" s="29"/>
      <c r="L1605" s="27"/>
      <c r="M1605" s="28"/>
      <c r="N1605" s="39" t="s">
        <v>179</v>
      </c>
      <c r="O1605" s="34" t="s">
        <v>180</v>
      </c>
      <c r="P1605" s="34" t="s">
        <v>181</v>
      </c>
      <c r="Q1605" s="35" t="s">
        <v>78</v>
      </c>
      <c r="R1605" s="35" t="s">
        <v>79</v>
      </c>
      <c r="S1605" s="35" t="s">
        <v>61</v>
      </c>
      <c r="T1605" s="35" t="s">
        <v>62</v>
      </c>
      <c r="U1605" s="36" t="s">
        <v>80</v>
      </c>
    </row>
    <row r="1606" spans="1:21" ht="15.75" customHeight="1" x14ac:dyDescent="0.25">
      <c r="A1606" s="9" t="s">
        <v>9437</v>
      </c>
      <c r="B1606" s="10" t="s">
        <v>9438</v>
      </c>
      <c r="C1606" s="11" t="s">
        <v>9439</v>
      </c>
      <c r="D1606" s="12" t="s">
        <v>9440</v>
      </c>
      <c r="E1606" s="11" t="s">
        <v>98</v>
      </c>
      <c r="F1606" s="11"/>
      <c r="G1606" s="20" t="s">
        <v>119</v>
      </c>
      <c r="H1606" s="11" t="s">
        <v>100</v>
      </c>
      <c r="I1606" s="15" t="s">
        <v>2132</v>
      </c>
      <c r="J1606" s="10" t="s">
        <v>9441</v>
      </c>
      <c r="K1606" s="11" t="s">
        <v>8281</v>
      </c>
      <c r="L1606" s="9" t="s">
        <v>2005</v>
      </c>
      <c r="M1606" s="10" t="s">
        <v>2006</v>
      </c>
      <c r="N1606" s="16" t="s">
        <v>75</v>
      </c>
      <c r="O1606" s="17" t="s">
        <v>2951</v>
      </c>
      <c r="P1606" s="17" t="s">
        <v>2952</v>
      </c>
      <c r="Q1606" s="18" t="s">
        <v>78</v>
      </c>
      <c r="R1606" s="18" t="s">
        <v>79</v>
      </c>
      <c r="S1606" s="18" t="s">
        <v>61</v>
      </c>
      <c r="T1606" s="18" t="s">
        <v>62</v>
      </c>
      <c r="U1606" s="19" t="s">
        <v>80</v>
      </c>
    </row>
    <row r="1607" spans="1:21" ht="15.75" customHeight="1" x14ac:dyDescent="0.25">
      <c r="A1607" s="27" t="s">
        <v>9442</v>
      </c>
      <c r="B1607" s="28" t="s">
        <v>9443</v>
      </c>
      <c r="C1607" s="29" t="s">
        <v>9444</v>
      </c>
      <c r="D1607" s="30" t="s">
        <v>9445</v>
      </c>
      <c r="E1607" s="29" t="s">
        <v>47</v>
      </c>
      <c r="F1607" s="29"/>
      <c r="G1607" s="20" t="s">
        <v>119</v>
      </c>
      <c r="H1607" s="29" t="s">
        <v>330</v>
      </c>
      <c r="I1607" s="32" t="s">
        <v>590</v>
      </c>
      <c r="J1607" s="28" t="s">
        <v>9446</v>
      </c>
      <c r="K1607" s="29"/>
      <c r="L1607" s="27"/>
      <c r="M1607" s="28"/>
      <c r="N1607" s="39" t="s">
        <v>179</v>
      </c>
      <c r="O1607" s="34" t="s">
        <v>292</v>
      </c>
      <c r="P1607" s="34" t="s">
        <v>293</v>
      </c>
      <c r="Q1607" s="35" t="s">
        <v>78</v>
      </c>
      <c r="R1607" s="35" t="s">
        <v>79</v>
      </c>
      <c r="S1607" s="35" t="s">
        <v>61</v>
      </c>
      <c r="T1607" s="35" t="s">
        <v>62</v>
      </c>
      <c r="U1607" s="36" t="s">
        <v>80</v>
      </c>
    </row>
    <row r="1608" spans="1:21" ht="15.75" customHeight="1" x14ac:dyDescent="0.25">
      <c r="A1608" s="9" t="s">
        <v>9447</v>
      </c>
      <c r="B1608" s="10" t="s">
        <v>9448</v>
      </c>
      <c r="C1608" s="11" t="s">
        <v>9449</v>
      </c>
      <c r="D1608" s="12" t="s">
        <v>2578</v>
      </c>
      <c r="E1608" s="11" t="s">
        <v>98</v>
      </c>
      <c r="F1608" s="13">
        <v>448</v>
      </c>
      <c r="G1608" s="20" t="s">
        <v>85</v>
      </c>
      <c r="H1608" s="11" t="s">
        <v>129</v>
      </c>
      <c r="I1608" s="15" t="s">
        <v>9450</v>
      </c>
      <c r="J1608" s="10" t="s">
        <v>9451</v>
      </c>
      <c r="K1608" s="11" t="s">
        <v>332</v>
      </c>
      <c r="L1608" s="9" t="s">
        <v>197</v>
      </c>
      <c r="M1608" s="10" t="s">
        <v>198</v>
      </c>
      <c r="N1608" s="23" t="s">
        <v>179</v>
      </c>
      <c r="O1608" s="17" t="s">
        <v>104</v>
      </c>
      <c r="P1608" s="17" t="s">
        <v>105</v>
      </c>
      <c r="Q1608" s="18" t="s">
        <v>78</v>
      </c>
      <c r="R1608" s="18" t="s">
        <v>79</v>
      </c>
      <c r="S1608" s="18" t="s">
        <v>61</v>
      </c>
      <c r="T1608" s="18" t="s">
        <v>62</v>
      </c>
      <c r="U1608" s="19" t="s">
        <v>80</v>
      </c>
    </row>
    <row r="1609" spans="1:21" ht="15.75" customHeight="1" x14ac:dyDescent="0.25">
      <c r="A1609" s="27" t="s">
        <v>9452</v>
      </c>
      <c r="B1609" s="28" t="s">
        <v>9453</v>
      </c>
      <c r="C1609" s="29" t="s">
        <v>9454</v>
      </c>
      <c r="D1609" s="30" t="s">
        <v>9455</v>
      </c>
      <c r="E1609" s="29" t="s">
        <v>47</v>
      </c>
      <c r="F1609" s="31">
        <v>72</v>
      </c>
      <c r="G1609" s="20" t="s">
        <v>68</v>
      </c>
      <c r="H1609" s="29" t="s">
        <v>48</v>
      </c>
      <c r="I1609" s="32" t="s">
        <v>2587</v>
      </c>
      <c r="J1609" s="28" t="s">
        <v>9456</v>
      </c>
      <c r="K1609" s="29" t="s">
        <v>9457</v>
      </c>
      <c r="L1609" s="27" t="s">
        <v>481</v>
      </c>
      <c r="M1609" s="28" t="s">
        <v>482</v>
      </c>
      <c r="N1609" s="33" t="s">
        <v>75</v>
      </c>
      <c r="O1609" s="34" t="s">
        <v>1560</v>
      </c>
      <c r="P1609" s="34" t="s">
        <v>1561</v>
      </c>
      <c r="Q1609" s="35" t="s">
        <v>78</v>
      </c>
      <c r="R1609" s="35" t="s">
        <v>79</v>
      </c>
      <c r="S1609" s="35" t="s">
        <v>61</v>
      </c>
      <c r="T1609" s="35" t="s">
        <v>62</v>
      </c>
      <c r="U1609" s="36" t="s">
        <v>80</v>
      </c>
    </row>
    <row r="1610" spans="1:21" ht="15.75" customHeight="1" x14ac:dyDescent="0.25">
      <c r="A1610" s="9" t="s">
        <v>9458</v>
      </c>
      <c r="B1610" s="10" t="s">
        <v>9459</v>
      </c>
      <c r="C1610" s="11" t="s">
        <v>9460</v>
      </c>
      <c r="D1610" s="12" t="s">
        <v>1476</v>
      </c>
      <c r="E1610" s="11"/>
      <c r="F1610" s="13">
        <v>279</v>
      </c>
      <c r="G1610" s="26" t="s">
        <v>68</v>
      </c>
      <c r="H1610" s="11" t="s">
        <v>129</v>
      </c>
      <c r="I1610" s="15" t="s">
        <v>3501</v>
      </c>
      <c r="J1610" s="10" t="s">
        <v>9461</v>
      </c>
      <c r="K1610" s="11" t="s">
        <v>332</v>
      </c>
      <c r="L1610" s="9" t="s">
        <v>197</v>
      </c>
      <c r="M1610" s="10" t="s">
        <v>198</v>
      </c>
      <c r="N1610" s="23" t="s">
        <v>179</v>
      </c>
      <c r="O1610" s="17" t="s">
        <v>1448</v>
      </c>
      <c r="P1610" s="17" t="s">
        <v>1449</v>
      </c>
      <c r="Q1610" s="18" t="s">
        <v>78</v>
      </c>
      <c r="R1610" s="18" t="s">
        <v>79</v>
      </c>
      <c r="S1610" s="18" t="s">
        <v>61</v>
      </c>
      <c r="T1610" s="18" t="s">
        <v>62</v>
      </c>
      <c r="U1610" s="19" t="s">
        <v>80</v>
      </c>
    </row>
    <row r="1611" spans="1:21" ht="15.75" customHeight="1" x14ac:dyDescent="0.25">
      <c r="A1611" s="27" t="s">
        <v>9462</v>
      </c>
      <c r="B1611" s="28" t="s">
        <v>9463</v>
      </c>
      <c r="C1611" s="29" t="s">
        <v>9464</v>
      </c>
      <c r="D1611" s="30" t="s">
        <v>9465</v>
      </c>
      <c r="E1611" s="29" t="s">
        <v>98</v>
      </c>
      <c r="F1611" s="29"/>
      <c r="G1611" s="20" t="s">
        <v>119</v>
      </c>
      <c r="H1611" s="29" t="s">
        <v>100</v>
      </c>
      <c r="I1611" s="32" t="s">
        <v>9466</v>
      </c>
      <c r="J1611" s="28" t="s">
        <v>9467</v>
      </c>
      <c r="K1611" s="29" t="s">
        <v>9468</v>
      </c>
      <c r="L1611" s="27" t="s">
        <v>1203</v>
      </c>
      <c r="M1611" s="28" t="s">
        <v>1204</v>
      </c>
      <c r="N1611" s="33" t="s">
        <v>75</v>
      </c>
      <c r="O1611" s="34" t="s">
        <v>9469</v>
      </c>
      <c r="P1611" s="34" t="s">
        <v>9470</v>
      </c>
      <c r="Q1611" s="35" t="s">
        <v>78</v>
      </c>
      <c r="R1611" s="35" t="s">
        <v>79</v>
      </c>
      <c r="S1611" s="35" t="s">
        <v>61</v>
      </c>
      <c r="T1611" s="35" t="s">
        <v>62</v>
      </c>
      <c r="U1611" s="36" t="s">
        <v>80</v>
      </c>
    </row>
    <row r="1612" spans="1:21" ht="15.75" customHeight="1" x14ac:dyDescent="0.25">
      <c r="A1612" s="9" t="s">
        <v>9471</v>
      </c>
      <c r="B1612" s="10" t="s">
        <v>9472</v>
      </c>
      <c r="C1612" s="11" t="s">
        <v>9473</v>
      </c>
      <c r="D1612" s="12" t="s">
        <v>9474</v>
      </c>
      <c r="E1612" s="11" t="s">
        <v>98</v>
      </c>
      <c r="F1612" s="11"/>
      <c r="G1612" s="20" t="s">
        <v>85</v>
      </c>
      <c r="H1612" s="11" t="s">
        <v>100</v>
      </c>
      <c r="I1612" s="15" t="s">
        <v>9475</v>
      </c>
      <c r="J1612" s="10" t="s">
        <v>9476</v>
      </c>
      <c r="K1612" s="11" t="s">
        <v>1655</v>
      </c>
      <c r="L1612" s="9" t="s">
        <v>90</v>
      </c>
      <c r="M1612" s="10" t="s">
        <v>91</v>
      </c>
      <c r="N1612" s="16" t="s">
        <v>75</v>
      </c>
      <c r="O1612" s="17" t="s">
        <v>292</v>
      </c>
      <c r="P1612" s="17" t="s">
        <v>293</v>
      </c>
      <c r="Q1612" s="18" t="s">
        <v>78</v>
      </c>
      <c r="R1612" s="18" t="s">
        <v>79</v>
      </c>
      <c r="S1612" s="18" t="s">
        <v>61</v>
      </c>
      <c r="T1612" s="18" t="s">
        <v>62</v>
      </c>
      <c r="U1612" s="19" t="s">
        <v>80</v>
      </c>
    </row>
    <row r="1613" spans="1:21" ht="15.75" customHeight="1" x14ac:dyDescent="0.25">
      <c r="A1613" s="27" t="s">
        <v>9477</v>
      </c>
      <c r="B1613" s="28" t="s">
        <v>9478</v>
      </c>
      <c r="C1613" s="29" t="s">
        <v>9479</v>
      </c>
      <c r="D1613" s="30" t="s">
        <v>9480</v>
      </c>
      <c r="E1613" s="29" t="s">
        <v>47</v>
      </c>
      <c r="F1613" s="29" t="s">
        <v>9481</v>
      </c>
      <c r="G1613" s="20" t="s">
        <v>85</v>
      </c>
      <c r="H1613" s="29" t="s">
        <v>330</v>
      </c>
      <c r="I1613" s="32" t="s">
        <v>7157</v>
      </c>
      <c r="J1613" s="28" t="s">
        <v>9482</v>
      </c>
      <c r="K1613" s="29" t="s">
        <v>348</v>
      </c>
      <c r="L1613" s="27" t="s">
        <v>197</v>
      </c>
      <c r="M1613" s="28" t="s">
        <v>198</v>
      </c>
      <c r="N1613" s="39" t="s">
        <v>179</v>
      </c>
      <c r="O1613" s="34" t="s">
        <v>292</v>
      </c>
      <c r="P1613" s="34" t="s">
        <v>293</v>
      </c>
      <c r="Q1613" s="35" t="s">
        <v>78</v>
      </c>
      <c r="R1613" s="35" t="s">
        <v>79</v>
      </c>
      <c r="S1613" s="35" t="s">
        <v>61</v>
      </c>
      <c r="T1613" s="35" t="s">
        <v>62</v>
      </c>
      <c r="U1613" s="36" t="s">
        <v>80</v>
      </c>
    </row>
    <row r="1614" spans="1:21" ht="15.75" customHeight="1" x14ac:dyDescent="0.25">
      <c r="A1614" s="9" t="s">
        <v>9483</v>
      </c>
      <c r="B1614" s="10" t="s">
        <v>9484</v>
      </c>
      <c r="C1614" s="11" t="s">
        <v>9485</v>
      </c>
      <c r="D1614" s="12" t="s">
        <v>9486</v>
      </c>
      <c r="E1614" s="11" t="s">
        <v>98</v>
      </c>
      <c r="F1614" s="11"/>
      <c r="G1614" s="20" t="s">
        <v>85</v>
      </c>
      <c r="H1614" s="11" t="s">
        <v>100</v>
      </c>
      <c r="I1614" s="15" t="s">
        <v>7175</v>
      </c>
      <c r="J1614" s="10" t="s">
        <v>9487</v>
      </c>
      <c r="K1614" s="11"/>
      <c r="L1614" s="9"/>
      <c r="M1614" s="10"/>
      <c r="N1614" s="23" t="s">
        <v>179</v>
      </c>
      <c r="O1614" s="17" t="s">
        <v>180</v>
      </c>
      <c r="P1614" s="17" t="s">
        <v>181</v>
      </c>
      <c r="Q1614" s="18" t="s">
        <v>78</v>
      </c>
      <c r="R1614" s="18" t="s">
        <v>79</v>
      </c>
      <c r="S1614" s="18" t="s">
        <v>61</v>
      </c>
      <c r="T1614" s="18" t="s">
        <v>62</v>
      </c>
      <c r="U1614" s="19" t="s">
        <v>80</v>
      </c>
    </row>
    <row r="1615" spans="1:21" ht="15.75" customHeight="1" x14ac:dyDescent="0.25">
      <c r="A1615" s="27" t="s">
        <v>9488</v>
      </c>
      <c r="B1615" s="28" t="s">
        <v>9489</v>
      </c>
      <c r="C1615" s="29" t="s">
        <v>9490</v>
      </c>
      <c r="D1615" s="30" t="s">
        <v>9491</v>
      </c>
      <c r="E1615" s="29" t="s">
        <v>47</v>
      </c>
      <c r="F1615" s="31">
        <v>189</v>
      </c>
      <c r="G1615" s="20" t="s">
        <v>119</v>
      </c>
      <c r="H1615" s="29" t="s">
        <v>86</v>
      </c>
      <c r="I1615" s="32" t="s">
        <v>9492</v>
      </c>
      <c r="J1615" s="28" t="s">
        <v>9493</v>
      </c>
      <c r="K1615" s="29" t="s">
        <v>507</v>
      </c>
      <c r="L1615" s="27" t="s">
        <v>90</v>
      </c>
      <c r="M1615" s="28" t="s">
        <v>91</v>
      </c>
      <c r="N1615" s="33" t="s">
        <v>75</v>
      </c>
      <c r="O1615" s="34" t="s">
        <v>508</v>
      </c>
      <c r="P1615" s="34" t="s">
        <v>509</v>
      </c>
      <c r="Q1615" s="35" t="s">
        <v>78</v>
      </c>
      <c r="R1615" s="35" t="s">
        <v>79</v>
      </c>
      <c r="S1615" s="35" t="s">
        <v>61</v>
      </c>
      <c r="T1615" s="35" t="s">
        <v>62</v>
      </c>
      <c r="U1615" s="36" t="s">
        <v>80</v>
      </c>
    </row>
    <row r="1616" spans="1:21" ht="15.75" customHeight="1" x14ac:dyDescent="0.25">
      <c r="A1616" s="9" t="s">
        <v>9494</v>
      </c>
      <c r="B1616" s="10" t="s">
        <v>9495</v>
      </c>
      <c r="C1616" s="11" t="s">
        <v>9496</v>
      </c>
      <c r="D1616" s="12" t="s">
        <v>9497</v>
      </c>
      <c r="E1616" s="11" t="s">
        <v>98</v>
      </c>
      <c r="F1616" s="11"/>
      <c r="G1616" s="14" t="s">
        <v>119</v>
      </c>
      <c r="H1616" s="11" t="s">
        <v>100</v>
      </c>
      <c r="I1616" s="15" t="s">
        <v>4258</v>
      </c>
      <c r="J1616" s="10" t="s">
        <v>9498</v>
      </c>
      <c r="K1616" s="11"/>
      <c r="L1616" s="9"/>
      <c r="M1616" s="10"/>
      <c r="N1616" s="23" t="s">
        <v>179</v>
      </c>
      <c r="O1616" s="17" t="s">
        <v>869</v>
      </c>
      <c r="P1616" s="17" t="s">
        <v>870</v>
      </c>
      <c r="Q1616" s="18" t="s">
        <v>78</v>
      </c>
      <c r="R1616" s="18" t="s">
        <v>79</v>
      </c>
      <c r="S1616" s="18" t="s">
        <v>61</v>
      </c>
      <c r="T1616" s="18" t="s">
        <v>62</v>
      </c>
      <c r="U1616" s="19" t="s">
        <v>80</v>
      </c>
    </row>
    <row r="1617" spans="1:21" ht="15.75" customHeight="1" x14ac:dyDescent="0.25">
      <c r="A1617" s="27" t="s">
        <v>9499</v>
      </c>
      <c r="B1617" s="28" t="s">
        <v>9500</v>
      </c>
      <c r="C1617" s="29" t="s">
        <v>9501</v>
      </c>
      <c r="D1617" s="30" t="s">
        <v>5676</v>
      </c>
      <c r="E1617" s="29" t="s">
        <v>47</v>
      </c>
      <c r="F1617" s="29" t="s">
        <v>9502</v>
      </c>
      <c r="G1617" s="20" t="s">
        <v>119</v>
      </c>
      <c r="H1617" s="29" t="s">
        <v>330</v>
      </c>
      <c r="I1617" s="32" t="s">
        <v>9503</v>
      </c>
      <c r="J1617" s="28" t="s">
        <v>9504</v>
      </c>
      <c r="K1617" s="29" t="s">
        <v>132</v>
      </c>
      <c r="L1617" s="27" t="s">
        <v>90</v>
      </c>
      <c r="M1617" s="28" t="s">
        <v>91</v>
      </c>
      <c r="N1617" s="33" t="s">
        <v>75</v>
      </c>
      <c r="O1617" s="34" t="s">
        <v>124</v>
      </c>
      <c r="P1617" s="34" t="s">
        <v>125</v>
      </c>
      <c r="Q1617" s="35" t="s">
        <v>78</v>
      </c>
      <c r="R1617" s="35" t="s">
        <v>79</v>
      </c>
      <c r="S1617" s="35" t="s">
        <v>61</v>
      </c>
      <c r="T1617" s="35" t="s">
        <v>62</v>
      </c>
      <c r="U1617" s="36" t="s">
        <v>80</v>
      </c>
    </row>
    <row r="1618" spans="1:21" ht="15.75" customHeight="1" x14ac:dyDescent="0.25">
      <c r="A1618" s="9" t="s">
        <v>9505</v>
      </c>
      <c r="B1618" s="10" t="s">
        <v>9506</v>
      </c>
      <c r="C1618" s="11" t="s">
        <v>9507</v>
      </c>
      <c r="D1618" s="12" t="s">
        <v>9508</v>
      </c>
      <c r="E1618" s="11" t="s">
        <v>47</v>
      </c>
      <c r="F1618" s="11" t="s">
        <v>9509</v>
      </c>
      <c r="G1618" s="20" t="s">
        <v>119</v>
      </c>
      <c r="H1618" s="11" t="s">
        <v>330</v>
      </c>
      <c r="I1618" s="15" t="s">
        <v>9510</v>
      </c>
      <c r="J1618" s="10" t="s">
        <v>9511</v>
      </c>
      <c r="K1618" s="11" t="s">
        <v>132</v>
      </c>
      <c r="L1618" s="9" t="s">
        <v>90</v>
      </c>
      <c r="M1618" s="10" t="s">
        <v>91</v>
      </c>
      <c r="N1618" s="16" t="s">
        <v>75</v>
      </c>
      <c r="O1618" s="17" t="s">
        <v>92</v>
      </c>
      <c r="P1618" s="17" t="s">
        <v>93</v>
      </c>
      <c r="Q1618" s="18" t="s">
        <v>78</v>
      </c>
      <c r="R1618" s="18" t="s">
        <v>79</v>
      </c>
      <c r="S1618" s="18" t="s">
        <v>61</v>
      </c>
      <c r="T1618" s="18" t="s">
        <v>62</v>
      </c>
      <c r="U1618" s="19" t="s">
        <v>80</v>
      </c>
    </row>
    <row r="1619" spans="1:21" ht="15.75" customHeight="1" x14ac:dyDescent="0.25">
      <c r="A1619" s="27" t="s">
        <v>9512</v>
      </c>
      <c r="B1619" s="28" t="s">
        <v>9513</v>
      </c>
      <c r="C1619" s="29" t="s">
        <v>9514</v>
      </c>
      <c r="D1619" s="37" t="s">
        <v>109</v>
      </c>
      <c r="E1619" s="29" t="s">
        <v>1264</v>
      </c>
      <c r="F1619" s="29"/>
      <c r="G1619" s="24" t="s">
        <v>85</v>
      </c>
      <c r="H1619" s="29" t="s">
        <v>100</v>
      </c>
      <c r="I1619" s="32" t="s">
        <v>9515</v>
      </c>
      <c r="J1619" s="28" t="s">
        <v>9516</v>
      </c>
      <c r="K1619" s="29"/>
      <c r="L1619" s="27"/>
      <c r="M1619" s="28"/>
      <c r="N1619" s="38"/>
      <c r="O1619" s="34"/>
      <c r="P1619" s="34"/>
      <c r="Q1619" s="35" t="s">
        <v>78</v>
      </c>
      <c r="R1619" s="35" t="s">
        <v>79</v>
      </c>
      <c r="S1619" s="35" t="s">
        <v>61</v>
      </c>
      <c r="T1619" s="35" t="s">
        <v>62</v>
      </c>
      <c r="U1619" s="36" t="s">
        <v>80</v>
      </c>
    </row>
    <row r="1620" spans="1:21" ht="15.75" customHeight="1" x14ac:dyDescent="0.25">
      <c r="A1620" s="9" t="s">
        <v>9517</v>
      </c>
      <c r="B1620" s="10" t="s">
        <v>9518</v>
      </c>
      <c r="C1620" s="11" t="s">
        <v>9519</v>
      </c>
      <c r="D1620" s="12" t="s">
        <v>9520</v>
      </c>
      <c r="E1620" s="11" t="s">
        <v>98</v>
      </c>
      <c r="F1620" s="11" t="s">
        <v>3307</v>
      </c>
      <c r="G1620" s="14" t="s">
        <v>708</v>
      </c>
      <c r="H1620" s="11" t="s">
        <v>100</v>
      </c>
      <c r="I1620" s="15" t="s">
        <v>9521</v>
      </c>
      <c r="J1620" s="10" t="s">
        <v>9522</v>
      </c>
      <c r="K1620" s="11"/>
      <c r="L1620" s="9"/>
      <c r="M1620" s="10"/>
      <c r="N1620" s="23" t="s">
        <v>179</v>
      </c>
      <c r="O1620" s="17" t="s">
        <v>869</v>
      </c>
      <c r="P1620" s="17" t="s">
        <v>870</v>
      </c>
      <c r="Q1620" s="18" t="s">
        <v>78</v>
      </c>
      <c r="R1620" s="18" t="s">
        <v>79</v>
      </c>
      <c r="S1620" s="18" t="s">
        <v>61</v>
      </c>
      <c r="T1620" s="18" t="s">
        <v>62</v>
      </c>
      <c r="U1620" s="19" t="s">
        <v>80</v>
      </c>
    </row>
    <row r="1621" spans="1:21" ht="15.75" customHeight="1" x14ac:dyDescent="0.25">
      <c r="A1621" s="27" t="s">
        <v>9523</v>
      </c>
      <c r="B1621" s="28" t="s">
        <v>9524</v>
      </c>
      <c r="C1621" s="29" t="s">
        <v>9525</v>
      </c>
      <c r="D1621" s="37" t="s">
        <v>109</v>
      </c>
      <c r="E1621" s="29" t="s">
        <v>1264</v>
      </c>
      <c r="F1621" s="31">
        <v>294</v>
      </c>
      <c r="G1621" s="24" t="s">
        <v>85</v>
      </c>
      <c r="H1621" s="29" t="s">
        <v>129</v>
      </c>
      <c r="I1621" s="32" t="s">
        <v>2228</v>
      </c>
      <c r="J1621" s="28" t="s">
        <v>9526</v>
      </c>
      <c r="K1621" s="29"/>
      <c r="L1621" s="27"/>
      <c r="M1621" s="28"/>
      <c r="N1621" s="38"/>
      <c r="O1621" s="34"/>
      <c r="P1621" s="34"/>
      <c r="Q1621" s="35" t="s">
        <v>78</v>
      </c>
      <c r="R1621" s="35" t="s">
        <v>79</v>
      </c>
      <c r="S1621" s="35" t="s">
        <v>61</v>
      </c>
      <c r="T1621" s="35" t="s">
        <v>62</v>
      </c>
      <c r="U1621" s="36" t="s">
        <v>80</v>
      </c>
    </row>
    <row r="1622" spans="1:21" ht="15.75" customHeight="1" x14ac:dyDescent="0.25">
      <c r="A1622" s="9" t="s">
        <v>9527</v>
      </c>
      <c r="B1622" s="10" t="s">
        <v>9528</v>
      </c>
      <c r="C1622" s="11" t="s">
        <v>9529</v>
      </c>
      <c r="D1622" s="12" t="s">
        <v>9445</v>
      </c>
      <c r="E1622" s="11" t="s">
        <v>47</v>
      </c>
      <c r="F1622" s="13">
        <v>218</v>
      </c>
      <c r="G1622" s="20" t="s">
        <v>119</v>
      </c>
      <c r="H1622" s="11" t="s">
        <v>129</v>
      </c>
      <c r="I1622" s="15" t="s">
        <v>9530</v>
      </c>
      <c r="J1622" s="10" t="s">
        <v>9531</v>
      </c>
      <c r="K1622" s="11" t="s">
        <v>3001</v>
      </c>
      <c r="L1622" s="9" t="s">
        <v>90</v>
      </c>
      <c r="M1622" s="10" t="s">
        <v>91</v>
      </c>
      <c r="N1622" s="23" t="s">
        <v>179</v>
      </c>
      <c r="O1622" s="17" t="s">
        <v>292</v>
      </c>
      <c r="P1622" s="17" t="s">
        <v>293</v>
      </c>
      <c r="Q1622" s="18" t="s">
        <v>78</v>
      </c>
      <c r="R1622" s="18" t="s">
        <v>79</v>
      </c>
      <c r="S1622" s="18" t="s">
        <v>61</v>
      </c>
      <c r="T1622" s="18" t="s">
        <v>62</v>
      </c>
      <c r="U1622" s="19" t="s">
        <v>80</v>
      </c>
    </row>
    <row r="1623" spans="1:21" ht="15.75" customHeight="1" x14ac:dyDescent="0.25">
      <c r="A1623" s="27" t="s">
        <v>9532</v>
      </c>
      <c r="B1623" s="28" t="s">
        <v>9533</v>
      </c>
      <c r="C1623" s="29" t="s">
        <v>9534</v>
      </c>
      <c r="D1623" s="30" t="s">
        <v>9445</v>
      </c>
      <c r="E1623" s="29" t="s">
        <v>47</v>
      </c>
      <c r="F1623" s="31">
        <v>220</v>
      </c>
      <c r="G1623" s="20" t="s">
        <v>119</v>
      </c>
      <c r="H1623" s="29" t="s">
        <v>129</v>
      </c>
      <c r="I1623" s="32" t="s">
        <v>5835</v>
      </c>
      <c r="J1623" s="28" t="s">
        <v>9535</v>
      </c>
      <c r="K1623" s="29" t="s">
        <v>3001</v>
      </c>
      <c r="L1623" s="27" t="s">
        <v>90</v>
      </c>
      <c r="M1623" s="28" t="s">
        <v>91</v>
      </c>
      <c r="N1623" s="39" t="s">
        <v>179</v>
      </c>
      <c r="O1623" s="34" t="s">
        <v>292</v>
      </c>
      <c r="P1623" s="34" t="s">
        <v>293</v>
      </c>
      <c r="Q1623" s="35" t="s">
        <v>78</v>
      </c>
      <c r="R1623" s="35" t="s">
        <v>79</v>
      </c>
      <c r="S1623" s="35" t="s">
        <v>61</v>
      </c>
      <c r="T1623" s="35" t="s">
        <v>62</v>
      </c>
      <c r="U1623" s="36" t="s">
        <v>80</v>
      </c>
    </row>
    <row r="1624" spans="1:21" ht="15.75" customHeight="1" x14ac:dyDescent="0.25">
      <c r="A1624" s="9" t="s">
        <v>9536</v>
      </c>
      <c r="B1624" s="10" t="s">
        <v>9537</v>
      </c>
      <c r="C1624" s="11" t="s">
        <v>9538</v>
      </c>
      <c r="D1624" s="12" t="s">
        <v>1531</v>
      </c>
      <c r="E1624" s="11" t="s">
        <v>98</v>
      </c>
      <c r="F1624" s="11"/>
      <c r="G1624" s="14" t="s">
        <v>119</v>
      </c>
      <c r="H1624" s="11" t="s">
        <v>100</v>
      </c>
      <c r="I1624" s="15" t="s">
        <v>9539</v>
      </c>
      <c r="J1624" s="10" t="s">
        <v>9540</v>
      </c>
      <c r="K1624" s="11"/>
      <c r="L1624" s="9"/>
      <c r="M1624" s="10"/>
      <c r="N1624" s="23" t="s">
        <v>179</v>
      </c>
      <c r="O1624" s="17" t="s">
        <v>869</v>
      </c>
      <c r="P1624" s="17" t="s">
        <v>870</v>
      </c>
      <c r="Q1624" s="18" t="s">
        <v>78</v>
      </c>
      <c r="R1624" s="18" t="s">
        <v>79</v>
      </c>
      <c r="S1624" s="18" t="s">
        <v>61</v>
      </c>
      <c r="T1624" s="18" t="s">
        <v>62</v>
      </c>
      <c r="U1624" s="19" t="s">
        <v>80</v>
      </c>
    </row>
    <row r="1625" spans="1:21" ht="15.75" customHeight="1" x14ac:dyDescent="0.25">
      <c r="A1625" s="27" t="s">
        <v>9541</v>
      </c>
      <c r="B1625" s="28" t="s">
        <v>9542</v>
      </c>
      <c r="C1625" s="29" t="s">
        <v>9543</v>
      </c>
      <c r="D1625" s="30" t="s">
        <v>1810</v>
      </c>
      <c r="E1625" s="29" t="s">
        <v>98</v>
      </c>
      <c r="F1625" s="29" t="s">
        <v>9544</v>
      </c>
      <c r="G1625" s="20" t="s">
        <v>119</v>
      </c>
      <c r="H1625" s="29" t="s">
        <v>100</v>
      </c>
      <c r="I1625" s="32" t="s">
        <v>6683</v>
      </c>
      <c r="J1625" s="28" t="s">
        <v>9545</v>
      </c>
      <c r="K1625" s="29"/>
      <c r="L1625" s="27"/>
      <c r="M1625" s="28"/>
      <c r="N1625" s="33" t="s">
        <v>75</v>
      </c>
      <c r="O1625" s="34" t="s">
        <v>180</v>
      </c>
      <c r="P1625" s="34" t="s">
        <v>181</v>
      </c>
      <c r="Q1625" s="35" t="s">
        <v>78</v>
      </c>
      <c r="R1625" s="35" t="s">
        <v>79</v>
      </c>
      <c r="S1625" s="35" t="s">
        <v>61</v>
      </c>
      <c r="T1625" s="35" t="s">
        <v>62</v>
      </c>
      <c r="U1625" s="36" t="s">
        <v>80</v>
      </c>
    </row>
    <row r="1626" spans="1:21" ht="15.75" customHeight="1" x14ac:dyDescent="0.25">
      <c r="A1626" s="9" t="s">
        <v>9546</v>
      </c>
      <c r="B1626" s="10" t="s">
        <v>9547</v>
      </c>
      <c r="C1626" s="11" t="s">
        <v>9548</v>
      </c>
      <c r="D1626" s="21" t="s">
        <v>109</v>
      </c>
      <c r="E1626" s="11" t="s">
        <v>98</v>
      </c>
      <c r="F1626" s="11"/>
      <c r="G1626" s="24" t="s">
        <v>85</v>
      </c>
      <c r="H1626" s="11" t="s">
        <v>120</v>
      </c>
      <c r="I1626" s="15" t="s">
        <v>4743</v>
      </c>
      <c r="J1626" s="10" t="s">
        <v>9549</v>
      </c>
      <c r="K1626" s="11"/>
      <c r="L1626" s="9"/>
      <c r="M1626" s="10"/>
      <c r="N1626" s="22"/>
      <c r="O1626" s="17"/>
      <c r="P1626" s="17"/>
      <c r="Q1626" s="18" t="s">
        <v>78</v>
      </c>
      <c r="R1626" s="18" t="s">
        <v>79</v>
      </c>
      <c r="S1626" s="18" t="s">
        <v>61</v>
      </c>
      <c r="T1626" s="18" t="s">
        <v>62</v>
      </c>
      <c r="U1626" s="19" t="s">
        <v>80</v>
      </c>
    </row>
    <row r="1627" spans="1:21" ht="15.75" customHeight="1" x14ac:dyDescent="0.25">
      <c r="A1627" s="27" t="s">
        <v>9550</v>
      </c>
      <c r="B1627" s="28" t="s">
        <v>9551</v>
      </c>
      <c r="C1627" s="29" t="s">
        <v>9552</v>
      </c>
      <c r="D1627" s="37" t="s">
        <v>109</v>
      </c>
      <c r="E1627" s="29" t="s">
        <v>98</v>
      </c>
      <c r="F1627" s="29"/>
      <c r="G1627" s="24" t="s">
        <v>85</v>
      </c>
      <c r="H1627" s="29" t="s">
        <v>100</v>
      </c>
      <c r="I1627" s="32" t="s">
        <v>9553</v>
      </c>
      <c r="J1627" s="28" t="s">
        <v>9554</v>
      </c>
      <c r="K1627" s="29"/>
      <c r="L1627" s="27"/>
      <c r="M1627" s="28"/>
      <c r="N1627" s="38"/>
      <c r="O1627" s="34"/>
      <c r="P1627" s="34"/>
      <c r="Q1627" s="35" t="s">
        <v>78</v>
      </c>
      <c r="R1627" s="35" t="s">
        <v>79</v>
      </c>
      <c r="S1627" s="35" t="s">
        <v>61</v>
      </c>
      <c r="T1627" s="35" t="s">
        <v>62</v>
      </c>
      <c r="U1627" s="36" t="s">
        <v>80</v>
      </c>
    </row>
    <row r="1628" spans="1:21" ht="15.75" customHeight="1" x14ac:dyDescent="0.25">
      <c r="A1628" s="9" t="s">
        <v>9555</v>
      </c>
      <c r="B1628" s="10" t="s">
        <v>9556</v>
      </c>
      <c r="C1628" s="11" t="s">
        <v>9557</v>
      </c>
      <c r="D1628" s="12" t="s">
        <v>9558</v>
      </c>
      <c r="E1628" s="11" t="s">
        <v>47</v>
      </c>
      <c r="F1628" s="13">
        <v>58</v>
      </c>
      <c r="G1628" s="14" t="s">
        <v>110</v>
      </c>
      <c r="H1628" s="11" t="s">
        <v>48</v>
      </c>
      <c r="I1628" s="15" t="s">
        <v>982</v>
      </c>
      <c r="J1628" s="10" t="s">
        <v>9559</v>
      </c>
      <c r="K1628" s="11" t="s">
        <v>903</v>
      </c>
      <c r="L1628" s="9" t="s">
        <v>158</v>
      </c>
      <c r="M1628" s="10" t="s">
        <v>159</v>
      </c>
      <c r="N1628" s="16" t="s">
        <v>75</v>
      </c>
      <c r="O1628" s="17" t="s">
        <v>2007</v>
      </c>
      <c r="P1628" s="17" t="s">
        <v>2008</v>
      </c>
      <c r="Q1628" s="18" t="s">
        <v>78</v>
      </c>
      <c r="R1628" s="18" t="s">
        <v>79</v>
      </c>
      <c r="S1628" s="18" t="s">
        <v>61</v>
      </c>
      <c r="T1628" s="18" t="s">
        <v>62</v>
      </c>
      <c r="U1628" s="19" t="s">
        <v>80</v>
      </c>
    </row>
    <row r="1629" spans="1:21" ht="15.75" customHeight="1" x14ac:dyDescent="0.25">
      <c r="A1629" s="27" t="s">
        <v>9560</v>
      </c>
      <c r="B1629" s="28" t="s">
        <v>9561</v>
      </c>
      <c r="C1629" s="29" t="s">
        <v>9562</v>
      </c>
      <c r="D1629" s="30" t="s">
        <v>2963</v>
      </c>
      <c r="E1629" s="29" t="s">
        <v>98</v>
      </c>
      <c r="F1629" s="29"/>
      <c r="G1629" s="26" t="s">
        <v>119</v>
      </c>
      <c r="H1629" s="29" t="s">
        <v>120</v>
      </c>
      <c r="I1629" s="32" t="s">
        <v>9563</v>
      </c>
      <c r="J1629" s="28" t="s">
        <v>9564</v>
      </c>
      <c r="K1629" s="29" t="s">
        <v>332</v>
      </c>
      <c r="L1629" s="27" t="s">
        <v>197</v>
      </c>
      <c r="M1629" s="28" t="s">
        <v>198</v>
      </c>
      <c r="N1629" s="39" t="s">
        <v>179</v>
      </c>
      <c r="O1629" s="34" t="s">
        <v>934</v>
      </c>
      <c r="P1629" s="34" t="s">
        <v>935</v>
      </c>
      <c r="Q1629" s="35" t="s">
        <v>78</v>
      </c>
      <c r="R1629" s="35" t="s">
        <v>79</v>
      </c>
      <c r="S1629" s="35" t="s">
        <v>61</v>
      </c>
      <c r="T1629" s="35" t="s">
        <v>62</v>
      </c>
      <c r="U1629" s="36" t="s">
        <v>80</v>
      </c>
    </row>
    <row r="1630" spans="1:21" ht="15.75" customHeight="1" x14ac:dyDescent="0.25">
      <c r="A1630" s="9" t="s">
        <v>9565</v>
      </c>
      <c r="B1630" s="10" t="s">
        <v>9566</v>
      </c>
      <c r="C1630" s="11" t="s">
        <v>9567</v>
      </c>
      <c r="D1630" s="12" t="s">
        <v>7605</v>
      </c>
      <c r="E1630" s="11" t="s">
        <v>47</v>
      </c>
      <c r="F1630" s="13">
        <v>243</v>
      </c>
      <c r="G1630" s="24" t="s">
        <v>119</v>
      </c>
      <c r="H1630" s="11" t="s">
        <v>129</v>
      </c>
      <c r="I1630" s="15" t="s">
        <v>8757</v>
      </c>
      <c r="J1630" s="10" t="s">
        <v>9568</v>
      </c>
      <c r="K1630" s="11"/>
      <c r="L1630" s="9"/>
      <c r="M1630" s="10"/>
      <c r="N1630" s="23" t="s">
        <v>179</v>
      </c>
      <c r="O1630" s="17"/>
      <c r="P1630" s="17"/>
      <c r="Q1630" s="18" t="s">
        <v>78</v>
      </c>
      <c r="R1630" s="18" t="s">
        <v>79</v>
      </c>
      <c r="S1630" s="18" t="s">
        <v>61</v>
      </c>
      <c r="T1630" s="18" t="s">
        <v>62</v>
      </c>
      <c r="U1630" s="19" t="s">
        <v>80</v>
      </c>
    </row>
    <row r="1631" spans="1:21" ht="15.75" customHeight="1" x14ac:dyDescent="0.25">
      <c r="A1631" s="27" t="s">
        <v>9569</v>
      </c>
      <c r="B1631" s="28" t="s">
        <v>9570</v>
      </c>
      <c r="C1631" s="29" t="s">
        <v>9571</v>
      </c>
      <c r="D1631" s="30" t="s">
        <v>9572</v>
      </c>
      <c r="E1631" s="29" t="s">
        <v>98</v>
      </c>
      <c r="F1631" s="29"/>
      <c r="G1631" s="20" t="s">
        <v>85</v>
      </c>
      <c r="H1631" s="29" t="s">
        <v>100</v>
      </c>
      <c r="I1631" s="32" t="s">
        <v>9573</v>
      </c>
      <c r="J1631" s="28" t="s">
        <v>9574</v>
      </c>
      <c r="K1631" s="29" t="s">
        <v>1655</v>
      </c>
      <c r="L1631" s="27" t="s">
        <v>90</v>
      </c>
      <c r="M1631" s="28" t="s">
        <v>91</v>
      </c>
      <c r="N1631" s="33" t="s">
        <v>75</v>
      </c>
      <c r="O1631" s="34" t="s">
        <v>124</v>
      </c>
      <c r="P1631" s="34" t="s">
        <v>125</v>
      </c>
      <c r="Q1631" s="35" t="s">
        <v>78</v>
      </c>
      <c r="R1631" s="35" t="s">
        <v>79</v>
      </c>
      <c r="S1631" s="35" t="s">
        <v>61</v>
      </c>
      <c r="T1631" s="35" t="s">
        <v>62</v>
      </c>
      <c r="U1631" s="36" t="s">
        <v>80</v>
      </c>
    </row>
    <row r="1632" spans="1:21" ht="15.75" customHeight="1" x14ac:dyDescent="0.25">
      <c r="A1632" s="9" t="s">
        <v>9575</v>
      </c>
      <c r="B1632" s="10" t="s">
        <v>9576</v>
      </c>
      <c r="C1632" s="11" t="s">
        <v>9577</v>
      </c>
      <c r="D1632" s="21" t="s">
        <v>109</v>
      </c>
      <c r="E1632" s="11" t="s">
        <v>98</v>
      </c>
      <c r="F1632" s="11"/>
      <c r="G1632" s="24" t="s">
        <v>85</v>
      </c>
      <c r="H1632" s="11" t="s">
        <v>100</v>
      </c>
      <c r="I1632" s="15" t="s">
        <v>9578</v>
      </c>
      <c r="J1632" s="10" t="s">
        <v>9579</v>
      </c>
      <c r="K1632" s="11"/>
      <c r="L1632" s="9"/>
      <c r="M1632" s="10"/>
      <c r="N1632" s="22"/>
      <c r="O1632" s="17"/>
      <c r="P1632" s="17"/>
      <c r="Q1632" s="18" t="s">
        <v>78</v>
      </c>
      <c r="R1632" s="18" t="s">
        <v>79</v>
      </c>
      <c r="S1632" s="18" t="s">
        <v>61</v>
      </c>
      <c r="T1632" s="18" t="s">
        <v>62</v>
      </c>
      <c r="U1632" s="19" t="s">
        <v>80</v>
      </c>
    </row>
    <row r="1633" spans="1:21" ht="15.75" customHeight="1" x14ac:dyDescent="0.25">
      <c r="A1633" s="27" t="s">
        <v>9580</v>
      </c>
      <c r="B1633" s="28" t="s">
        <v>9581</v>
      </c>
      <c r="C1633" s="29" t="s">
        <v>9582</v>
      </c>
      <c r="D1633" s="30" t="s">
        <v>6964</v>
      </c>
      <c r="E1633" s="29" t="s">
        <v>98</v>
      </c>
      <c r="F1633" s="29" t="s">
        <v>3307</v>
      </c>
      <c r="G1633" s="24" t="s">
        <v>110</v>
      </c>
      <c r="H1633" s="29" t="s">
        <v>100</v>
      </c>
      <c r="I1633" s="32" t="s">
        <v>2265</v>
      </c>
      <c r="J1633" s="28" t="s">
        <v>9583</v>
      </c>
      <c r="K1633" s="29"/>
      <c r="L1633" s="27"/>
      <c r="M1633" s="28"/>
      <c r="N1633" s="39" t="s">
        <v>179</v>
      </c>
      <c r="O1633" s="34"/>
      <c r="P1633" s="34"/>
      <c r="Q1633" s="35" t="s">
        <v>78</v>
      </c>
      <c r="R1633" s="35" t="s">
        <v>79</v>
      </c>
      <c r="S1633" s="35" t="s">
        <v>61</v>
      </c>
      <c r="T1633" s="35" t="s">
        <v>62</v>
      </c>
      <c r="U1633" s="36" t="s">
        <v>80</v>
      </c>
    </row>
    <row r="1634" spans="1:21" ht="15.75" customHeight="1" x14ac:dyDescent="0.25">
      <c r="A1634" s="9" t="s">
        <v>9584</v>
      </c>
      <c r="B1634" s="10" t="s">
        <v>9585</v>
      </c>
      <c r="C1634" s="11" t="s">
        <v>9586</v>
      </c>
      <c r="D1634" s="12" t="s">
        <v>3649</v>
      </c>
      <c r="E1634" s="11" t="s">
        <v>98</v>
      </c>
      <c r="F1634" s="11" t="s">
        <v>9587</v>
      </c>
      <c r="G1634" s="24" t="s">
        <v>110</v>
      </c>
      <c r="H1634" s="11" t="s">
        <v>100</v>
      </c>
      <c r="I1634" s="15" t="s">
        <v>9588</v>
      </c>
      <c r="J1634" s="10" t="s">
        <v>9589</v>
      </c>
      <c r="K1634" s="11"/>
      <c r="L1634" s="9"/>
      <c r="M1634" s="10"/>
      <c r="N1634" s="23" t="s">
        <v>179</v>
      </c>
      <c r="O1634" s="17"/>
      <c r="P1634" s="17"/>
      <c r="Q1634" s="18" t="s">
        <v>78</v>
      </c>
      <c r="R1634" s="18" t="s">
        <v>79</v>
      </c>
      <c r="S1634" s="18" t="s">
        <v>61</v>
      </c>
      <c r="T1634" s="18" t="s">
        <v>62</v>
      </c>
      <c r="U1634" s="19" t="s">
        <v>80</v>
      </c>
    </row>
    <row r="1635" spans="1:21" ht="15.75" customHeight="1" x14ac:dyDescent="0.25">
      <c r="A1635" s="27" t="s">
        <v>9590</v>
      </c>
      <c r="B1635" s="28" t="s">
        <v>9591</v>
      </c>
      <c r="C1635" s="29" t="s">
        <v>9592</v>
      </c>
      <c r="D1635" s="30" t="s">
        <v>9593</v>
      </c>
      <c r="E1635" s="29" t="s">
        <v>98</v>
      </c>
      <c r="F1635" s="31">
        <v>156</v>
      </c>
      <c r="G1635" s="26" t="s">
        <v>110</v>
      </c>
      <c r="H1635" s="29" t="s">
        <v>86</v>
      </c>
      <c r="I1635" s="32" t="s">
        <v>6036</v>
      </c>
      <c r="J1635" s="28" t="s">
        <v>9594</v>
      </c>
      <c r="K1635" s="29" t="s">
        <v>4993</v>
      </c>
      <c r="L1635" s="27" t="s">
        <v>1698</v>
      </c>
      <c r="M1635" s="28" t="s">
        <v>1699</v>
      </c>
      <c r="N1635" s="39" t="s">
        <v>179</v>
      </c>
      <c r="O1635" s="34" t="s">
        <v>7124</v>
      </c>
      <c r="P1635" s="34" t="s">
        <v>7125</v>
      </c>
      <c r="Q1635" s="35" t="s">
        <v>78</v>
      </c>
      <c r="R1635" s="35" t="s">
        <v>79</v>
      </c>
      <c r="S1635" s="35" t="s">
        <v>61</v>
      </c>
      <c r="T1635" s="35" t="s">
        <v>62</v>
      </c>
      <c r="U1635" s="36" t="s">
        <v>80</v>
      </c>
    </row>
    <row r="1636" spans="1:21" ht="15.75" customHeight="1" x14ac:dyDescent="0.25">
      <c r="A1636" s="9" t="s">
        <v>9595</v>
      </c>
      <c r="B1636" s="10" t="s">
        <v>9596</v>
      </c>
      <c r="C1636" s="11" t="s">
        <v>9597</v>
      </c>
      <c r="D1636" s="12" t="s">
        <v>9598</v>
      </c>
      <c r="E1636" s="11" t="s">
        <v>47</v>
      </c>
      <c r="F1636" s="13">
        <v>183</v>
      </c>
      <c r="G1636" s="14" t="s">
        <v>110</v>
      </c>
      <c r="H1636" s="11" t="s">
        <v>86</v>
      </c>
      <c r="I1636" s="15" t="s">
        <v>9599</v>
      </c>
      <c r="J1636" s="10" t="s">
        <v>9600</v>
      </c>
      <c r="K1636" s="11" t="s">
        <v>348</v>
      </c>
      <c r="L1636" s="9" t="s">
        <v>197</v>
      </c>
      <c r="M1636" s="10" t="s">
        <v>198</v>
      </c>
      <c r="N1636" s="23" t="s">
        <v>179</v>
      </c>
      <c r="O1636" s="17"/>
      <c r="P1636" s="17"/>
      <c r="Q1636" s="18" t="s">
        <v>78</v>
      </c>
      <c r="R1636" s="18" t="s">
        <v>79</v>
      </c>
      <c r="S1636" s="18" t="s">
        <v>61</v>
      </c>
      <c r="T1636" s="18" t="s">
        <v>62</v>
      </c>
      <c r="U1636" s="19" t="s">
        <v>80</v>
      </c>
    </row>
    <row r="1637" spans="1:21" ht="15.75" customHeight="1" x14ac:dyDescent="0.25">
      <c r="A1637" s="27" t="s">
        <v>9601</v>
      </c>
      <c r="B1637" s="28" t="s">
        <v>9602</v>
      </c>
      <c r="C1637" s="29" t="s">
        <v>9603</v>
      </c>
      <c r="D1637" s="30" t="s">
        <v>9604</v>
      </c>
      <c r="E1637" s="29" t="s">
        <v>47</v>
      </c>
      <c r="F1637" s="31">
        <v>70</v>
      </c>
      <c r="G1637" s="20" t="s">
        <v>119</v>
      </c>
      <c r="H1637" s="29" t="s">
        <v>48</v>
      </c>
      <c r="I1637" s="32" t="s">
        <v>9605</v>
      </c>
      <c r="J1637" s="28" t="s">
        <v>9606</v>
      </c>
      <c r="K1637" s="29" t="s">
        <v>6999</v>
      </c>
      <c r="L1637" s="27" t="s">
        <v>158</v>
      </c>
      <c r="M1637" s="28" t="s">
        <v>159</v>
      </c>
      <c r="N1637" s="33" t="s">
        <v>75</v>
      </c>
      <c r="O1637" s="34" t="s">
        <v>382</v>
      </c>
      <c r="P1637" s="34" t="s">
        <v>383</v>
      </c>
      <c r="Q1637" s="35" t="s">
        <v>78</v>
      </c>
      <c r="R1637" s="35" t="s">
        <v>79</v>
      </c>
      <c r="S1637" s="35" t="s">
        <v>61</v>
      </c>
      <c r="T1637" s="35" t="s">
        <v>62</v>
      </c>
      <c r="U1637" s="36" t="s">
        <v>80</v>
      </c>
    </row>
    <row r="1638" spans="1:21" ht="15.75" customHeight="1" x14ac:dyDescent="0.25">
      <c r="A1638" s="9" t="s">
        <v>9607</v>
      </c>
      <c r="B1638" s="10" t="s">
        <v>9608</v>
      </c>
      <c r="C1638" s="11" t="s">
        <v>9609</v>
      </c>
      <c r="D1638" s="12" t="s">
        <v>9610</v>
      </c>
      <c r="E1638" s="11" t="s">
        <v>47</v>
      </c>
      <c r="F1638" s="13">
        <v>260</v>
      </c>
      <c r="G1638" s="14" t="s">
        <v>119</v>
      </c>
      <c r="H1638" s="11" t="s">
        <v>129</v>
      </c>
      <c r="I1638" s="15" t="s">
        <v>642</v>
      </c>
      <c r="J1638" s="10" t="s">
        <v>9611</v>
      </c>
      <c r="K1638" s="11" t="s">
        <v>348</v>
      </c>
      <c r="L1638" s="9" t="s">
        <v>197</v>
      </c>
      <c r="M1638" s="10" t="s">
        <v>198</v>
      </c>
      <c r="N1638" s="23" t="s">
        <v>179</v>
      </c>
      <c r="O1638" s="17" t="s">
        <v>869</v>
      </c>
      <c r="P1638" s="17" t="s">
        <v>870</v>
      </c>
      <c r="Q1638" s="18" t="s">
        <v>78</v>
      </c>
      <c r="R1638" s="18" t="s">
        <v>79</v>
      </c>
      <c r="S1638" s="18" t="s">
        <v>61</v>
      </c>
      <c r="T1638" s="18" t="s">
        <v>62</v>
      </c>
      <c r="U1638" s="19" t="s">
        <v>80</v>
      </c>
    </row>
    <row r="1639" spans="1:21" ht="15.75" customHeight="1" x14ac:dyDescent="0.25">
      <c r="A1639" s="27" t="s">
        <v>9612</v>
      </c>
      <c r="B1639" s="28" t="s">
        <v>9613</v>
      </c>
      <c r="C1639" s="29" t="s">
        <v>9614</v>
      </c>
      <c r="D1639" s="30" t="s">
        <v>790</v>
      </c>
      <c r="E1639" s="29" t="s">
        <v>98</v>
      </c>
      <c r="F1639" s="31">
        <v>259</v>
      </c>
      <c r="G1639" s="14" t="s">
        <v>119</v>
      </c>
      <c r="H1639" s="29" t="s">
        <v>129</v>
      </c>
      <c r="I1639" s="32" t="s">
        <v>2319</v>
      </c>
      <c r="J1639" s="28" t="s">
        <v>9615</v>
      </c>
      <c r="K1639" s="29" t="s">
        <v>332</v>
      </c>
      <c r="L1639" s="27" t="s">
        <v>197</v>
      </c>
      <c r="M1639" s="28" t="s">
        <v>198</v>
      </c>
      <c r="N1639" s="39" t="s">
        <v>179</v>
      </c>
      <c r="O1639" s="34"/>
      <c r="P1639" s="34"/>
      <c r="Q1639" s="35" t="s">
        <v>78</v>
      </c>
      <c r="R1639" s="35" t="s">
        <v>79</v>
      </c>
      <c r="S1639" s="35" t="s">
        <v>61</v>
      </c>
      <c r="T1639" s="35" t="s">
        <v>62</v>
      </c>
      <c r="U1639" s="36" t="s">
        <v>80</v>
      </c>
    </row>
    <row r="1640" spans="1:21" ht="15.75" customHeight="1" x14ac:dyDescent="0.25">
      <c r="A1640" s="9" t="s">
        <v>9616</v>
      </c>
      <c r="B1640" s="10" t="s">
        <v>9617</v>
      </c>
      <c r="C1640" s="11"/>
      <c r="D1640" s="12" t="s">
        <v>9618</v>
      </c>
      <c r="E1640" s="11" t="s">
        <v>98</v>
      </c>
      <c r="F1640" s="11"/>
      <c r="G1640" s="25" t="s">
        <v>68</v>
      </c>
      <c r="H1640" s="11" t="s">
        <v>100</v>
      </c>
      <c r="I1640" s="15" t="s">
        <v>3756</v>
      </c>
      <c r="J1640" s="10" t="s">
        <v>9619</v>
      </c>
      <c r="K1640" s="11"/>
      <c r="L1640" s="9" t="s">
        <v>1698</v>
      </c>
      <c r="M1640" s="10" t="s">
        <v>1699</v>
      </c>
      <c r="N1640" s="16" t="s">
        <v>75</v>
      </c>
      <c r="O1640" s="17" t="s">
        <v>9620</v>
      </c>
      <c r="P1640" s="17" t="s">
        <v>9620</v>
      </c>
      <c r="Q1640" s="18" t="s">
        <v>78</v>
      </c>
      <c r="R1640" s="18" t="s">
        <v>79</v>
      </c>
      <c r="S1640" s="18" t="s">
        <v>61</v>
      </c>
      <c r="T1640" s="18" t="s">
        <v>62</v>
      </c>
      <c r="U1640" s="19" t="s">
        <v>80</v>
      </c>
    </row>
    <row r="1641" spans="1:21" ht="15.75" customHeight="1" x14ac:dyDescent="0.25">
      <c r="A1641" s="27" t="s">
        <v>9621</v>
      </c>
      <c r="B1641" s="28" t="s">
        <v>9622</v>
      </c>
      <c r="C1641" s="29" t="s">
        <v>9623</v>
      </c>
      <c r="D1641" s="30" t="s">
        <v>9624</v>
      </c>
      <c r="E1641" s="29" t="s">
        <v>98</v>
      </c>
      <c r="F1641" s="29" t="s">
        <v>9625</v>
      </c>
      <c r="G1641" s="20" t="s">
        <v>119</v>
      </c>
      <c r="H1641" s="29" t="s">
        <v>120</v>
      </c>
      <c r="I1641" s="32" t="s">
        <v>671</v>
      </c>
      <c r="J1641" s="28" t="s">
        <v>9626</v>
      </c>
      <c r="K1641" s="29"/>
      <c r="L1641" s="27"/>
      <c r="M1641" s="28"/>
      <c r="N1641" s="33" t="s">
        <v>75</v>
      </c>
      <c r="O1641" s="34" t="s">
        <v>2979</v>
      </c>
      <c r="P1641" s="34" t="s">
        <v>2980</v>
      </c>
      <c r="Q1641" s="35" t="s">
        <v>78</v>
      </c>
      <c r="R1641" s="35" t="s">
        <v>79</v>
      </c>
      <c r="S1641" s="35" t="s">
        <v>61</v>
      </c>
      <c r="T1641" s="35" t="s">
        <v>62</v>
      </c>
      <c r="U1641" s="36" t="s">
        <v>80</v>
      </c>
    </row>
    <row r="1642" spans="1:21" ht="15.75" customHeight="1" x14ac:dyDescent="0.25">
      <c r="A1642" s="9" t="s">
        <v>9627</v>
      </c>
      <c r="B1642" s="10" t="s">
        <v>9628</v>
      </c>
      <c r="C1642" s="11" t="s">
        <v>9629</v>
      </c>
      <c r="D1642" s="12" t="s">
        <v>4935</v>
      </c>
      <c r="E1642" s="11" t="s">
        <v>47</v>
      </c>
      <c r="F1642" s="13">
        <v>174.3</v>
      </c>
      <c r="G1642" s="20" t="s">
        <v>85</v>
      </c>
      <c r="H1642" s="11" t="s">
        <v>86</v>
      </c>
      <c r="I1642" s="15" t="s">
        <v>3001</v>
      </c>
      <c r="J1642" s="10" t="s">
        <v>9630</v>
      </c>
      <c r="K1642" s="11" t="s">
        <v>9631</v>
      </c>
      <c r="L1642" s="9" t="s">
        <v>90</v>
      </c>
      <c r="M1642" s="10" t="s">
        <v>91</v>
      </c>
      <c r="N1642" s="16" t="s">
        <v>75</v>
      </c>
      <c r="O1642" s="17" t="s">
        <v>92</v>
      </c>
      <c r="P1642" s="17" t="s">
        <v>93</v>
      </c>
      <c r="Q1642" s="18" t="s">
        <v>78</v>
      </c>
      <c r="R1642" s="18" t="s">
        <v>79</v>
      </c>
      <c r="S1642" s="18" t="s">
        <v>61</v>
      </c>
      <c r="T1642" s="18" t="s">
        <v>62</v>
      </c>
      <c r="U1642" s="19" t="s">
        <v>80</v>
      </c>
    </row>
    <row r="1643" spans="1:21" ht="15.75" customHeight="1" x14ac:dyDescent="0.25">
      <c r="A1643" s="27" t="s">
        <v>9632</v>
      </c>
      <c r="B1643" s="28" t="s">
        <v>9633</v>
      </c>
      <c r="C1643" s="29" t="s">
        <v>9634</v>
      </c>
      <c r="D1643" s="30" t="s">
        <v>6964</v>
      </c>
      <c r="E1643" s="29" t="s">
        <v>47</v>
      </c>
      <c r="F1643" s="31">
        <v>32</v>
      </c>
      <c r="G1643" s="14" t="s">
        <v>110</v>
      </c>
      <c r="H1643" s="29" t="s">
        <v>69</v>
      </c>
      <c r="I1643" s="32" t="s">
        <v>9635</v>
      </c>
      <c r="J1643" s="28" t="s">
        <v>9636</v>
      </c>
      <c r="K1643" s="29"/>
      <c r="L1643" s="27"/>
      <c r="M1643" s="28"/>
      <c r="N1643" s="39" t="s">
        <v>179</v>
      </c>
      <c r="O1643" s="34" t="s">
        <v>869</v>
      </c>
      <c r="P1643" s="34" t="s">
        <v>870</v>
      </c>
      <c r="Q1643" s="35" t="s">
        <v>78</v>
      </c>
      <c r="R1643" s="35" t="s">
        <v>79</v>
      </c>
      <c r="S1643" s="35" t="s">
        <v>61</v>
      </c>
      <c r="T1643" s="35" t="s">
        <v>62</v>
      </c>
      <c r="U1643" s="36" t="s">
        <v>80</v>
      </c>
    </row>
    <row r="1644" spans="1:21" ht="15.75" customHeight="1" x14ac:dyDescent="0.25">
      <c r="A1644" s="9" t="s">
        <v>9637</v>
      </c>
      <c r="B1644" s="10" t="s">
        <v>9638</v>
      </c>
      <c r="C1644" s="11" t="s">
        <v>9639</v>
      </c>
      <c r="D1644" s="12" t="s">
        <v>9640</v>
      </c>
      <c r="E1644" s="11" t="s">
        <v>47</v>
      </c>
      <c r="F1644" s="13">
        <v>5</v>
      </c>
      <c r="G1644" s="20" t="s">
        <v>119</v>
      </c>
      <c r="H1644" s="11" t="s">
        <v>69</v>
      </c>
      <c r="I1644" s="15" t="s">
        <v>9641</v>
      </c>
      <c r="J1644" s="10" t="s">
        <v>9642</v>
      </c>
      <c r="K1644" s="11" t="s">
        <v>9643</v>
      </c>
      <c r="L1644" s="9" t="s">
        <v>140</v>
      </c>
      <c r="M1644" s="10" t="s">
        <v>141</v>
      </c>
      <c r="N1644" s="16" t="s">
        <v>75</v>
      </c>
      <c r="O1644" s="17" t="s">
        <v>9644</v>
      </c>
      <c r="P1644" s="17" t="s">
        <v>9645</v>
      </c>
      <c r="Q1644" s="18" t="s">
        <v>78</v>
      </c>
      <c r="R1644" s="18" t="s">
        <v>79</v>
      </c>
      <c r="S1644" s="18" t="s">
        <v>61</v>
      </c>
      <c r="T1644" s="18" t="s">
        <v>62</v>
      </c>
      <c r="U1644" s="19" t="s">
        <v>80</v>
      </c>
    </row>
    <row r="1645" spans="1:21" ht="15.75" customHeight="1" x14ac:dyDescent="0.25">
      <c r="A1645" s="27" t="s">
        <v>9646</v>
      </c>
      <c r="B1645" s="28" t="s">
        <v>9647</v>
      </c>
      <c r="C1645" s="29" t="s">
        <v>9648</v>
      </c>
      <c r="D1645" s="30" t="s">
        <v>9649</v>
      </c>
      <c r="E1645" s="29" t="s">
        <v>47</v>
      </c>
      <c r="F1645" s="31">
        <v>203</v>
      </c>
      <c r="G1645" s="26" t="s">
        <v>68</v>
      </c>
      <c r="H1645" s="29" t="s">
        <v>129</v>
      </c>
      <c r="I1645" s="32" t="s">
        <v>3866</v>
      </c>
      <c r="J1645" s="28" t="s">
        <v>9650</v>
      </c>
      <c r="K1645" s="29" t="s">
        <v>348</v>
      </c>
      <c r="L1645" s="27" t="s">
        <v>197</v>
      </c>
      <c r="M1645" s="28" t="s">
        <v>198</v>
      </c>
      <c r="N1645" s="39" t="s">
        <v>179</v>
      </c>
      <c r="O1645" s="34" t="s">
        <v>934</v>
      </c>
      <c r="P1645" s="34" t="s">
        <v>935</v>
      </c>
      <c r="Q1645" s="35" t="s">
        <v>78</v>
      </c>
      <c r="R1645" s="35" t="s">
        <v>79</v>
      </c>
      <c r="S1645" s="35" t="s">
        <v>61</v>
      </c>
      <c r="T1645" s="35" t="s">
        <v>62</v>
      </c>
      <c r="U1645" s="36" t="s">
        <v>80</v>
      </c>
    </row>
    <row r="1646" spans="1:21" ht="15.75" customHeight="1" x14ac:dyDescent="0.25">
      <c r="A1646" s="9" t="s">
        <v>9651</v>
      </c>
      <c r="B1646" s="10" t="s">
        <v>9652</v>
      </c>
      <c r="C1646" s="11" t="s">
        <v>9653</v>
      </c>
      <c r="D1646" s="12" t="s">
        <v>9654</v>
      </c>
      <c r="E1646" s="11" t="s">
        <v>98</v>
      </c>
      <c r="F1646" s="13">
        <v>1023</v>
      </c>
      <c r="G1646" s="25" t="s">
        <v>119</v>
      </c>
      <c r="H1646" s="11" t="s">
        <v>129</v>
      </c>
      <c r="I1646" s="15" t="s">
        <v>1485</v>
      </c>
      <c r="J1646" s="10" t="s">
        <v>9655</v>
      </c>
      <c r="K1646" s="11" t="s">
        <v>4623</v>
      </c>
      <c r="L1646" s="9" t="s">
        <v>481</v>
      </c>
      <c r="M1646" s="10" t="s">
        <v>482</v>
      </c>
      <c r="N1646" s="16" t="s">
        <v>75</v>
      </c>
      <c r="O1646" s="17" t="s">
        <v>1127</v>
      </c>
      <c r="P1646" s="17" t="s">
        <v>1128</v>
      </c>
      <c r="Q1646" s="18" t="s">
        <v>78</v>
      </c>
      <c r="R1646" s="18" t="s">
        <v>79</v>
      </c>
      <c r="S1646" s="18" t="s">
        <v>61</v>
      </c>
      <c r="T1646" s="18" t="s">
        <v>62</v>
      </c>
      <c r="U1646" s="19" t="s">
        <v>80</v>
      </c>
    </row>
    <row r="1647" spans="1:21" ht="15.75" customHeight="1" x14ac:dyDescent="0.25">
      <c r="A1647" s="27" t="s">
        <v>9656</v>
      </c>
      <c r="B1647" s="28" t="s">
        <v>9657</v>
      </c>
      <c r="C1647" s="29" t="s">
        <v>9658</v>
      </c>
      <c r="D1647" s="30" t="s">
        <v>9659</v>
      </c>
      <c r="E1647" s="29" t="s">
        <v>47</v>
      </c>
      <c r="F1647" s="31">
        <v>220</v>
      </c>
      <c r="G1647" s="24" t="s">
        <v>110</v>
      </c>
      <c r="H1647" s="29" t="s">
        <v>129</v>
      </c>
      <c r="I1647" s="32" t="s">
        <v>2466</v>
      </c>
      <c r="J1647" s="28" t="s">
        <v>9660</v>
      </c>
      <c r="K1647" s="29"/>
      <c r="L1647" s="27"/>
      <c r="M1647" s="28"/>
      <c r="N1647" s="39" t="s">
        <v>179</v>
      </c>
      <c r="O1647" s="34"/>
      <c r="P1647" s="34"/>
      <c r="Q1647" s="35" t="s">
        <v>78</v>
      </c>
      <c r="R1647" s="35" t="s">
        <v>79</v>
      </c>
      <c r="S1647" s="35" t="s">
        <v>61</v>
      </c>
      <c r="T1647" s="35" t="s">
        <v>62</v>
      </c>
      <c r="U1647" s="36" t="s">
        <v>80</v>
      </c>
    </row>
    <row r="1648" spans="1:21" ht="15.75" customHeight="1" x14ac:dyDescent="0.25">
      <c r="A1648" s="9" t="s">
        <v>9661</v>
      </c>
      <c r="B1648" s="10" t="s">
        <v>9662</v>
      </c>
      <c r="C1648" s="11" t="s">
        <v>9663</v>
      </c>
      <c r="D1648" s="12" t="s">
        <v>9664</v>
      </c>
      <c r="E1648" s="11" t="s">
        <v>98</v>
      </c>
      <c r="F1648" s="11"/>
      <c r="G1648" s="14" t="s">
        <v>119</v>
      </c>
      <c r="H1648" s="11" t="s">
        <v>100</v>
      </c>
      <c r="I1648" s="15" t="s">
        <v>1494</v>
      </c>
      <c r="J1648" s="10" t="s">
        <v>9665</v>
      </c>
      <c r="K1648" s="11" t="s">
        <v>9666</v>
      </c>
      <c r="L1648" s="9" t="s">
        <v>1267</v>
      </c>
      <c r="M1648" s="10" t="s">
        <v>1268</v>
      </c>
      <c r="N1648" s="23" t="s">
        <v>179</v>
      </c>
      <c r="O1648" s="17" t="s">
        <v>2007</v>
      </c>
      <c r="P1648" s="17" t="s">
        <v>2008</v>
      </c>
      <c r="Q1648" s="18" t="s">
        <v>78</v>
      </c>
      <c r="R1648" s="18" t="s">
        <v>79</v>
      </c>
      <c r="S1648" s="18" t="s">
        <v>61</v>
      </c>
      <c r="T1648" s="18" t="s">
        <v>62</v>
      </c>
      <c r="U1648" s="19" t="s">
        <v>80</v>
      </c>
    </row>
    <row r="1649" spans="1:21" ht="15.75" customHeight="1" x14ac:dyDescent="0.25">
      <c r="A1649" s="27" t="s">
        <v>9667</v>
      </c>
      <c r="B1649" s="28" t="s">
        <v>9668</v>
      </c>
      <c r="C1649" s="29" t="s">
        <v>9669</v>
      </c>
      <c r="D1649" s="30" t="s">
        <v>9670</v>
      </c>
      <c r="E1649" s="29" t="s">
        <v>47</v>
      </c>
      <c r="F1649" s="31">
        <v>320</v>
      </c>
      <c r="G1649" s="20" t="s">
        <v>119</v>
      </c>
      <c r="H1649" s="29" t="s">
        <v>129</v>
      </c>
      <c r="I1649" s="32" t="s">
        <v>9671</v>
      </c>
      <c r="J1649" s="28" t="s">
        <v>9672</v>
      </c>
      <c r="K1649" s="29" t="s">
        <v>9673</v>
      </c>
      <c r="L1649" s="27" t="s">
        <v>481</v>
      </c>
      <c r="M1649" s="28" t="s">
        <v>482</v>
      </c>
      <c r="N1649" s="33" t="s">
        <v>75</v>
      </c>
      <c r="O1649" s="34" t="s">
        <v>9674</v>
      </c>
      <c r="P1649" s="34" t="s">
        <v>9675</v>
      </c>
      <c r="Q1649" s="35" t="s">
        <v>78</v>
      </c>
      <c r="R1649" s="35" t="s">
        <v>79</v>
      </c>
      <c r="S1649" s="35" t="s">
        <v>61</v>
      </c>
      <c r="T1649" s="35" t="s">
        <v>62</v>
      </c>
      <c r="U1649" s="36" t="s">
        <v>80</v>
      </c>
    </row>
    <row r="1650" spans="1:21" ht="15.75" customHeight="1" x14ac:dyDescent="0.25">
      <c r="A1650" s="9" t="s">
        <v>9676</v>
      </c>
      <c r="B1650" s="10" t="s">
        <v>9677</v>
      </c>
      <c r="C1650" s="11" t="s">
        <v>9678</v>
      </c>
      <c r="D1650" s="12" t="s">
        <v>895</v>
      </c>
      <c r="E1650" s="11" t="s">
        <v>47</v>
      </c>
      <c r="F1650" s="13">
        <v>97</v>
      </c>
      <c r="G1650" s="14" t="s">
        <v>119</v>
      </c>
      <c r="H1650" s="11" t="s">
        <v>48</v>
      </c>
      <c r="I1650" s="15" t="s">
        <v>9679</v>
      </c>
      <c r="J1650" s="10" t="s">
        <v>9680</v>
      </c>
      <c r="K1650" s="11" t="s">
        <v>903</v>
      </c>
      <c r="L1650" s="9" t="s">
        <v>158</v>
      </c>
      <c r="M1650" s="10" t="s">
        <v>159</v>
      </c>
      <c r="N1650" s="16" t="s">
        <v>75</v>
      </c>
      <c r="O1650" s="17" t="s">
        <v>712</v>
      </c>
      <c r="P1650" s="17" t="s">
        <v>713</v>
      </c>
      <c r="Q1650" s="18" t="s">
        <v>78</v>
      </c>
      <c r="R1650" s="18" t="s">
        <v>79</v>
      </c>
      <c r="S1650" s="18" t="s">
        <v>61</v>
      </c>
      <c r="T1650" s="18" t="s">
        <v>62</v>
      </c>
      <c r="U1650" s="19" t="s">
        <v>80</v>
      </c>
    </row>
    <row r="1651" spans="1:21" ht="15.75" customHeight="1" x14ac:dyDescent="0.25">
      <c r="A1651" s="27" t="s">
        <v>9681</v>
      </c>
      <c r="B1651" s="28" t="s">
        <v>9682</v>
      </c>
      <c r="C1651" s="29" t="s">
        <v>9683</v>
      </c>
      <c r="D1651" s="30" t="s">
        <v>9684</v>
      </c>
      <c r="E1651" s="29" t="s">
        <v>47</v>
      </c>
      <c r="F1651" s="31">
        <v>253</v>
      </c>
      <c r="G1651" s="20" t="s">
        <v>119</v>
      </c>
      <c r="H1651" s="29" t="s">
        <v>129</v>
      </c>
      <c r="I1651" s="32" t="s">
        <v>9685</v>
      </c>
      <c r="J1651" s="28" t="s">
        <v>9686</v>
      </c>
      <c r="K1651" s="29" t="s">
        <v>9687</v>
      </c>
      <c r="L1651" s="27" t="s">
        <v>90</v>
      </c>
      <c r="M1651" s="28" t="s">
        <v>91</v>
      </c>
      <c r="N1651" s="33" t="s">
        <v>75</v>
      </c>
      <c r="O1651" s="34" t="s">
        <v>92</v>
      </c>
      <c r="P1651" s="34" t="s">
        <v>93</v>
      </c>
      <c r="Q1651" s="35" t="s">
        <v>78</v>
      </c>
      <c r="R1651" s="35" t="s">
        <v>79</v>
      </c>
      <c r="S1651" s="35" t="s">
        <v>61</v>
      </c>
      <c r="T1651" s="35" t="s">
        <v>62</v>
      </c>
      <c r="U1651" s="36" t="s">
        <v>80</v>
      </c>
    </row>
    <row r="1652" spans="1:21" ht="15.75" customHeight="1" x14ac:dyDescent="0.25">
      <c r="A1652" s="9" t="s">
        <v>9688</v>
      </c>
      <c r="B1652" s="10" t="s">
        <v>9689</v>
      </c>
      <c r="C1652" s="11" t="s">
        <v>9690</v>
      </c>
      <c r="D1652" s="12" t="s">
        <v>9691</v>
      </c>
      <c r="E1652" s="11" t="s">
        <v>98</v>
      </c>
      <c r="F1652" s="13">
        <v>268</v>
      </c>
      <c r="G1652" s="20" t="s">
        <v>85</v>
      </c>
      <c r="H1652" s="11" t="s">
        <v>129</v>
      </c>
      <c r="I1652" s="15" t="s">
        <v>9692</v>
      </c>
      <c r="J1652" s="10" t="s">
        <v>9693</v>
      </c>
      <c r="K1652" s="11" t="s">
        <v>9694</v>
      </c>
      <c r="L1652" s="9" t="s">
        <v>481</v>
      </c>
      <c r="M1652" s="10" t="s">
        <v>482</v>
      </c>
      <c r="N1652" s="16" t="s">
        <v>75</v>
      </c>
      <c r="O1652" s="17" t="s">
        <v>2156</v>
      </c>
      <c r="P1652" s="17" t="s">
        <v>2157</v>
      </c>
      <c r="Q1652" s="18" t="s">
        <v>78</v>
      </c>
      <c r="R1652" s="18" t="s">
        <v>79</v>
      </c>
      <c r="S1652" s="18" t="s">
        <v>61</v>
      </c>
      <c r="T1652" s="18" t="s">
        <v>62</v>
      </c>
      <c r="U1652" s="19" t="s">
        <v>80</v>
      </c>
    </row>
    <row r="1653" spans="1:21" ht="15.75" customHeight="1" x14ac:dyDescent="0.25">
      <c r="A1653" s="27" t="s">
        <v>9695</v>
      </c>
      <c r="B1653" s="28" t="s">
        <v>9696</v>
      </c>
      <c r="C1653" s="29" t="s">
        <v>9697</v>
      </c>
      <c r="D1653" s="30" t="s">
        <v>9698</v>
      </c>
      <c r="E1653" s="29" t="s">
        <v>47</v>
      </c>
      <c r="F1653" s="31">
        <v>42</v>
      </c>
      <c r="G1653" s="20" t="s">
        <v>119</v>
      </c>
      <c r="H1653" s="29" t="s">
        <v>69</v>
      </c>
      <c r="I1653" s="32" t="s">
        <v>9699</v>
      </c>
      <c r="J1653" s="28" t="s">
        <v>9700</v>
      </c>
      <c r="K1653" s="29" t="s">
        <v>8046</v>
      </c>
      <c r="L1653" s="27" t="s">
        <v>158</v>
      </c>
      <c r="M1653" s="28" t="s">
        <v>159</v>
      </c>
      <c r="N1653" s="33" t="s">
        <v>75</v>
      </c>
      <c r="O1653" s="34" t="s">
        <v>517</v>
      </c>
      <c r="P1653" s="34" t="s">
        <v>518</v>
      </c>
      <c r="Q1653" s="35" t="s">
        <v>78</v>
      </c>
      <c r="R1653" s="35" t="s">
        <v>79</v>
      </c>
      <c r="S1653" s="35" t="s">
        <v>61</v>
      </c>
      <c r="T1653" s="35" t="s">
        <v>62</v>
      </c>
      <c r="U1653" s="36" t="s">
        <v>80</v>
      </c>
    </row>
    <row r="1654" spans="1:21" ht="15.75" customHeight="1" x14ac:dyDescent="0.25">
      <c r="A1654" s="9" t="s">
        <v>9701</v>
      </c>
      <c r="B1654" s="10" t="s">
        <v>9702</v>
      </c>
      <c r="C1654" s="11" t="s">
        <v>9703</v>
      </c>
      <c r="D1654" s="12" t="s">
        <v>9704</v>
      </c>
      <c r="E1654" s="11" t="s">
        <v>47</v>
      </c>
      <c r="F1654" s="13">
        <v>210</v>
      </c>
      <c r="G1654" s="20" t="s">
        <v>119</v>
      </c>
      <c r="H1654" s="11" t="s">
        <v>129</v>
      </c>
      <c r="I1654" s="15" t="s">
        <v>9705</v>
      </c>
      <c r="J1654" s="10" t="s">
        <v>9706</v>
      </c>
      <c r="K1654" s="11" t="s">
        <v>5520</v>
      </c>
      <c r="L1654" s="9" t="s">
        <v>90</v>
      </c>
      <c r="M1654" s="10" t="s">
        <v>91</v>
      </c>
      <c r="N1654" s="16" t="s">
        <v>75</v>
      </c>
      <c r="O1654" s="17" t="s">
        <v>124</v>
      </c>
      <c r="P1654" s="17" t="s">
        <v>125</v>
      </c>
      <c r="Q1654" s="18" t="s">
        <v>78</v>
      </c>
      <c r="R1654" s="18" t="s">
        <v>79</v>
      </c>
      <c r="S1654" s="18" t="s">
        <v>61</v>
      </c>
      <c r="T1654" s="18" t="s">
        <v>62</v>
      </c>
      <c r="U1654" s="19" t="s">
        <v>80</v>
      </c>
    </row>
    <row r="1655" spans="1:21" ht="15.75" customHeight="1" x14ac:dyDescent="0.25">
      <c r="A1655" s="27" t="s">
        <v>9707</v>
      </c>
      <c r="B1655" s="28" t="s">
        <v>9708</v>
      </c>
      <c r="C1655" s="29" t="s">
        <v>9709</v>
      </c>
      <c r="D1655" s="30" t="s">
        <v>9710</v>
      </c>
      <c r="E1655" s="29" t="s">
        <v>47</v>
      </c>
      <c r="F1655" s="31">
        <v>250</v>
      </c>
      <c r="G1655" s="20" t="s">
        <v>119</v>
      </c>
      <c r="H1655" s="29" t="s">
        <v>129</v>
      </c>
      <c r="I1655" s="32" t="s">
        <v>9711</v>
      </c>
      <c r="J1655" s="28" t="s">
        <v>9712</v>
      </c>
      <c r="K1655" s="29"/>
      <c r="L1655" s="27"/>
      <c r="M1655" s="28"/>
      <c r="N1655" s="39" t="s">
        <v>179</v>
      </c>
      <c r="O1655" s="34" t="s">
        <v>292</v>
      </c>
      <c r="P1655" s="34" t="s">
        <v>293</v>
      </c>
      <c r="Q1655" s="35" t="s">
        <v>78</v>
      </c>
      <c r="R1655" s="35" t="s">
        <v>79</v>
      </c>
      <c r="S1655" s="35" t="s">
        <v>61</v>
      </c>
      <c r="T1655" s="35" t="s">
        <v>62</v>
      </c>
      <c r="U1655" s="36" t="s">
        <v>80</v>
      </c>
    </row>
    <row r="1656" spans="1:21" ht="15.75" customHeight="1" x14ac:dyDescent="0.25">
      <c r="A1656" s="9" t="s">
        <v>9713</v>
      </c>
      <c r="B1656" s="10" t="s">
        <v>9714</v>
      </c>
      <c r="C1656" s="11" t="s">
        <v>9715</v>
      </c>
      <c r="D1656" s="12" t="s">
        <v>9716</v>
      </c>
      <c r="E1656" s="11" t="s">
        <v>47</v>
      </c>
      <c r="F1656" s="13">
        <v>226</v>
      </c>
      <c r="G1656" s="14" t="s">
        <v>119</v>
      </c>
      <c r="H1656" s="11" t="s">
        <v>129</v>
      </c>
      <c r="I1656" s="15" t="s">
        <v>9717</v>
      </c>
      <c r="J1656" s="10" t="s">
        <v>9718</v>
      </c>
      <c r="K1656" s="11"/>
      <c r="L1656" s="9"/>
      <c r="M1656" s="10"/>
      <c r="N1656" s="23" t="s">
        <v>179</v>
      </c>
      <c r="O1656" s="17" t="s">
        <v>869</v>
      </c>
      <c r="P1656" s="17" t="s">
        <v>870</v>
      </c>
      <c r="Q1656" s="18" t="s">
        <v>78</v>
      </c>
      <c r="R1656" s="18" t="s">
        <v>79</v>
      </c>
      <c r="S1656" s="18" t="s">
        <v>61</v>
      </c>
      <c r="T1656" s="18" t="s">
        <v>62</v>
      </c>
      <c r="U1656" s="19" t="s">
        <v>80</v>
      </c>
    </row>
    <row r="1657" spans="1:21" ht="15.75" customHeight="1" x14ac:dyDescent="0.25">
      <c r="A1657" s="27" t="s">
        <v>9719</v>
      </c>
      <c r="B1657" s="28" t="s">
        <v>9720</v>
      </c>
      <c r="C1657" s="29" t="s">
        <v>9721</v>
      </c>
      <c r="D1657" s="30" t="s">
        <v>9722</v>
      </c>
      <c r="E1657" s="29" t="s">
        <v>47</v>
      </c>
      <c r="F1657" s="31">
        <v>200</v>
      </c>
      <c r="G1657" s="14" t="s">
        <v>110</v>
      </c>
      <c r="H1657" s="29" t="s">
        <v>129</v>
      </c>
      <c r="I1657" s="32" t="s">
        <v>9723</v>
      </c>
      <c r="J1657" s="28" t="s">
        <v>9724</v>
      </c>
      <c r="K1657" s="29" t="s">
        <v>348</v>
      </c>
      <c r="L1657" s="27" t="s">
        <v>197</v>
      </c>
      <c r="M1657" s="28" t="s">
        <v>198</v>
      </c>
      <c r="N1657" s="39" t="s">
        <v>179</v>
      </c>
      <c r="O1657" s="34"/>
      <c r="P1657" s="34"/>
      <c r="Q1657" s="35" t="s">
        <v>78</v>
      </c>
      <c r="R1657" s="35" t="s">
        <v>79</v>
      </c>
      <c r="S1657" s="35" t="s">
        <v>61</v>
      </c>
      <c r="T1657" s="35" t="s">
        <v>62</v>
      </c>
      <c r="U1657" s="36" t="s">
        <v>80</v>
      </c>
    </row>
    <row r="1658" spans="1:21" ht="15.75" customHeight="1" x14ac:dyDescent="0.25">
      <c r="A1658" s="9" t="s">
        <v>9725</v>
      </c>
      <c r="B1658" s="10" t="s">
        <v>9726</v>
      </c>
      <c r="C1658" s="11" t="s">
        <v>9727</v>
      </c>
      <c r="D1658" s="12" t="s">
        <v>9649</v>
      </c>
      <c r="E1658" s="11" t="s">
        <v>47</v>
      </c>
      <c r="F1658" s="13">
        <v>198</v>
      </c>
      <c r="G1658" s="14" t="s">
        <v>68</v>
      </c>
      <c r="H1658" s="11" t="s">
        <v>86</v>
      </c>
      <c r="I1658" s="15" t="s">
        <v>9728</v>
      </c>
      <c r="J1658" s="10" t="s">
        <v>9729</v>
      </c>
      <c r="K1658" s="11" t="s">
        <v>348</v>
      </c>
      <c r="L1658" s="9" t="s">
        <v>197</v>
      </c>
      <c r="M1658" s="10" t="s">
        <v>198</v>
      </c>
      <c r="N1658" s="23" t="s">
        <v>179</v>
      </c>
      <c r="O1658" s="17"/>
      <c r="P1658" s="17"/>
      <c r="Q1658" s="18" t="s">
        <v>78</v>
      </c>
      <c r="R1658" s="18" t="s">
        <v>79</v>
      </c>
      <c r="S1658" s="18" t="s">
        <v>61</v>
      </c>
      <c r="T1658" s="18" t="s">
        <v>62</v>
      </c>
      <c r="U1658" s="19" t="s">
        <v>80</v>
      </c>
    </row>
    <row r="1659" spans="1:21" ht="15.75" customHeight="1" x14ac:dyDescent="0.25">
      <c r="A1659" s="27" t="s">
        <v>9730</v>
      </c>
      <c r="B1659" s="28" t="s">
        <v>9731</v>
      </c>
      <c r="C1659" s="29" t="s">
        <v>9732</v>
      </c>
      <c r="D1659" s="30" t="s">
        <v>66</v>
      </c>
      <c r="E1659" s="29" t="s">
        <v>67</v>
      </c>
      <c r="F1659" s="31">
        <v>-24.7</v>
      </c>
      <c r="G1659" s="14" t="s">
        <v>68</v>
      </c>
      <c r="H1659" s="29" t="s">
        <v>69</v>
      </c>
      <c r="I1659" s="32" t="s">
        <v>9733</v>
      </c>
      <c r="J1659" s="28" t="s">
        <v>9734</v>
      </c>
      <c r="K1659" s="29" t="s">
        <v>6252</v>
      </c>
      <c r="L1659" s="27" t="s">
        <v>73</v>
      </c>
      <c r="M1659" s="28" t="s">
        <v>74</v>
      </c>
      <c r="N1659" s="33" t="s">
        <v>75</v>
      </c>
      <c r="O1659" s="34" t="s">
        <v>76</v>
      </c>
      <c r="P1659" s="34" t="s">
        <v>77</v>
      </c>
      <c r="Q1659" s="35" t="s">
        <v>78</v>
      </c>
      <c r="R1659" s="35" t="s">
        <v>79</v>
      </c>
      <c r="S1659" s="35" t="s">
        <v>61</v>
      </c>
      <c r="T1659" s="35" t="s">
        <v>62</v>
      </c>
      <c r="U1659" s="36" t="s">
        <v>80</v>
      </c>
    </row>
    <row r="1660" spans="1:21" ht="15.75" customHeight="1" x14ac:dyDescent="0.25">
      <c r="A1660" s="9" t="s">
        <v>9735</v>
      </c>
      <c r="B1660" s="10" t="s">
        <v>9736</v>
      </c>
      <c r="C1660" s="11" t="s">
        <v>9737</v>
      </c>
      <c r="D1660" s="12" t="s">
        <v>9738</v>
      </c>
      <c r="E1660" s="11" t="s">
        <v>47</v>
      </c>
      <c r="F1660" s="13">
        <v>215</v>
      </c>
      <c r="G1660" s="14" t="s">
        <v>119</v>
      </c>
      <c r="H1660" s="11" t="s">
        <v>129</v>
      </c>
      <c r="I1660" s="15" t="s">
        <v>9739</v>
      </c>
      <c r="J1660" s="10" t="s">
        <v>9740</v>
      </c>
      <c r="K1660" s="11" t="s">
        <v>9741</v>
      </c>
      <c r="L1660" s="9" t="s">
        <v>90</v>
      </c>
      <c r="M1660" s="10" t="s">
        <v>91</v>
      </c>
      <c r="N1660" s="23" t="s">
        <v>179</v>
      </c>
      <c r="O1660" s="17" t="s">
        <v>869</v>
      </c>
      <c r="P1660" s="17" t="s">
        <v>870</v>
      </c>
      <c r="Q1660" s="18" t="s">
        <v>78</v>
      </c>
      <c r="R1660" s="18" t="s">
        <v>79</v>
      </c>
      <c r="S1660" s="18" t="s">
        <v>61</v>
      </c>
      <c r="T1660" s="18" t="s">
        <v>62</v>
      </c>
      <c r="U1660" s="19" t="s">
        <v>80</v>
      </c>
    </row>
    <row r="1661" spans="1:21" ht="15.75" customHeight="1" x14ac:dyDescent="0.25">
      <c r="A1661" s="27" t="s">
        <v>9742</v>
      </c>
      <c r="B1661" s="28" t="s">
        <v>9743</v>
      </c>
      <c r="C1661" s="29" t="s">
        <v>9744</v>
      </c>
      <c r="D1661" s="30" t="s">
        <v>4807</v>
      </c>
      <c r="E1661" s="29" t="s">
        <v>47</v>
      </c>
      <c r="F1661" s="29"/>
      <c r="G1661" s="14" t="s">
        <v>68</v>
      </c>
      <c r="H1661" s="29" t="s">
        <v>120</v>
      </c>
      <c r="I1661" s="32" t="s">
        <v>9745</v>
      </c>
      <c r="J1661" s="28" t="s">
        <v>9746</v>
      </c>
      <c r="K1661" s="29" t="s">
        <v>9747</v>
      </c>
      <c r="L1661" s="27" t="s">
        <v>1267</v>
      </c>
      <c r="M1661" s="28" t="s">
        <v>1268</v>
      </c>
      <c r="N1661" s="33" t="s">
        <v>75</v>
      </c>
      <c r="O1661" s="34" t="s">
        <v>4505</v>
      </c>
      <c r="P1661" s="34" t="s">
        <v>4506</v>
      </c>
      <c r="Q1661" s="35" t="s">
        <v>78</v>
      </c>
      <c r="R1661" s="35" t="s">
        <v>79</v>
      </c>
      <c r="S1661" s="35" t="s">
        <v>61</v>
      </c>
      <c r="T1661" s="35" t="s">
        <v>62</v>
      </c>
      <c r="U1661" s="36" t="s">
        <v>80</v>
      </c>
    </row>
    <row r="1662" spans="1:21" ht="15.75" customHeight="1" x14ac:dyDescent="0.25">
      <c r="A1662" s="9" t="s">
        <v>9748</v>
      </c>
      <c r="B1662" s="10" t="s">
        <v>9749</v>
      </c>
      <c r="C1662" s="11" t="s">
        <v>9750</v>
      </c>
      <c r="D1662" s="12" t="s">
        <v>9751</v>
      </c>
      <c r="E1662" s="11" t="s">
        <v>98</v>
      </c>
      <c r="F1662" s="13">
        <v>193</v>
      </c>
      <c r="G1662" s="14" t="s">
        <v>119</v>
      </c>
      <c r="H1662" s="11" t="s">
        <v>86</v>
      </c>
      <c r="I1662" s="15" t="s">
        <v>1559</v>
      </c>
      <c r="J1662" s="10" t="s">
        <v>9752</v>
      </c>
      <c r="K1662" s="11"/>
      <c r="L1662" s="9"/>
      <c r="M1662" s="10"/>
      <c r="N1662" s="23" t="s">
        <v>179</v>
      </c>
      <c r="O1662" s="17" t="s">
        <v>869</v>
      </c>
      <c r="P1662" s="17" t="s">
        <v>870</v>
      </c>
      <c r="Q1662" s="18" t="s">
        <v>78</v>
      </c>
      <c r="R1662" s="18" t="s">
        <v>79</v>
      </c>
      <c r="S1662" s="18" t="s">
        <v>61</v>
      </c>
      <c r="T1662" s="18" t="s">
        <v>62</v>
      </c>
      <c r="U1662" s="19" t="s">
        <v>80</v>
      </c>
    </row>
    <row r="1663" spans="1:21" ht="15.75" customHeight="1" x14ac:dyDescent="0.25">
      <c r="A1663" s="27" t="s">
        <v>9753</v>
      </c>
      <c r="B1663" s="28" t="s">
        <v>9754</v>
      </c>
      <c r="C1663" s="29" t="s">
        <v>9755</v>
      </c>
      <c r="D1663" s="30" t="s">
        <v>9756</v>
      </c>
      <c r="E1663" s="29" t="s">
        <v>98</v>
      </c>
      <c r="F1663" s="31">
        <v>58</v>
      </c>
      <c r="G1663" s="20" t="s">
        <v>119</v>
      </c>
      <c r="H1663" s="29" t="s">
        <v>48</v>
      </c>
      <c r="I1663" s="32" t="s">
        <v>7229</v>
      </c>
      <c r="J1663" s="28" t="s">
        <v>9757</v>
      </c>
      <c r="K1663" s="29" t="s">
        <v>9758</v>
      </c>
      <c r="L1663" s="27" t="s">
        <v>90</v>
      </c>
      <c r="M1663" s="28" t="s">
        <v>91</v>
      </c>
      <c r="N1663" s="33" t="s">
        <v>75</v>
      </c>
      <c r="O1663" s="34" t="s">
        <v>313</v>
      </c>
      <c r="P1663" s="34" t="s">
        <v>314</v>
      </c>
      <c r="Q1663" s="35" t="s">
        <v>78</v>
      </c>
      <c r="R1663" s="35" t="s">
        <v>79</v>
      </c>
      <c r="S1663" s="35" t="s">
        <v>61</v>
      </c>
      <c r="T1663" s="35" t="s">
        <v>62</v>
      </c>
      <c r="U1663" s="36" t="s">
        <v>80</v>
      </c>
    </row>
    <row r="1664" spans="1:21" ht="15.75" customHeight="1" x14ac:dyDescent="0.25">
      <c r="A1664" s="9" t="s">
        <v>9759</v>
      </c>
      <c r="B1664" s="10" t="s">
        <v>9760</v>
      </c>
      <c r="C1664" s="11" t="s">
        <v>9761</v>
      </c>
      <c r="D1664" s="21" t="s">
        <v>109</v>
      </c>
      <c r="E1664" s="11" t="s">
        <v>98</v>
      </c>
      <c r="F1664" s="11"/>
      <c r="G1664" s="24" t="s">
        <v>85</v>
      </c>
      <c r="H1664" s="11" t="s">
        <v>120</v>
      </c>
      <c r="I1664" s="15" t="s">
        <v>9762</v>
      </c>
      <c r="J1664" s="10" t="s">
        <v>9763</v>
      </c>
      <c r="K1664" s="11"/>
      <c r="L1664" s="9"/>
      <c r="M1664" s="10"/>
      <c r="N1664" s="22"/>
      <c r="O1664" s="17"/>
      <c r="P1664" s="17"/>
      <c r="Q1664" s="18" t="s">
        <v>78</v>
      </c>
      <c r="R1664" s="18" t="s">
        <v>79</v>
      </c>
      <c r="S1664" s="18" t="s">
        <v>61</v>
      </c>
      <c r="T1664" s="18" t="s">
        <v>62</v>
      </c>
      <c r="U1664" s="19" t="s">
        <v>80</v>
      </c>
    </row>
    <row r="1665" spans="1:21" ht="15.75" customHeight="1" x14ac:dyDescent="0.25">
      <c r="A1665" s="27" t="s">
        <v>9764</v>
      </c>
      <c r="B1665" s="28" t="s">
        <v>9765</v>
      </c>
      <c r="C1665" s="29" t="s">
        <v>9766</v>
      </c>
      <c r="D1665" s="30" t="s">
        <v>9767</v>
      </c>
      <c r="E1665" s="29" t="s">
        <v>47</v>
      </c>
      <c r="F1665" s="31">
        <v>146</v>
      </c>
      <c r="G1665" s="20" t="s">
        <v>119</v>
      </c>
      <c r="H1665" s="29" t="s">
        <v>330</v>
      </c>
      <c r="I1665" s="32" t="s">
        <v>9768</v>
      </c>
      <c r="J1665" s="28" t="s">
        <v>9769</v>
      </c>
      <c r="K1665" s="29" t="s">
        <v>903</v>
      </c>
      <c r="L1665" s="27" t="s">
        <v>158</v>
      </c>
      <c r="M1665" s="28" t="s">
        <v>159</v>
      </c>
      <c r="N1665" s="39" t="s">
        <v>179</v>
      </c>
      <c r="O1665" s="34" t="s">
        <v>9770</v>
      </c>
      <c r="P1665" s="34" t="s">
        <v>9771</v>
      </c>
      <c r="Q1665" s="35" t="s">
        <v>78</v>
      </c>
      <c r="R1665" s="35" t="s">
        <v>79</v>
      </c>
      <c r="S1665" s="35" t="s">
        <v>61</v>
      </c>
      <c r="T1665" s="35" t="s">
        <v>62</v>
      </c>
      <c r="U1665" s="36" t="s">
        <v>80</v>
      </c>
    </row>
    <row r="1666" spans="1:21" ht="15.75" customHeight="1" x14ac:dyDescent="0.25">
      <c r="A1666" s="9" t="s">
        <v>9772</v>
      </c>
      <c r="B1666" s="10" t="s">
        <v>9773</v>
      </c>
      <c r="C1666" s="11" t="s">
        <v>9774</v>
      </c>
      <c r="D1666" s="21" t="s">
        <v>109</v>
      </c>
      <c r="E1666" s="11" t="s">
        <v>98</v>
      </c>
      <c r="F1666" s="11"/>
      <c r="G1666" s="24" t="s">
        <v>85</v>
      </c>
      <c r="H1666" s="11" t="s">
        <v>100</v>
      </c>
      <c r="I1666" s="15" t="s">
        <v>6170</v>
      </c>
      <c r="J1666" s="10" t="s">
        <v>9775</v>
      </c>
      <c r="K1666" s="11"/>
      <c r="L1666" s="9"/>
      <c r="M1666" s="10"/>
      <c r="N1666" s="22"/>
      <c r="O1666" s="17"/>
      <c r="P1666" s="17"/>
      <c r="Q1666" s="18" t="s">
        <v>78</v>
      </c>
      <c r="R1666" s="18" t="s">
        <v>79</v>
      </c>
      <c r="S1666" s="18" t="s">
        <v>61</v>
      </c>
      <c r="T1666" s="18" t="s">
        <v>62</v>
      </c>
      <c r="U1666" s="19" t="s">
        <v>80</v>
      </c>
    </row>
    <row r="1667" spans="1:21" ht="15.75" customHeight="1" x14ac:dyDescent="0.25">
      <c r="A1667" s="27" t="s">
        <v>9776</v>
      </c>
      <c r="B1667" s="28" t="s">
        <v>9777</v>
      </c>
      <c r="C1667" s="29" t="s">
        <v>9778</v>
      </c>
      <c r="D1667" s="37" t="s">
        <v>109</v>
      </c>
      <c r="E1667" s="29" t="s">
        <v>98</v>
      </c>
      <c r="F1667" s="31">
        <v>170</v>
      </c>
      <c r="G1667" s="24" t="s">
        <v>85</v>
      </c>
      <c r="H1667" s="29" t="s">
        <v>86</v>
      </c>
      <c r="I1667" s="32" t="s">
        <v>7235</v>
      </c>
      <c r="J1667" s="28" t="s">
        <v>9779</v>
      </c>
      <c r="K1667" s="29"/>
      <c r="L1667" s="27"/>
      <c r="M1667" s="28"/>
      <c r="N1667" s="38"/>
      <c r="O1667" s="34"/>
      <c r="P1667" s="34"/>
      <c r="Q1667" s="35" t="s">
        <v>78</v>
      </c>
      <c r="R1667" s="35" t="s">
        <v>79</v>
      </c>
      <c r="S1667" s="35" t="s">
        <v>61</v>
      </c>
      <c r="T1667" s="35" t="s">
        <v>62</v>
      </c>
      <c r="U1667" s="36" t="s">
        <v>80</v>
      </c>
    </row>
    <row r="1668" spans="1:21" ht="15.75" customHeight="1" x14ac:dyDescent="0.25">
      <c r="A1668" s="9" t="s">
        <v>9780</v>
      </c>
      <c r="B1668" s="10" t="s">
        <v>9781</v>
      </c>
      <c r="C1668" s="11" t="s">
        <v>9782</v>
      </c>
      <c r="D1668" s="21" t="s">
        <v>109</v>
      </c>
      <c r="E1668" s="11" t="s">
        <v>98</v>
      </c>
      <c r="F1668" s="11"/>
      <c r="G1668" s="24" t="s">
        <v>85</v>
      </c>
      <c r="H1668" s="11" t="s">
        <v>100</v>
      </c>
      <c r="I1668" s="15" t="s">
        <v>213</v>
      </c>
      <c r="J1668" s="10" t="s">
        <v>9783</v>
      </c>
      <c r="K1668" s="11"/>
      <c r="L1668" s="9"/>
      <c r="M1668" s="10"/>
      <c r="N1668" s="22"/>
      <c r="O1668" s="17"/>
      <c r="P1668" s="17"/>
      <c r="Q1668" s="18" t="s">
        <v>78</v>
      </c>
      <c r="R1668" s="18" t="s">
        <v>79</v>
      </c>
      <c r="S1668" s="18" t="s">
        <v>61</v>
      </c>
      <c r="T1668" s="18" t="s">
        <v>62</v>
      </c>
      <c r="U1668" s="19" t="s">
        <v>80</v>
      </c>
    </row>
    <row r="1669" spans="1:21" ht="15.75" customHeight="1" x14ac:dyDescent="0.25">
      <c r="A1669" s="27" t="s">
        <v>9784</v>
      </c>
      <c r="B1669" s="28" t="s">
        <v>9785</v>
      </c>
      <c r="C1669" s="29" t="s">
        <v>9786</v>
      </c>
      <c r="D1669" s="30" t="s">
        <v>9787</v>
      </c>
      <c r="E1669" s="29" t="s">
        <v>47</v>
      </c>
      <c r="F1669" s="31">
        <v>199</v>
      </c>
      <c r="G1669" s="24" t="s">
        <v>110</v>
      </c>
      <c r="H1669" s="29" t="s">
        <v>86</v>
      </c>
      <c r="I1669" s="32" t="s">
        <v>6059</v>
      </c>
      <c r="J1669" s="28" t="s">
        <v>9788</v>
      </c>
      <c r="K1669" s="29"/>
      <c r="L1669" s="27"/>
      <c r="M1669" s="28"/>
      <c r="N1669" s="39" t="s">
        <v>179</v>
      </c>
      <c r="O1669" s="34"/>
      <c r="P1669" s="34"/>
      <c r="Q1669" s="35" t="s">
        <v>78</v>
      </c>
      <c r="R1669" s="35" t="s">
        <v>79</v>
      </c>
      <c r="S1669" s="35" t="s">
        <v>61</v>
      </c>
      <c r="T1669" s="35" t="s">
        <v>62</v>
      </c>
      <c r="U1669" s="36" t="s">
        <v>80</v>
      </c>
    </row>
    <row r="1670" spans="1:21" ht="15.75" customHeight="1" x14ac:dyDescent="0.25">
      <c r="A1670" s="9" t="s">
        <v>9789</v>
      </c>
      <c r="B1670" s="10" t="s">
        <v>9790</v>
      </c>
      <c r="C1670" s="11" t="s">
        <v>9791</v>
      </c>
      <c r="D1670" s="12" t="s">
        <v>7390</v>
      </c>
      <c r="E1670" s="11" t="s">
        <v>98</v>
      </c>
      <c r="F1670" s="13">
        <v>285</v>
      </c>
      <c r="G1670" s="24" t="s">
        <v>119</v>
      </c>
      <c r="H1670" s="11" t="s">
        <v>129</v>
      </c>
      <c r="I1670" s="15" t="s">
        <v>9792</v>
      </c>
      <c r="J1670" s="10" t="s">
        <v>9793</v>
      </c>
      <c r="K1670" s="11"/>
      <c r="L1670" s="9"/>
      <c r="M1670" s="10"/>
      <c r="N1670" s="23" t="s">
        <v>179</v>
      </c>
      <c r="O1670" s="17"/>
      <c r="P1670" s="17"/>
      <c r="Q1670" s="18" t="s">
        <v>78</v>
      </c>
      <c r="R1670" s="18" t="s">
        <v>79</v>
      </c>
      <c r="S1670" s="18" t="s">
        <v>61</v>
      </c>
      <c r="T1670" s="18" t="s">
        <v>62</v>
      </c>
      <c r="U1670" s="19" t="s">
        <v>80</v>
      </c>
    </row>
    <row r="1671" spans="1:21" ht="15.75" customHeight="1" x14ac:dyDescent="0.25">
      <c r="A1671" s="27" t="s">
        <v>9794</v>
      </c>
      <c r="B1671" s="28" t="s">
        <v>9795</v>
      </c>
      <c r="C1671" s="29" t="s">
        <v>9796</v>
      </c>
      <c r="D1671" s="30" t="s">
        <v>3537</v>
      </c>
      <c r="E1671" s="29" t="s">
        <v>47</v>
      </c>
      <c r="F1671" s="31">
        <v>237</v>
      </c>
      <c r="G1671" s="24" t="s">
        <v>119</v>
      </c>
      <c r="H1671" s="29" t="s">
        <v>129</v>
      </c>
      <c r="I1671" s="32" t="s">
        <v>3942</v>
      </c>
      <c r="J1671" s="28" t="s">
        <v>9797</v>
      </c>
      <c r="K1671" s="29"/>
      <c r="L1671" s="27"/>
      <c r="M1671" s="28"/>
      <c r="N1671" s="39" t="s">
        <v>179</v>
      </c>
      <c r="O1671" s="34"/>
      <c r="P1671" s="34"/>
      <c r="Q1671" s="35" t="s">
        <v>78</v>
      </c>
      <c r="R1671" s="35" t="s">
        <v>79</v>
      </c>
      <c r="S1671" s="35" t="s">
        <v>61</v>
      </c>
      <c r="T1671" s="35" t="s">
        <v>62</v>
      </c>
      <c r="U1671" s="36" t="s">
        <v>80</v>
      </c>
    </row>
    <row r="1672" spans="1:21" ht="15.75" customHeight="1" x14ac:dyDescent="0.25">
      <c r="A1672" s="9" t="s">
        <v>9798</v>
      </c>
      <c r="B1672" s="10" t="s">
        <v>9799</v>
      </c>
      <c r="C1672" s="11" t="s">
        <v>9800</v>
      </c>
      <c r="D1672" s="12" t="s">
        <v>9801</v>
      </c>
      <c r="E1672" s="11" t="s">
        <v>47</v>
      </c>
      <c r="F1672" s="13">
        <v>205.7</v>
      </c>
      <c r="G1672" s="20" t="s">
        <v>119</v>
      </c>
      <c r="H1672" s="11" t="s">
        <v>129</v>
      </c>
      <c r="I1672" s="15" t="s">
        <v>9802</v>
      </c>
      <c r="J1672" s="10" t="s">
        <v>9803</v>
      </c>
      <c r="K1672" s="11" t="s">
        <v>507</v>
      </c>
      <c r="L1672" s="9" t="s">
        <v>90</v>
      </c>
      <c r="M1672" s="10" t="s">
        <v>91</v>
      </c>
      <c r="N1672" s="16" t="s">
        <v>75</v>
      </c>
      <c r="O1672" s="17" t="s">
        <v>92</v>
      </c>
      <c r="P1672" s="17" t="s">
        <v>93</v>
      </c>
      <c r="Q1672" s="18" t="s">
        <v>78</v>
      </c>
      <c r="R1672" s="18" t="s">
        <v>79</v>
      </c>
      <c r="S1672" s="18" t="s">
        <v>61</v>
      </c>
      <c r="T1672" s="18" t="s">
        <v>62</v>
      </c>
      <c r="U1672" s="19" t="s">
        <v>80</v>
      </c>
    </row>
    <row r="1673" spans="1:21" ht="15.75" customHeight="1" x14ac:dyDescent="0.25">
      <c r="A1673" s="27" t="s">
        <v>9804</v>
      </c>
      <c r="B1673" s="28" t="s">
        <v>9805</v>
      </c>
      <c r="C1673" s="29" t="s">
        <v>9806</v>
      </c>
      <c r="D1673" s="30" t="s">
        <v>9807</v>
      </c>
      <c r="E1673" s="29" t="s">
        <v>47</v>
      </c>
      <c r="F1673" s="31">
        <v>196.8</v>
      </c>
      <c r="G1673" s="20" t="s">
        <v>119</v>
      </c>
      <c r="H1673" s="29" t="s">
        <v>86</v>
      </c>
      <c r="I1673" s="32" t="s">
        <v>9808</v>
      </c>
      <c r="J1673" s="28" t="s">
        <v>9809</v>
      </c>
      <c r="K1673" s="29" t="s">
        <v>348</v>
      </c>
      <c r="L1673" s="27" t="s">
        <v>197</v>
      </c>
      <c r="M1673" s="28" t="s">
        <v>198</v>
      </c>
      <c r="N1673" s="33" t="s">
        <v>75</v>
      </c>
      <c r="O1673" s="34" t="s">
        <v>104</v>
      </c>
      <c r="P1673" s="34" t="s">
        <v>105</v>
      </c>
      <c r="Q1673" s="35" t="s">
        <v>78</v>
      </c>
      <c r="R1673" s="35" t="s">
        <v>79</v>
      </c>
      <c r="S1673" s="35" t="s">
        <v>61</v>
      </c>
      <c r="T1673" s="35" t="s">
        <v>62</v>
      </c>
      <c r="U1673" s="36" t="s">
        <v>80</v>
      </c>
    </row>
    <row r="1674" spans="1:21" ht="15.75" customHeight="1" x14ac:dyDescent="0.25">
      <c r="A1674" s="9" t="s">
        <v>9810</v>
      </c>
      <c r="B1674" s="10" t="s">
        <v>9811</v>
      </c>
      <c r="C1674" s="11" t="s">
        <v>9812</v>
      </c>
      <c r="D1674" s="12" t="s">
        <v>3301</v>
      </c>
      <c r="E1674" s="11" t="s">
        <v>98</v>
      </c>
      <c r="F1674" s="11"/>
      <c r="G1674" s="14" t="s">
        <v>119</v>
      </c>
      <c r="H1674" s="11" t="s">
        <v>100</v>
      </c>
      <c r="I1674" s="15" t="s">
        <v>849</v>
      </c>
      <c r="J1674" s="10" t="s">
        <v>9813</v>
      </c>
      <c r="K1674" s="11" t="s">
        <v>9814</v>
      </c>
      <c r="L1674" s="9" t="s">
        <v>1203</v>
      </c>
      <c r="M1674" s="10" t="s">
        <v>1204</v>
      </c>
      <c r="N1674" s="16" t="s">
        <v>75</v>
      </c>
      <c r="O1674" s="17" t="s">
        <v>9815</v>
      </c>
      <c r="P1674" s="17" t="s">
        <v>9816</v>
      </c>
      <c r="Q1674" s="18" t="s">
        <v>78</v>
      </c>
      <c r="R1674" s="18" t="s">
        <v>79</v>
      </c>
      <c r="S1674" s="18" t="s">
        <v>61</v>
      </c>
      <c r="T1674" s="18" t="s">
        <v>62</v>
      </c>
      <c r="U1674" s="19" t="s">
        <v>80</v>
      </c>
    </row>
    <row r="1675" spans="1:21" ht="15.75" customHeight="1" x14ac:dyDescent="0.25">
      <c r="A1675" s="27" t="s">
        <v>9817</v>
      </c>
      <c r="B1675" s="28" t="s">
        <v>9818</v>
      </c>
      <c r="C1675" s="29" t="s">
        <v>9819</v>
      </c>
      <c r="D1675" s="30" t="s">
        <v>6741</v>
      </c>
      <c r="E1675" s="29" t="s">
        <v>98</v>
      </c>
      <c r="F1675" s="31">
        <v>268</v>
      </c>
      <c r="G1675" s="24" t="s">
        <v>110</v>
      </c>
      <c r="H1675" s="29" t="s">
        <v>129</v>
      </c>
      <c r="I1675" s="32" t="s">
        <v>5965</v>
      </c>
      <c r="J1675" s="28" t="s">
        <v>9820</v>
      </c>
      <c r="K1675" s="29"/>
      <c r="L1675" s="27"/>
      <c r="M1675" s="28"/>
      <c r="N1675" s="39" t="s">
        <v>179</v>
      </c>
      <c r="O1675" s="34"/>
      <c r="P1675" s="34"/>
      <c r="Q1675" s="35" t="s">
        <v>78</v>
      </c>
      <c r="R1675" s="35" t="s">
        <v>79</v>
      </c>
      <c r="S1675" s="35" t="s">
        <v>61</v>
      </c>
      <c r="T1675" s="35" t="s">
        <v>62</v>
      </c>
      <c r="U1675" s="36" t="s">
        <v>80</v>
      </c>
    </row>
    <row r="1676" spans="1:21" ht="15.75" customHeight="1" x14ac:dyDescent="0.25">
      <c r="A1676" s="9" t="s">
        <v>9821</v>
      </c>
      <c r="B1676" s="10" t="s">
        <v>9822</v>
      </c>
      <c r="C1676" s="11" t="s">
        <v>9823</v>
      </c>
      <c r="D1676" s="12" t="s">
        <v>895</v>
      </c>
      <c r="E1676" s="11" t="s">
        <v>47</v>
      </c>
      <c r="F1676" s="13">
        <v>104</v>
      </c>
      <c r="G1676" s="14" t="s">
        <v>119</v>
      </c>
      <c r="H1676" s="11" t="s">
        <v>330</v>
      </c>
      <c r="I1676" s="15" t="s">
        <v>9824</v>
      </c>
      <c r="J1676" s="10" t="s">
        <v>9825</v>
      </c>
      <c r="K1676" s="11" t="s">
        <v>9826</v>
      </c>
      <c r="L1676" s="9" t="s">
        <v>158</v>
      </c>
      <c r="M1676" s="10" t="s">
        <v>159</v>
      </c>
      <c r="N1676" s="16" t="s">
        <v>75</v>
      </c>
      <c r="O1676" s="17" t="s">
        <v>712</v>
      </c>
      <c r="P1676" s="17" t="s">
        <v>713</v>
      </c>
      <c r="Q1676" s="18" t="s">
        <v>78</v>
      </c>
      <c r="R1676" s="18" t="s">
        <v>79</v>
      </c>
      <c r="S1676" s="18" t="s">
        <v>61</v>
      </c>
      <c r="T1676" s="18" t="s">
        <v>62</v>
      </c>
      <c r="U1676" s="19" t="s">
        <v>80</v>
      </c>
    </row>
    <row r="1677" spans="1:21" ht="15.75" customHeight="1" x14ac:dyDescent="0.25">
      <c r="A1677" s="27" t="s">
        <v>9827</v>
      </c>
      <c r="B1677" s="28" t="s">
        <v>9828</v>
      </c>
      <c r="C1677" s="29" t="s">
        <v>4195</v>
      </c>
      <c r="D1677" s="30" t="s">
        <v>4196</v>
      </c>
      <c r="E1677" s="29" t="s">
        <v>98</v>
      </c>
      <c r="F1677" s="31">
        <v>107</v>
      </c>
      <c r="G1677" s="20" t="s">
        <v>85</v>
      </c>
      <c r="H1677" s="29" t="s">
        <v>330</v>
      </c>
      <c r="I1677" s="32" t="s">
        <v>9829</v>
      </c>
      <c r="J1677" s="28" t="s">
        <v>9830</v>
      </c>
      <c r="K1677" s="29" t="s">
        <v>5559</v>
      </c>
      <c r="L1677" s="27" t="s">
        <v>481</v>
      </c>
      <c r="M1677" s="28" t="s">
        <v>482</v>
      </c>
      <c r="N1677" s="33" t="s">
        <v>75</v>
      </c>
      <c r="O1677" s="34" t="s">
        <v>9831</v>
      </c>
      <c r="P1677" s="34" t="s">
        <v>9832</v>
      </c>
      <c r="Q1677" s="35" t="s">
        <v>78</v>
      </c>
      <c r="R1677" s="35" t="s">
        <v>79</v>
      </c>
      <c r="S1677" s="35" t="s">
        <v>61</v>
      </c>
      <c r="T1677" s="35" t="s">
        <v>62</v>
      </c>
      <c r="U1677" s="36" t="s">
        <v>80</v>
      </c>
    </row>
    <row r="1678" spans="1:21" ht="15.75" customHeight="1" x14ac:dyDescent="0.25">
      <c r="A1678" s="9" t="s">
        <v>9833</v>
      </c>
      <c r="B1678" s="10" t="s">
        <v>9834</v>
      </c>
      <c r="C1678" s="11" t="s">
        <v>9835</v>
      </c>
      <c r="D1678" s="12" t="s">
        <v>9836</v>
      </c>
      <c r="E1678" s="11" t="s">
        <v>47</v>
      </c>
      <c r="F1678" s="13">
        <v>92.5</v>
      </c>
      <c r="G1678" s="20" t="s">
        <v>119</v>
      </c>
      <c r="H1678" s="11" t="s">
        <v>48</v>
      </c>
      <c r="I1678" s="15" t="s">
        <v>4073</v>
      </c>
      <c r="J1678" s="10" t="s">
        <v>9837</v>
      </c>
      <c r="K1678" s="11" t="s">
        <v>8236</v>
      </c>
      <c r="L1678" s="9" t="s">
        <v>158</v>
      </c>
      <c r="M1678" s="10" t="s">
        <v>159</v>
      </c>
      <c r="N1678" s="16" t="s">
        <v>75</v>
      </c>
      <c r="O1678" s="17" t="s">
        <v>517</v>
      </c>
      <c r="P1678" s="17" t="s">
        <v>518</v>
      </c>
      <c r="Q1678" s="18" t="s">
        <v>78</v>
      </c>
      <c r="R1678" s="18" t="s">
        <v>79</v>
      </c>
      <c r="S1678" s="18" t="s">
        <v>61</v>
      </c>
      <c r="T1678" s="18" t="s">
        <v>62</v>
      </c>
      <c r="U1678" s="19" t="s">
        <v>80</v>
      </c>
    </row>
    <row r="1679" spans="1:21" ht="15.75" customHeight="1" x14ac:dyDescent="0.25">
      <c r="A1679" s="27" t="s">
        <v>9838</v>
      </c>
      <c r="B1679" s="28" t="s">
        <v>9839</v>
      </c>
      <c r="C1679" s="29" t="s">
        <v>9840</v>
      </c>
      <c r="D1679" s="30" t="s">
        <v>3537</v>
      </c>
      <c r="E1679" s="29" t="s">
        <v>47</v>
      </c>
      <c r="F1679" s="31">
        <v>280</v>
      </c>
      <c r="G1679" s="20" t="s">
        <v>119</v>
      </c>
      <c r="H1679" s="29" t="s">
        <v>129</v>
      </c>
      <c r="I1679" s="32" t="s">
        <v>4169</v>
      </c>
      <c r="J1679" s="28" t="s">
        <v>9841</v>
      </c>
      <c r="K1679" s="29"/>
      <c r="L1679" s="27"/>
      <c r="M1679" s="28"/>
      <c r="N1679" s="39" t="s">
        <v>179</v>
      </c>
      <c r="O1679" s="34" t="s">
        <v>180</v>
      </c>
      <c r="P1679" s="34" t="s">
        <v>181</v>
      </c>
      <c r="Q1679" s="35" t="s">
        <v>78</v>
      </c>
      <c r="R1679" s="35" t="s">
        <v>79</v>
      </c>
      <c r="S1679" s="35" t="s">
        <v>61</v>
      </c>
      <c r="T1679" s="35" t="s">
        <v>62</v>
      </c>
      <c r="U1679" s="36" t="s">
        <v>80</v>
      </c>
    </row>
    <row r="1680" spans="1:21" ht="15.75" customHeight="1" x14ac:dyDescent="0.25">
      <c r="A1680" s="9" t="s">
        <v>9842</v>
      </c>
      <c r="B1680" s="10" t="s">
        <v>9843</v>
      </c>
      <c r="C1680" s="11" t="s">
        <v>9844</v>
      </c>
      <c r="D1680" s="12" t="s">
        <v>1531</v>
      </c>
      <c r="E1680" s="11" t="s">
        <v>47</v>
      </c>
      <c r="F1680" s="13">
        <v>304</v>
      </c>
      <c r="G1680" s="20" t="s">
        <v>119</v>
      </c>
      <c r="H1680" s="11" t="s">
        <v>129</v>
      </c>
      <c r="I1680" s="15" t="s">
        <v>9845</v>
      </c>
      <c r="J1680" s="10" t="s">
        <v>9846</v>
      </c>
      <c r="K1680" s="11"/>
      <c r="L1680" s="9"/>
      <c r="M1680" s="10"/>
      <c r="N1680" s="23" t="s">
        <v>179</v>
      </c>
      <c r="O1680" s="17" t="s">
        <v>180</v>
      </c>
      <c r="P1680" s="17" t="s">
        <v>181</v>
      </c>
      <c r="Q1680" s="18" t="s">
        <v>78</v>
      </c>
      <c r="R1680" s="18" t="s">
        <v>79</v>
      </c>
      <c r="S1680" s="18" t="s">
        <v>61</v>
      </c>
      <c r="T1680" s="18" t="s">
        <v>62</v>
      </c>
      <c r="U1680" s="19" t="s">
        <v>80</v>
      </c>
    </row>
    <row r="1681" spans="1:21" ht="15.75" customHeight="1" x14ac:dyDescent="0.25">
      <c r="A1681" s="27" t="s">
        <v>9847</v>
      </c>
      <c r="B1681" s="28" t="s">
        <v>9848</v>
      </c>
      <c r="C1681" s="29" t="s">
        <v>9849</v>
      </c>
      <c r="D1681" s="30" t="s">
        <v>3537</v>
      </c>
      <c r="E1681" s="29" t="s">
        <v>47</v>
      </c>
      <c r="F1681" s="31">
        <v>243</v>
      </c>
      <c r="G1681" s="20" t="s">
        <v>119</v>
      </c>
      <c r="H1681" s="29" t="s">
        <v>129</v>
      </c>
      <c r="I1681" s="32" t="s">
        <v>1662</v>
      </c>
      <c r="J1681" s="28" t="s">
        <v>9850</v>
      </c>
      <c r="K1681" s="29"/>
      <c r="L1681" s="27"/>
      <c r="M1681" s="28"/>
      <c r="N1681" s="39" t="s">
        <v>179</v>
      </c>
      <c r="O1681" s="34" t="s">
        <v>180</v>
      </c>
      <c r="P1681" s="34" t="s">
        <v>181</v>
      </c>
      <c r="Q1681" s="35" t="s">
        <v>78</v>
      </c>
      <c r="R1681" s="35" t="s">
        <v>79</v>
      </c>
      <c r="S1681" s="35" t="s">
        <v>61</v>
      </c>
      <c r="T1681" s="35" t="s">
        <v>62</v>
      </c>
      <c r="U1681" s="36" t="s">
        <v>80</v>
      </c>
    </row>
    <row r="1682" spans="1:21" ht="15.75" customHeight="1" x14ac:dyDescent="0.25">
      <c r="A1682" s="9" t="s">
        <v>9851</v>
      </c>
      <c r="B1682" s="10" t="s">
        <v>9852</v>
      </c>
      <c r="C1682" s="11" t="s">
        <v>9853</v>
      </c>
      <c r="D1682" s="12" t="s">
        <v>9854</v>
      </c>
      <c r="E1682" s="11" t="s">
        <v>47</v>
      </c>
      <c r="F1682" s="13">
        <v>209</v>
      </c>
      <c r="G1682" s="20" t="s">
        <v>119</v>
      </c>
      <c r="H1682" s="11" t="s">
        <v>129</v>
      </c>
      <c r="I1682" s="15" t="s">
        <v>5220</v>
      </c>
      <c r="J1682" s="10" t="s">
        <v>9855</v>
      </c>
      <c r="K1682" s="11"/>
      <c r="L1682" s="9"/>
      <c r="M1682" s="10"/>
      <c r="N1682" s="23" t="s">
        <v>179</v>
      </c>
      <c r="O1682" s="17" t="s">
        <v>180</v>
      </c>
      <c r="P1682" s="17" t="s">
        <v>181</v>
      </c>
      <c r="Q1682" s="18" t="s">
        <v>78</v>
      </c>
      <c r="R1682" s="18" t="s">
        <v>79</v>
      </c>
      <c r="S1682" s="18" t="s">
        <v>61</v>
      </c>
      <c r="T1682" s="18" t="s">
        <v>62</v>
      </c>
      <c r="U1682" s="19" t="s">
        <v>80</v>
      </c>
    </row>
    <row r="1683" spans="1:21" ht="15.75" customHeight="1" x14ac:dyDescent="0.25">
      <c r="A1683" s="27" t="s">
        <v>9856</v>
      </c>
      <c r="B1683" s="28" t="s">
        <v>9857</v>
      </c>
      <c r="C1683" s="29" t="s">
        <v>9858</v>
      </c>
      <c r="D1683" s="30" t="s">
        <v>9859</v>
      </c>
      <c r="E1683" s="29" t="s">
        <v>98</v>
      </c>
      <c r="F1683" s="29" t="s">
        <v>9860</v>
      </c>
      <c r="G1683" s="20" t="s">
        <v>119</v>
      </c>
      <c r="H1683" s="29" t="s">
        <v>100</v>
      </c>
      <c r="I1683" s="32" t="s">
        <v>6303</v>
      </c>
      <c r="J1683" s="28" t="s">
        <v>9861</v>
      </c>
      <c r="K1683" s="29" t="s">
        <v>762</v>
      </c>
      <c r="L1683" s="27" t="s">
        <v>90</v>
      </c>
      <c r="M1683" s="28" t="s">
        <v>91</v>
      </c>
      <c r="N1683" s="33" t="s">
        <v>75</v>
      </c>
      <c r="O1683" s="34" t="s">
        <v>1020</v>
      </c>
      <c r="P1683" s="34" t="s">
        <v>1021</v>
      </c>
      <c r="Q1683" s="35" t="s">
        <v>78</v>
      </c>
      <c r="R1683" s="35" t="s">
        <v>79</v>
      </c>
      <c r="S1683" s="35" t="s">
        <v>61</v>
      </c>
      <c r="T1683" s="35" t="s">
        <v>62</v>
      </c>
      <c r="U1683" s="36" t="s">
        <v>80</v>
      </c>
    </row>
    <row r="1684" spans="1:21" ht="15.75" customHeight="1" x14ac:dyDescent="0.25">
      <c r="A1684" s="9" t="s">
        <v>9862</v>
      </c>
      <c r="B1684" s="10" t="s">
        <v>9863</v>
      </c>
      <c r="C1684" s="11" t="s">
        <v>9864</v>
      </c>
      <c r="D1684" s="12" t="s">
        <v>9865</v>
      </c>
      <c r="E1684" s="11" t="s">
        <v>47</v>
      </c>
      <c r="F1684" s="13">
        <v>144</v>
      </c>
      <c r="G1684" s="20" t="s">
        <v>119</v>
      </c>
      <c r="H1684" s="11" t="s">
        <v>330</v>
      </c>
      <c r="I1684" s="15" t="s">
        <v>9866</v>
      </c>
      <c r="J1684" s="10" t="s">
        <v>9867</v>
      </c>
      <c r="K1684" s="11" t="s">
        <v>132</v>
      </c>
      <c r="L1684" s="9" t="s">
        <v>90</v>
      </c>
      <c r="M1684" s="10" t="s">
        <v>91</v>
      </c>
      <c r="N1684" s="16" t="s">
        <v>75</v>
      </c>
      <c r="O1684" s="17" t="s">
        <v>1020</v>
      </c>
      <c r="P1684" s="17" t="s">
        <v>1021</v>
      </c>
      <c r="Q1684" s="18" t="s">
        <v>78</v>
      </c>
      <c r="R1684" s="18" t="s">
        <v>79</v>
      </c>
      <c r="S1684" s="18" t="s">
        <v>61</v>
      </c>
      <c r="T1684" s="18" t="s">
        <v>62</v>
      </c>
      <c r="U1684" s="19" t="s">
        <v>80</v>
      </c>
    </row>
    <row r="1685" spans="1:21" ht="15.75" customHeight="1" x14ac:dyDescent="0.25">
      <c r="A1685" s="27" t="s">
        <v>9868</v>
      </c>
      <c r="B1685" s="28" t="s">
        <v>9869</v>
      </c>
      <c r="C1685" s="29" t="s">
        <v>9870</v>
      </c>
      <c r="D1685" s="30" t="s">
        <v>759</v>
      </c>
      <c r="E1685" s="29" t="s">
        <v>1264</v>
      </c>
      <c r="F1685" s="31">
        <v>143</v>
      </c>
      <c r="G1685" s="20" t="s">
        <v>119</v>
      </c>
      <c r="H1685" s="29" t="s">
        <v>330</v>
      </c>
      <c r="I1685" s="32" t="s">
        <v>9871</v>
      </c>
      <c r="J1685" s="28" t="s">
        <v>9872</v>
      </c>
      <c r="K1685" s="29" t="s">
        <v>337</v>
      </c>
      <c r="L1685" s="27" t="s">
        <v>90</v>
      </c>
      <c r="M1685" s="28" t="s">
        <v>91</v>
      </c>
      <c r="N1685" s="33" t="s">
        <v>75</v>
      </c>
      <c r="O1685" s="34" t="s">
        <v>124</v>
      </c>
      <c r="P1685" s="34" t="s">
        <v>125</v>
      </c>
      <c r="Q1685" s="35" t="s">
        <v>78</v>
      </c>
      <c r="R1685" s="35" t="s">
        <v>79</v>
      </c>
      <c r="S1685" s="35" t="s">
        <v>61</v>
      </c>
      <c r="T1685" s="35" t="s">
        <v>62</v>
      </c>
      <c r="U1685" s="36" t="s">
        <v>80</v>
      </c>
    </row>
    <row r="1686" spans="1:21" ht="15.75" customHeight="1" x14ac:dyDescent="0.25">
      <c r="A1686" s="9" t="s">
        <v>9873</v>
      </c>
      <c r="B1686" s="10" t="s">
        <v>9874</v>
      </c>
      <c r="C1686" s="11" t="s">
        <v>9875</v>
      </c>
      <c r="D1686" s="12" t="s">
        <v>9876</v>
      </c>
      <c r="E1686" s="11" t="s">
        <v>98</v>
      </c>
      <c r="F1686" s="11"/>
      <c r="G1686" s="20" t="s">
        <v>119</v>
      </c>
      <c r="H1686" s="11" t="s">
        <v>100</v>
      </c>
      <c r="I1686" s="15" t="s">
        <v>9877</v>
      </c>
      <c r="J1686" s="10" t="s">
        <v>9878</v>
      </c>
      <c r="K1686" s="11" t="s">
        <v>933</v>
      </c>
      <c r="L1686" s="9" t="s">
        <v>90</v>
      </c>
      <c r="M1686" s="10" t="s">
        <v>91</v>
      </c>
      <c r="N1686" s="16" t="s">
        <v>75</v>
      </c>
      <c r="O1686" s="17" t="s">
        <v>92</v>
      </c>
      <c r="P1686" s="17" t="s">
        <v>93</v>
      </c>
      <c r="Q1686" s="18" t="s">
        <v>78</v>
      </c>
      <c r="R1686" s="18" t="s">
        <v>79</v>
      </c>
      <c r="S1686" s="18" t="s">
        <v>61</v>
      </c>
      <c r="T1686" s="18" t="s">
        <v>62</v>
      </c>
      <c r="U1686" s="19" t="s">
        <v>80</v>
      </c>
    </row>
    <row r="1687" spans="1:21" ht="15.75" customHeight="1" x14ac:dyDescent="0.25">
      <c r="A1687" s="27" t="s">
        <v>9879</v>
      </c>
      <c r="B1687" s="28" t="s">
        <v>9880</v>
      </c>
      <c r="C1687" s="29" t="s">
        <v>9881</v>
      </c>
      <c r="D1687" s="30" t="s">
        <v>9882</v>
      </c>
      <c r="E1687" s="29" t="s">
        <v>98</v>
      </c>
      <c r="F1687" s="29"/>
      <c r="G1687" s="20" t="s">
        <v>119</v>
      </c>
      <c r="H1687" s="29" t="s">
        <v>100</v>
      </c>
      <c r="I1687" s="32" t="s">
        <v>5271</v>
      </c>
      <c r="J1687" s="28" t="s">
        <v>9883</v>
      </c>
      <c r="K1687" s="29" t="s">
        <v>933</v>
      </c>
      <c r="L1687" s="27" t="s">
        <v>90</v>
      </c>
      <c r="M1687" s="28" t="s">
        <v>91</v>
      </c>
      <c r="N1687" s="33" t="s">
        <v>75</v>
      </c>
      <c r="O1687" s="34" t="s">
        <v>92</v>
      </c>
      <c r="P1687" s="34" t="s">
        <v>93</v>
      </c>
      <c r="Q1687" s="35" t="s">
        <v>78</v>
      </c>
      <c r="R1687" s="35" t="s">
        <v>79</v>
      </c>
      <c r="S1687" s="35" t="s">
        <v>61</v>
      </c>
      <c r="T1687" s="35" t="s">
        <v>62</v>
      </c>
      <c r="U1687" s="36" t="s">
        <v>80</v>
      </c>
    </row>
    <row r="1688" spans="1:21" ht="15.75" customHeight="1" x14ac:dyDescent="0.25">
      <c r="A1688" s="9" t="s">
        <v>9884</v>
      </c>
      <c r="B1688" s="10" t="s">
        <v>9885</v>
      </c>
      <c r="C1688" s="11" t="s">
        <v>9886</v>
      </c>
      <c r="D1688" s="12" t="s">
        <v>8445</v>
      </c>
      <c r="E1688" s="11" t="s">
        <v>98</v>
      </c>
      <c r="F1688" s="11"/>
      <c r="G1688" s="25" t="s">
        <v>119</v>
      </c>
      <c r="H1688" s="11" t="s">
        <v>100</v>
      </c>
      <c r="I1688" s="15" t="s">
        <v>2738</v>
      </c>
      <c r="J1688" s="10" t="s">
        <v>9887</v>
      </c>
      <c r="K1688" s="11"/>
      <c r="L1688" s="9"/>
      <c r="M1688" s="10"/>
      <c r="N1688" s="16" t="s">
        <v>75</v>
      </c>
      <c r="O1688" s="17" t="s">
        <v>869</v>
      </c>
      <c r="P1688" s="17" t="s">
        <v>870</v>
      </c>
      <c r="Q1688" s="18" t="s">
        <v>78</v>
      </c>
      <c r="R1688" s="18" t="s">
        <v>79</v>
      </c>
      <c r="S1688" s="18" t="s">
        <v>61</v>
      </c>
      <c r="T1688" s="18" t="s">
        <v>62</v>
      </c>
      <c r="U1688" s="19" t="s">
        <v>80</v>
      </c>
    </row>
    <row r="1689" spans="1:21" ht="15.75" customHeight="1" x14ac:dyDescent="0.25">
      <c r="A1689" s="27" t="s">
        <v>9888</v>
      </c>
      <c r="B1689" s="28" t="s">
        <v>9889</v>
      </c>
      <c r="C1689" s="29" t="s">
        <v>9890</v>
      </c>
      <c r="D1689" s="30" t="s">
        <v>9891</v>
      </c>
      <c r="E1689" s="29" t="s">
        <v>47</v>
      </c>
      <c r="F1689" s="31">
        <v>140</v>
      </c>
      <c r="G1689" s="14" t="s">
        <v>119</v>
      </c>
      <c r="H1689" s="29" t="s">
        <v>330</v>
      </c>
      <c r="I1689" s="32" t="s">
        <v>9892</v>
      </c>
      <c r="J1689" s="28" t="s">
        <v>9893</v>
      </c>
      <c r="K1689" s="29" t="s">
        <v>9826</v>
      </c>
      <c r="L1689" s="27" t="s">
        <v>158</v>
      </c>
      <c r="M1689" s="28" t="s">
        <v>159</v>
      </c>
      <c r="N1689" s="39" t="s">
        <v>179</v>
      </c>
      <c r="O1689" s="34" t="s">
        <v>712</v>
      </c>
      <c r="P1689" s="34" t="s">
        <v>713</v>
      </c>
      <c r="Q1689" s="35" t="s">
        <v>78</v>
      </c>
      <c r="R1689" s="35" t="s">
        <v>79</v>
      </c>
      <c r="S1689" s="35" t="s">
        <v>61</v>
      </c>
      <c r="T1689" s="35" t="s">
        <v>62</v>
      </c>
      <c r="U1689" s="36" t="s">
        <v>80</v>
      </c>
    </row>
    <row r="1690" spans="1:21" ht="15.75" customHeight="1" x14ac:dyDescent="0.25">
      <c r="A1690" s="9" t="s">
        <v>9894</v>
      </c>
      <c r="B1690" s="10" t="s">
        <v>9895</v>
      </c>
      <c r="C1690" s="11" t="s">
        <v>9896</v>
      </c>
      <c r="D1690" s="12" t="s">
        <v>9897</v>
      </c>
      <c r="E1690" s="11" t="s">
        <v>47</v>
      </c>
      <c r="F1690" s="13">
        <v>126</v>
      </c>
      <c r="G1690" s="20" t="s">
        <v>119</v>
      </c>
      <c r="H1690" s="11" t="s">
        <v>330</v>
      </c>
      <c r="I1690" s="15" t="s">
        <v>9898</v>
      </c>
      <c r="J1690" s="10" t="s">
        <v>9899</v>
      </c>
      <c r="K1690" s="11" t="s">
        <v>903</v>
      </c>
      <c r="L1690" s="9" t="s">
        <v>158</v>
      </c>
      <c r="M1690" s="10" t="s">
        <v>159</v>
      </c>
      <c r="N1690" s="16" t="s">
        <v>75</v>
      </c>
      <c r="O1690" s="17" t="s">
        <v>2951</v>
      </c>
      <c r="P1690" s="17" t="s">
        <v>2952</v>
      </c>
      <c r="Q1690" s="18" t="s">
        <v>78</v>
      </c>
      <c r="R1690" s="18" t="s">
        <v>79</v>
      </c>
      <c r="S1690" s="18" t="s">
        <v>61</v>
      </c>
      <c r="T1690" s="18" t="s">
        <v>62</v>
      </c>
      <c r="U1690" s="19" t="s">
        <v>80</v>
      </c>
    </row>
    <row r="1691" spans="1:21" ht="15.75" customHeight="1" x14ac:dyDescent="0.25">
      <c r="A1691" s="27" t="s">
        <v>9900</v>
      </c>
      <c r="B1691" s="28" t="s">
        <v>9901</v>
      </c>
      <c r="C1691" s="29" t="s">
        <v>9902</v>
      </c>
      <c r="D1691" s="30" t="s">
        <v>655</v>
      </c>
      <c r="E1691" s="29" t="s">
        <v>98</v>
      </c>
      <c r="F1691" s="29" t="s">
        <v>9903</v>
      </c>
      <c r="G1691" s="14" t="s">
        <v>110</v>
      </c>
      <c r="H1691" s="29" t="s">
        <v>120</v>
      </c>
      <c r="I1691" s="32" t="s">
        <v>9904</v>
      </c>
      <c r="J1691" s="28" t="s">
        <v>9905</v>
      </c>
      <c r="K1691" s="29"/>
      <c r="L1691" s="27" t="s">
        <v>481</v>
      </c>
      <c r="M1691" s="28" t="s">
        <v>482</v>
      </c>
      <c r="N1691" s="39" t="s">
        <v>179</v>
      </c>
      <c r="O1691" s="34" t="s">
        <v>869</v>
      </c>
      <c r="P1691" s="34" t="s">
        <v>870</v>
      </c>
      <c r="Q1691" s="35" t="s">
        <v>78</v>
      </c>
      <c r="R1691" s="35" t="s">
        <v>79</v>
      </c>
      <c r="S1691" s="35" t="s">
        <v>61</v>
      </c>
      <c r="T1691" s="35" t="s">
        <v>62</v>
      </c>
      <c r="U1691" s="36" t="s">
        <v>80</v>
      </c>
    </row>
    <row r="1692" spans="1:21" ht="15.75" customHeight="1" x14ac:dyDescent="0.25">
      <c r="A1692" s="9" t="s">
        <v>9906</v>
      </c>
      <c r="B1692" s="10" t="s">
        <v>9907</v>
      </c>
      <c r="C1692" s="11" t="s">
        <v>9908</v>
      </c>
      <c r="D1692" s="12" t="s">
        <v>9909</v>
      </c>
      <c r="E1692" s="11" t="s">
        <v>47</v>
      </c>
      <c r="F1692" s="13">
        <v>213</v>
      </c>
      <c r="G1692" s="20" t="s">
        <v>119</v>
      </c>
      <c r="H1692" s="11" t="s">
        <v>129</v>
      </c>
      <c r="I1692" s="15" t="s">
        <v>9910</v>
      </c>
      <c r="J1692" s="10" t="s">
        <v>9911</v>
      </c>
      <c r="K1692" s="11" t="s">
        <v>9912</v>
      </c>
      <c r="L1692" s="9" t="s">
        <v>90</v>
      </c>
      <c r="M1692" s="10" t="s">
        <v>91</v>
      </c>
      <c r="N1692" s="23" t="s">
        <v>179</v>
      </c>
      <c r="O1692" s="17" t="s">
        <v>355</v>
      </c>
      <c r="P1692" s="17" t="s">
        <v>356</v>
      </c>
      <c r="Q1692" s="18" t="s">
        <v>78</v>
      </c>
      <c r="R1692" s="18" t="s">
        <v>79</v>
      </c>
      <c r="S1692" s="18" t="s">
        <v>61</v>
      </c>
      <c r="T1692" s="18" t="s">
        <v>62</v>
      </c>
      <c r="U1692" s="19" t="s">
        <v>80</v>
      </c>
    </row>
    <row r="1693" spans="1:21" ht="15.75" customHeight="1" x14ac:dyDescent="0.25">
      <c r="A1693" s="27" t="s">
        <v>9913</v>
      </c>
      <c r="B1693" s="28" t="s">
        <v>9914</v>
      </c>
      <c r="C1693" s="29" t="s">
        <v>9915</v>
      </c>
      <c r="D1693" s="30" t="s">
        <v>2707</v>
      </c>
      <c r="E1693" s="29" t="s">
        <v>98</v>
      </c>
      <c r="F1693" s="29"/>
      <c r="G1693" s="20" t="s">
        <v>119</v>
      </c>
      <c r="H1693" s="29" t="s">
        <v>100</v>
      </c>
      <c r="I1693" s="32" t="s">
        <v>5343</v>
      </c>
      <c r="J1693" s="28" t="s">
        <v>9916</v>
      </c>
      <c r="K1693" s="29" t="s">
        <v>1690</v>
      </c>
      <c r="L1693" s="27" t="s">
        <v>90</v>
      </c>
      <c r="M1693" s="28" t="s">
        <v>91</v>
      </c>
      <c r="N1693" s="33" t="s">
        <v>75</v>
      </c>
      <c r="O1693" s="34" t="s">
        <v>124</v>
      </c>
      <c r="P1693" s="34" t="s">
        <v>125</v>
      </c>
      <c r="Q1693" s="35" t="s">
        <v>78</v>
      </c>
      <c r="R1693" s="35" t="s">
        <v>79</v>
      </c>
      <c r="S1693" s="35" t="s">
        <v>61</v>
      </c>
      <c r="T1693" s="35" t="s">
        <v>62</v>
      </c>
      <c r="U1693" s="36" t="s">
        <v>80</v>
      </c>
    </row>
    <row r="1694" spans="1:21" ht="15.75" customHeight="1" x14ac:dyDescent="0.25">
      <c r="A1694" s="9" t="s">
        <v>9917</v>
      </c>
      <c r="B1694" s="10" t="s">
        <v>9918</v>
      </c>
      <c r="C1694" s="11" t="s">
        <v>9919</v>
      </c>
      <c r="D1694" s="12" t="s">
        <v>7129</v>
      </c>
      <c r="E1694" s="11" t="s">
        <v>47</v>
      </c>
      <c r="F1694" s="13">
        <v>250</v>
      </c>
      <c r="G1694" s="20" t="s">
        <v>119</v>
      </c>
      <c r="H1694" s="11" t="s">
        <v>129</v>
      </c>
      <c r="I1694" s="15" t="s">
        <v>5349</v>
      </c>
      <c r="J1694" s="10" t="s">
        <v>9920</v>
      </c>
      <c r="K1694" s="11" t="s">
        <v>332</v>
      </c>
      <c r="L1694" s="9" t="s">
        <v>197</v>
      </c>
      <c r="M1694" s="10" t="s">
        <v>198</v>
      </c>
      <c r="N1694" s="23" t="s">
        <v>179</v>
      </c>
      <c r="O1694" s="17" t="s">
        <v>355</v>
      </c>
      <c r="P1694" s="17" t="s">
        <v>356</v>
      </c>
      <c r="Q1694" s="18" t="s">
        <v>78</v>
      </c>
      <c r="R1694" s="18" t="s">
        <v>79</v>
      </c>
      <c r="S1694" s="18" t="s">
        <v>61</v>
      </c>
      <c r="T1694" s="18" t="s">
        <v>62</v>
      </c>
      <c r="U1694" s="19" t="s">
        <v>80</v>
      </c>
    </row>
    <row r="1695" spans="1:21" ht="15.75" customHeight="1" x14ac:dyDescent="0.25">
      <c r="A1695" s="27" t="s">
        <v>9921</v>
      </c>
      <c r="B1695" s="28" t="s">
        <v>9922</v>
      </c>
      <c r="C1695" s="29" t="s">
        <v>9923</v>
      </c>
      <c r="D1695" s="30" t="s">
        <v>784</v>
      </c>
      <c r="E1695" s="29" t="s">
        <v>98</v>
      </c>
      <c r="F1695" s="29" t="s">
        <v>9924</v>
      </c>
      <c r="G1695" s="20" t="s">
        <v>119</v>
      </c>
      <c r="H1695" s="29" t="s">
        <v>100</v>
      </c>
      <c r="I1695" s="32" t="s">
        <v>9925</v>
      </c>
      <c r="J1695" s="28" t="s">
        <v>9926</v>
      </c>
      <c r="K1695" s="29" t="s">
        <v>762</v>
      </c>
      <c r="L1695" s="27" t="s">
        <v>90</v>
      </c>
      <c r="M1695" s="28" t="s">
        <v>91</v>
      </c>
      <c r="N1695" s="33" t="s">
        <v>75</v>
      </c>
      <c r="O1695" s="34" t="s">
        <v>124</v>
      </c>
      <c r="P1695" s="34" t="s">
        <v>125</v>
      </c>
      <c r="Q1695" s="35" t="s">
        <v>78</v>
      </c>
      <c r="R1695" s="35" t="s">
        <v>79</v>
      </c>
      <c r="S1695" s="35" t="s">
        <v>61</v>
      </c>
      <c r="T1695" s="35" t="s">
        <v>62</v>
      </c>
      <c r="U1695" s="36" t="s">
        <v>80</v>
      </c>
    </row>
    <row r="1696" spans="1:21" ht="15.75" customHeight="1" x14ac:dyDescent="0.25">
      <c r="A1696" s="9" t="s">
        <v>9927</v>
      </c>
      <c r="B1696" s="10" t="s">
        <v>9928</v>
      </c>
      <c r="C1696" s="11" t="s">
        <v>9929</v>
      </c>
      <c r="D1696" s="12" t="s">
        <v>9930</v>
      </c>
      <c r="E1696" s="11" t="s">
        <v>47</v>
      </c>
      <c r="F1696" s="13">
        <v>152</v>
      </c>
      <c r="G1696" s="20" t="s">
        <v>119</v>
      </c>
      <c r="H1696" s="11" t="s">
        <v>86</v>
      </c>
      <c r="I1696" s="15" t="s">
        <v>9931</v>
      </c>
      <c r="J1696" s="10" t="s">
        <v>9932</v>
      </c>
      <c r="K1696" s="11" t="s">
        <v>132</v>
      </c>
      <c r="L1696" s="9" t="s">
        <v>90</v>
      </c>
      <c r="M1696" s="10" t="s">
        <v>91</v>
      </c>
      <c r="N1696" s="16" t="s">
        <v>75</v>
      </c>
      <c r="O1696" s="17" t="s">
        <v>124</v>
      </c>
      <c r="P1696" s="17" t="s">
        <v>125</v>
      </c>
      <c r="Q1696" s="18" t="s">
        <v>78</v>
      </c>
      <c r="R1696" s="18" t="s">
        <v>79</v>
      </c>
      <c r="S1696" s="18" t="s">
        <v>61</v>
      </c>
      <c r="T1696" s="18" t="s">
        <v>62</v>
      </c>
      <c r="U1696" s="19" t="s">
        <v>80</v>
      </c>
    </row>
    <row r="1697" spans="1:21" ht="15.75" customHeight="1" x14ac:dyDescent="0.25">
      <c r="A1697" s="27" t="s">
        <v>9933</v>
      </c>
      <c r="B1697" s="28" t="s">
        <v>9934</v>
      </c>
      <c r="C1697" s="29" t="s">
        <v>9935</v>
      </c>
      <c r="D1697" s="30" t="s">
        <v>759</v>
      </c>
      <c r="E1697" s="29" t="s">
        <v>47</v>
      </c>
      <c r="F1697" s="31">
        <v>68.900000000000006</v>
      </c>
      <c r="G1697" s="20" t="s">
        <v>119</v>
      </c>
      <c r="H1697" s="29" t="s">
        <v>48</v>
      </c>
      <c r="I1697" s="32" t="s">
        <v>9936</v>
      </c>
      <c r="J1697" s="28" t="s">
        <v>9937</v>
      </c>
      <c r="K1697" s="29" t="s">
        <v>1286</v>
      </c>
      <c r="L1697" s="27" t="s">
        <v>90</v>
      </c>
      <c r="M1697" s="28" t="s">
        <v>91</v>
      </c>
      <c r="N1697" s="33" t="s">
        <v>75</v>
      </c>
      <c r="O1697" s="34" t="s">
        <v>124</v>
      </c>
      <c r="P1697" s="34" t="s">
        <v>125</v>
      </c>
      <c r="Q1697" s="35" t="s">
        <v>78</v>
      </c>
      <c r="R1697" s="35" t="s">
        <v>79</v>
      </c>
      <c r="S1697" s="35" t="s">
        <v>61</v>
      </c>
      <c r="T1697" s="35" t="s">
        <v>62</v>
      </c>
      <c r="U1697" s="36" t="s">
        <v>80</v>
      </c>
    </row>
    <row r="1698" spans="1:21" ht="15.75" customHeight="1" x14ac:dyDescent="0.25">
      <c r="A1698" s="9" t="s">
        <v>9938</v>
      </c>
      <c r="B1698" s="10" t="s">
        <v>9939</v>
      </c>
      <c r="C1698" s="11"/>
      <c r="D1698" s="21" t="s">
        <v>109</v>
      </c>
      <c r="E1698" s="11"/>
      <c r="F1698" s="11"/>
      <c r="G1698" s="24" t="s">
        <v>85</v>
      </c>
      <c r="H1698" s="11" t="s">
        <v>120</v>
      </c>
      <c r="I1698" s="15" t="s">
        <v>9940</v>
      </c>
      <c r="J1698" s="10" t="s">
        <v>9941</v>
      </c>
      <c r="K1698" s="11"/>
      <c r="L1698" s="9"/>
      <c r="M1698" s="10"/>
      <c r="N1698" s="22"/>
      <c r="O1698" s="17"/>
      <c r="P1698" s="17"/>
      <c r="Q1698" s="18" t="s">
        <v>78</v>
      </c>
      <c r="R1698" s="18" t="s">
        <v>79</v>
      </c>
      <c r="S1698" s="18" t="s">
        <v>61</v>
      </c>
      <c r="T1698" s="18" t="s">
        <v>62</v>
      </c>
      <c r="U1698" s="19" t="s">
        <v>80</v>
      </c>
    </row>
    <row r="1699" spans="1:21" ht="15.75" customHeight="1" x14ac:dyDescent="0.25">
      <c r="A1699" s="27" t="s">
        <v>9942</v>
      </c>
      <c r="B1699" s="28" t="s">
        <v>9943</v>
      </c>
      <c r="C1699" s="29" t="s">
        <v>9944</v>
      </c>
      <c r="D1699" s="30" t="s">
        <v>7973</v>
      </c>
      <c r="E1699" s="29" t="s">
        <v>98</v>
      </c>
      <c r="F1699" s="31">
        <v>1000</v>
      </c>
      <c r="G1699" s="20" t="s">
        <v>85</v>
      </c>
      <c r="H1699" s="29" t="s">
        <v>129</v>
      </c>
      <c r="I1699" s="32" t="s">
        <v>9945</v>
      </c>
      <c r="J1699" s="28" t="s">
        <v>9946</v>
      </c>
      <c r="K1699" s="29" t="s">
        <v>1997</v>
      </c>
      <c r="L1699" s="27" t="s">
        <v>90</v>
      </c>
      <c r="M1699" s="28" t="s">
        <v>91</v>
      </c>
      <c r="N1699" s="33" t="s">
        <v>75</v>
      </c>
      <c r="O1699" s="34" t="s">
        <v>7078</v>
      </c>
      <c r="P1699" s="34" t="s">
        <v>7079</v>
      </c>
      <c r="Q1699" s="35" t="s">
        <v>78</v>
      </c>
      <c r="R1699" s="35" t="s">
        <v>79</v>
      </c>
      <c r="S1699" s="35" t="s">
        <v>61</v>
      </c>
      <c r="T1699" s="35" t="s">
        <v>62</v>
      </c>
      <c r="U1699" s="36" t="s">
        <v>80</v>
      </c>
    </row>
    <row r="1700" spans="1:21" ht="15.75" customHeight="1" x14ac:dyDescent="0.25">
      <c r="A1700" s="9" t="s">
        <v>9947</v>
      </c>
      <c r="B1700" s="10" t="s">
        <v>9948</v>
      </c>
      <c r="C1700" s="11" t="s">
        <v>9949</v>
      </c>
      <c r="D1700" s="12" t="s">
        <v>7973</v>
      </c>
      <c r="E1700" s="11" t="s">
        <v>98</v>
      </c>
      <c r="F1700" s="11"/>
      <c r="G1700" s="20" t="s">
        <v>85</v>
      </c>
      <c r="H1700" s="11" t="s">
        <v>100</v>
      </c>
      <c r="I1700" s="15" t="s">
        <v>9950</v>
      </c>
      <c r="J1700" s="10" t="s">
        <v>9951</v>
      </c>
      <c r="K1700" s="11" t="s">
        <v>1997</v>
      </c>
      <c r="L1700" s="9" t="s">
        <v>90</v>
      </c>
      <c r="M1700" s="10" t="s">
        <v>91</v>
      </c>
      <c r="N1700" s="16" t="s">
        <v>75</v>
      </c>
      <c r="O1700" s="17" t="s">
        <v>7078</v>
      </c>
      <c r="P1700" s="17" t="s">
        <v>7079</v>
      </c>
      <c r="Q1700" s="18" t="s">
        <v>78</v>
      </c>
      <c r="R1700" s="18" t="s">
        <v>79</v>
      </c>
      <c r="S1700" s="18" t="s">
        <v>61</v>
      </c>
      <c r="T1700" s="18" t="s">
        <v>62</v>
      </c>
      <c r="U1700" s="19" t="s">
        <v>80</v>
      </c>
    </row>
    <row r="1701" spans="1:21" ht="15.75" customHeight="1" x14ac:dyDescent="0.25">
      <c r="A1701" s="27" t="s">
        <v>9952</v>
      </c>
      <c r="B1701" s="28" t="s">
        <v>9953</v>
      </c>
      <c r="C1701" s="29" t="s">
        <v>9954</v>
      </c>
      <c r="D1701" s="30" t="s">
        <v>9955</v>
      </c>
      <c r="E1701" s="29" t="s">
        <v>47</v>
      </c>
      <c r="F1701" s="31">
        <v>178.3</v>
      </c>
      <c r="G1701" s="25" t="s">
        <v>119</v>
      </c>
      <c r="H1701" s="29" t="s">
        <v>86</v>
      </c>
      <c r="I1701" s="32" t="s">
        <v>9956</v>
      </c>
      <c r="J1701" s="28" t="s">
        <v>9957</v>
      </c>
      <c r="K1701" s="29" t="s">
        <v>9958</v>
      </c>
      <c r="L1701" s="27" t="s">
        <v>90</v>
      </c>
      <c r="M1701" s="28" t="s">
        <v>91</v>
      </c>
      <c r="N1701" s="33" t="s">
        <v>75</v>
      </c>
      <c r="O1701" s="34" t="s">
        <v>1127</v>
      </c>
      <c r="P1701" s="34" t="s">
        <v>1128</v>
      </c>
      <c r="Q1701" s="35" t="s">
        <v>78</v>
      </c>
      <c r="R1701" s="35" t="s">
        <v>79</v>
      </c>
      <c r="S1701" s="35" t="s">
        <v>61</v>
      </c>
      <c r="T1701" s="35" t="s">
        <v>62</v>
      </c>
      <c r="U1701" s="36" t="s">
        <v>80</v>
      </c>
    </row>
    <row r="1702" spans="1:21" ht="15.75" customHeight="1" x14ac:dyDescent="0.25">
      <c r="A1702" s="9" t="s">
        <v>9959</v>
      </c>
      <c r="B1702" s="10" t="s">
        <v>9960</v>
      </c>
      <c r="C1702" s="11" t="s">
        <v>9961</v>
      </c>
      <c r="D1702" s="12" t="s">
        <v>3137</v>
      </c>
      <c r="E1702" s="11" t="s">
        <v>67</v>
      </c>
      <c r="F1702" s="13">
        <v>9.5</v>
      </c>
      <c r="G1702" s="14" t="s">
        <v>708</v>
      </c>
      <c r="H1702" s="11" t="s">
        <v>69</v>
      </c>
      <c r="I1702" s="15" t="s">
        <v>8616</v>
      </c>
      <c r="J1702" s="10" t="s">
        <v>9962</v>
      </c>
      <c r="K1702" s="11" t="s">
        <v>9963</v>
      </c>
      <c r="L1702" s="9" t="s">
        <v>73</v>
      </c>
      <c r="M1702" s="10" t="s">
        <v>74</v>
      </c>
      <c r="N1702" s="16" t="s">
        <v>75</v>
      </c>
      <c r="O1702" s="17" t="s">
        <v>3141</v>
      </c>
      <c r="P1702" s="17" t="s">
        <v>3142</v>
      </c>
      <c r="Q1702" s="18" t="s">
        <v>78</v>
      </c>
      <c r="R1702" s="18" t="s">
        <v>79</v>
      </c>
      <c r="S1702" s="18" t="s">
        <v>61</v>
      </c>
      <c r="T1702" s="18" t="s">
        <v>62</v>
      </c>
      <c r="U1702" s="19" t="s">
        <v>80</v>
      </c>
    </row>
    <row r="1703" spans="1:21" ht="15.75" customHeight="1" x14ac:dyDescent="0.25">
      <c r="A1703" s="27" t="s">
        <v>9964</v>
      </c>
      <c r="B1703" s="28" t="s">
        <v>9965</v>
      </c>
      <c r="C1703" s="29" t="s">
        <v>9966</v>
      </c>
      <c r="D1703" s="30" t="s">
        <v>9967</v>
      </c>
      <c r="E1703" s="29"/>
      <c r="F1703" s="31">
        <v>200</v>
      </c>
      <c r="G1703" s="20" t="s">
        <v>85</v>
      </c>
      <c r="H1703" s="29" t="s">
        <v>129</v>
      </c>
      <c r="I1703" s="32" t="s">
        <v>9968</v>
      </c>
      <c r="J1703" s="28" t="s">
        <v>9969</v>
      </c>
      <c r="K1703" s="29" t="s">
        <v>348</v>
      </c>
      <c r="L1703" s="27" t="s">
        <v>197</v>
      </c>
      <c r="M1703" s="28" t="s">
        <v>198</v>
      </c>
      <c r="N1703" s="33" t="s">
        <v>75</v>
      </c>
      <c r="O1703" s="34" t="s">
        <v>104</v>
      </c>
      <c r="P1703" s="34" t="s">
        <v>105</v>
      </c>
      <c r="Q1703" s="35" t="s">
        <v>78</v>
      </c>
      <c r="R1703" s="35" t="s">
        <v>79</v>
      </c>
      <c r="S1703" s="35" t="s">
        <v>61</v>
      </c>
      <c r="T1703" s="35" t="s">
        <v>62</v>
      </c>
      <c r="U1703" s="36" t="s">
        <v>80</v>
      </c>
    </row>
    <row r="1704" spans="1:21" ht="15.75" customHeight="1" x14ac:dyDescent="0.25">
      <c r="A1704" s="9" t="s">
        <v>9970</v>
      </c>
      <c r="B1704" s="10" t="s">
        <v>9971</v>
      </c>
      <c r="C1704" s="11" t="s">
        <v>9972</v>
      </c>
      <c r="D1704" s="12" t="s">
        <v>9973</v>
      </c>
      <c r="E1704" s="11" t="s">
        <v>1264</v>
      </c>
      <c r="F1704" s="11"/>
      <c r="G1704" s="20" t="s">
        <v>85</v>
      </c>
      <c r="H1704" s="11" t="s">
        <v>100</v>
      </c>
      <c r="I1704" s="15" t="s">
        <v>6310</v>
      </c>
      <c r="J1704" s="10" t="s">
        <v>9974</v>
      </c>
      <c r="K1704" s="11"/>
      <c r="L1704" s="9"/>
      <c r="M1704" s="10"/>
      <c r="N1704" s="16" t="s">
        <v>75</v>
      </c>
      <c r="O1704" s="17" t="s">
        <v>292</v>
      </c>
      <c r="P1704" s="17" t="s">
        <v>293</v>
      </c>
      <c r="Q1704" s="18" t="s">
        <v>78</v>
      </c>
      <c r="R1704" s="18" t="s">
        <v>79</v>
      </c>
      <c r="S1704" s="18" t="s">
        <v>61</v>
      </c>
      <c r="T1704" s="18" t="s">
        <v>62</v>
      </c>
      <c r="U1704" s="19" t="s">
        <v>80</v>
      </c>
    </row>
    <row r="1705" spans="1:21" ht="15.75" customHeight="1" x14ac:dyDescent="0.25">
      <c r="A1705" s="27" t="s">
        <v>9975</v>
      </c>
      <c r="B1705" s="28" t="s">
        <v>9976</v>
      </c>
      <c r="C1705" s="29" t="s">
        <v>9977</v>
      </c>
      <c r="D1705" s="30" t="s">
        <v>66</v>
      </c>
      <c r="E1705" s="29" t="s">
        <v>67</v>
      </c>
      <c r="F1705" s="31">
        <v>-29.4</v>
      </c>
      <c r="G1705" s="14" t="s">
        <v>68</v>
      </c>
      <c r="H1705" s="29" t="s">
        <v>69</v>
      </c>
      <c r="I1705" s="32" t="s">
        <v>9978</v>
      </c>
      <c r="J1705" s="28" t="s">
        <v>9979</v>
      </c>
      <c r="K1705" s="29" t="s">
        <v>9980</v>
      </c>
      <c r="L1705" s="27" t="s">
        <v>73</v>
      </c>
      <c r="M1705" s="28" t="s">
        <v>74</v>
      </c>
      <c r="N1705" s="33" t="s">
        <v>75</v>
      </c>
      <c r="O1705" s="34" t="s">
        <v>76</v>
      </c>
      <c r="P1705" s="34" t="s">
        <v>77</v>
      </c>
      <c r="Q1705" s="35" t="s">
        <v>78</v>
      </c>
      <c r="R1705" s="35" t="s">
        <v>79</v>
      </c>
      <c r="S1705" s="35" t="s">
        <v>61</v>
      </c>
      <c r="T1705" s="35" t="s">
        <v>62</v>
      </c>
      <c r="U1705" s="36" t="s">
        <v>80</v>
      </c>
    </row>
    <row r="1706" spans="1:21" ht="15.75" customHeight="1" x14ac:dyDescent="0.25">
      <c r="A1706" s="9" t="s">
        <v>9981</v>
      </c>
      <c r="B1706" s="10" t="s">
        <v>9982</v>
      </c>
      <c r="C1706" s="11" t="s">
        <v>1961</v>
      </c>
      <c r="D1706" s="12" t="s">
        <v>9983</v>
      </c>
      <c r="E1706" s="11" t="s">
        <v>67</v>
      </c>
      <c r="F1706" s="13">
        <v>66</v>
      </c>
      <c r="G1706" s="20" t="s">
        <v>119</v>
      </c>
      <c r="H1706" s="11" t="s">
        <v>48</v>
      </c>
      <c r="I1706" s="15" t="s">
        <v>6083</v>
      </c>
      <c r="J1706" s="10" t="s">
        <v>9984</v>
      </c>
      <c r="K1706" s="11" t="s">
        <v>9985</v>
      </c>
      <c r="L1706" s="9" t="s">
        <v>481</v>
      </c>
      <c r="M1706" s="10" t="s">
        <v>482</v>
      </c>
      <c r="N1706" s="16" t="s">
        <v>75</v>
      </c>
      <c r="O1706" s="17" t="s">
        <v>591</v>
      </c>
      <c r="P1706" s="17" t="s">
        <v>592</v>
      </c>
      <c r="Q1706" s="18" t="s">
        <v>78</v>
      </c>
      <c r="R1706" s="18" t="s">
        <v>79</v>
      </c>
      <c r="S1706" s="18" t="s">
        <v>61</v>
      </c>
      <c r="T1706" s="18" t="s">
        <v>62</v>
      </c>
      <c r="U1706" s="19" t="s">
        <v>80</v>
      </c>
    </row>
    <row r="1707" spans="1:21" ht="15.75" customHeight="1" x14ac:dyDescent="0.25">
      <c r="A1707" s="27" t="s">
        <v>9986</v>
      </c>
      <c r="B1707" s="28" t="s">
        <v>9987</v>
      </c>
      <c r="C1707" s="29" t="s">
        <v>6136</v>
      </c>
      <c r="D1707" s="30" t="s">
        <v>6137</v>
      </c>
      <c r="E1707" s="29" t="s">
        <v>47</v>
      </c>
      <c r="F1707" s="31">
        <v>158</v>
      </c>
      <c r="G1707" s="25" t="s">
        <v>708</v>
      </c>
      <c r="H1707" s="29" t="s">
        <v>86</v>
      </c>
      <c r="I1707" s="32" t="s">
        <v>7280</v>
      </c>
      <c r="J1707" s="28" t="s">
        <v>9988</v>
      </c>
      <c r="K1707" s="29" t="s">
        <v>9989</v>
      </c>
      <c r="L1707" s="27" t="s">
        <v>481</v>
      </c>
      <c r="M1707" s="28" t="s">
        <v>482</v>
      </c>
      <c r="N1707" s="33" t="s">
        <v>75</v>
      </c>
      <c r="O1707" s="34" t="s">
        <v>1127</v>
      </c>
      <c r="P1707" s="34" t="s">
        <v>1128</v>
      </c>
      <c r="Q1707" s="35" t="s">
        <v>78</v>
      </c>
      <c r="R1707" s="35" t="s">
        <v>79</v>
      </c>
      <c r="S1707" s="35" t="s">
        <v>61</v>
      </c>
      <c r="T1707" s="35" t="s">
        <v>62</v>
      </c>
      <c r="U1707" s="36" t="s">
        <v>80</v>
      </c>
    </row>
    <row r="1708" spans="1:21" ht="15.75" customHeight="1" x14ac:dyDescent="0.25">
      <c r="A1708" s="9" t="s">
        <v>9990</v>
      </c>
      <c r="B1708" s="10" t="s">
        <v>9991</v>
      </c>
      <c r="C1708" s="11" t="s">
        <v>9992</v>
      </c>
      <c r="D1708" s="12" t="s">
        <v>3839</v>
      </c>
      <c r="E1708" s="11" t="s">
        <v>67</v>
      </c>
      <c r="F1708" s="13">
        <v>-75.900000000000006</v>
      </c>
      <c r="G1708" s="20" t="s">
        <v>85</v>
      </c>
      <c r="H1708" s="11" t="s">
        <v>69</v>
      </c>
      <c r="I1708" s="15" t="s">
        <v>3203</v>
      </c>
      <c r="J1708" s="10" t="s">
        <v>9993</v>
      </c>
      <c r="K1708" s="11" t="s">
        <v>6504</v>
      </c>
      <c r="L1708" s="9" t="s">
        <v>73</v>
      </c>
      <c r="M1708" s="10" t="s">
        <v>74</v>
      </c>
      <c r="N1708" s="16" t="s">
        <v>75</v>
      </c>
      <c r="O1708" s="17" t="s">
        <v>2783</v>
      </c>
      <c r="P1708" s="17" t="s">
        <v>2784</v>
      </c>
      <c r="Q1708" s="18" t="s">
        <v>78</v>
      </c>
      <c r="R1708" s="18" t="s">
        <v>79</v>
      </c>
      <c r="S1708" s="18" t="s">
        <v>61</v>
      </c>
      <c r="T1708" s="18" t="s">
        <v>62</v>
      </c>
      <c r="U1708" s="19" t="s">
        <v>80</v>
      </c>
    </row>
    <row r="1709" spans="1:21" ht="15.75" customHeight="1" x14ac:dyDescent="0.25">
      <c r="A1709" s="27" t="s">
        <v>9994</v>
      </c>
      <c r="B1709" s="28" t="s">
        <v>9995</v>
      </c>
      <c r="C1709" s="29"/>
      <c r="D1709" s="30" t="s">
        <v>7456</v>
      </c>
      <c r="E1709" s="29"/>
      <c r="F1709" s="31">
        <v>2360</v>
      </c>
      <c r="G1709" s="26" t="s">
        <v>68</v>
      </c>
      <c r="H1709" s="29" t="s">
        <v>129</v>
      </c>
      <c r="I1709" s="32" t="s">
        <v>9996</v>
      </c>
      <c r="J1709" s="28" t="s">
        <v>9997</v>
      </c>
      <c r="K1709" s="29" t="s">
        <v>332</v>
      </c>
      <c r="L1709" s="27" t="s">
        <v>197</v>
      </c>
      <c r="M1709" s="28" t="s">
        <v>198</v>
      </c>
      <c r="N1709" s="38"/>
      <c r="O1709" s="34" t="s">
        <v>1448</v>
      </c>
      <c r="P1709" s="34" t="s">
        <v>1449</v>
      </c>
      <c r="Q1709" s="35" t="s">
        <v>78</v>
      </c>
      <c r="R1709" s="35" t="s">
        <v>79</v>
      </c>
      <c r="S1709" s="35" t="s">
        <v>61</v>
      </c>
      <c r="T1709" s="35" t="s">
        <v>62</v>
      </c>
      <c r="U1709" s="36" t="s">
        <v>80</v>
      </c>
    </row>
    <row r="1710" spans="1:21" ht="15.75" customHeight="1" x14ac:dyDescent="0.25">
      <c r="A1710" s="9" t="s">
        <v>9998</v>
      </c>
      <c r="B1710" s="10" t="s">
        <v>9999</v>
      </c>
      <c r="C1710" s="11" t="s">
        <v>2298</v>
      </c>
      <c r="D1710" s="12" t="s">
        <v>193</v>
      </c>
      <c r="E1710" s="11" t="s">
        <v>1264</v>
      </c>
      <c r="F1710" s="13">
        <v>2600</v>
      </c>
      <c r="G1710" s="20" t="s">
        <v>85</v>
      </c>
      <c r="H1710" s="11" t="s">
        <v>129</v>
      </c>
      <c r="I1710" s="15" t="s">
        <v>10000</v>
      </c>
      <c r="J1710" s="10" t="s">
        <v>10001</v>
      </c>
      <c r="K1710" s="11"/>
      <c r="L1710" s="9"/>
      <c r="M1710" s="10"/>
      <c r="N1710" s="22"/>
      <c r="O1710" s="17" t="s">
        <v>180</v>
      </c>
      <c r="P1710" s="17" t="s">
        <v>181</v>
      </c>
      <c r="Q1710" s="18" t="s">
        <v>78</v>
      </c>
      <c r="R1710" s="18" t="s">
        <v>79</v>
      </c>
      <c r="S1710" s="18" t="s">
        <v>61</v>
      </c>
      <c r="T1710" s="18" t="s">
        <v>62</v>
      </c>
      <c r="U1710" s="19" t="s">
        <v>80</v>
      </c>
    </row>
    <row r="1711" spans="1:21" ht="15.75" customHeight="1" x14ac:dyDescent="0.25">
      <c r="A1711" s="27" t="s">
        <v>10002</v>
      </c>
      <c r="B1711" s="28" t="s">
        <v>10003</v>
      </c>
      <c r="C1711" s="29" t="s">
        <v>7632</v>
      </c>
      <c r="D1711" s="30" t="s">
        <v>10004</v>
      </c>
      <c r="E1711" s="29"/>
      <c r="F1711" s="31">
        <v>252</v>
      </c>
      <c r="G1711" s="20" t="s">
        <v>85</v>
      </c>
      <c r="H1711" s="29" t="s">
        <v>129</v>
      </c>
      <c r="I1711" s="32" t="s">
        <v>10005</v>
      </c>
      <c r="J1711" s="28" t="s">
        <v>10006</v>
      </c>
      <c r="K1711" s="29" t="s">
        <v>2307</v>
      </c>
      <c r="L1711" s="27" t="s">
        <v>90</v>
      </c>
      <c r="M1711" s="28" t="s">
        <v>91</v>
      </c>
      <c r="N1711" s="33" t="s">
        <v>75</v>
      </c>
      <c r="O1711" s="34" t="s">
        <v>92</v>
      </c>
      <c r="P1711" s="34" t="s">
        <v>93</v>
      </c>
      <c r="Q1711" s="35" t="s">
        <v>78</v>
      </c>
      <c r="R1711" s="35" t="s">
        <v>79</v>
      </c>
      <c r="S1711" s="35" t="s">
        <v>61</v>
      </c>
      <c r="T1711" s="35" t="s">
        <v>62</v>
      </c>
      <c r="U1711" s="36" t="s">
        <v>80</v>
      </c>
    </row>
    <row r="1712" spans="1:21" ht="15.75" customHeight="1" x14ac:dyDescent="0.25">
      <c r="A1712" s="9" t="s">
        <v>10007</v>
      </c>
      <c r="B1712" s="10" t="s">
        <v>10008</v>
      </c>
      <c r="C1712" s="11" t="s">
        <v>10009</v>
      </c>
      <c r="D1712" s="12" t="s">
        <v>10010</v>
      </c>
      <c r="E1712" s="11" t="s">
        <v>98</v>
      </c>
      <c r="F1712" s="11" t="s">
        <v>10011</v>
      </c>
      <c r="G1712" s="20" t="s">
        <v>119</v>
      </c>
      <c r="H1712" s="11" t="s">
        <v>100</v>
      </c>
      <c r="I1712" s="15" t="s">
        <v>10012</v>
      </c>
      <c r="J1712" s="10" t="s">
        <v>10013</v>
      </c>
      <c r="K1712" s="11" t="s">
        <v>4462</v>
      </c>
      <c r="L1712" s="9" t="s">
        <v>481</v>
      </c>
      <c r="M1712" s="10" t="s">
        <v>482</v>
      </c>
      <c r="N1712" s="16" t="s">
        <v>75</v>
      </c>
      <c r="O1712" s="17" t="s">
        <v>1663</v>
      </c>
      <c r="P1712" s="17" t="s">
        <v>1664</v>
      </c>
      <c r="Q1712" s="18" t="s">
        <v>78</v>
      </c>
      <c r="R1712" s="18" t="s">
        <v>79</v>
      </c>
      <c r="S1712" s="18" t="s">
        <v>61</v>
      </c>
      <c r="T1712" s="18" t="s">
        <v>62</v>
      </c>
      <c r="U1712" s="19" t="s">
        <v>80</v>
      </c>
    </row>
    <row r="1713" spans="1:21" ht="15.75" customHeight="1" x14ac:dyDescent="0.25">
      <c r="A1713" s="27" t="s">
        <v>10014</v>
      </c>
      <c r="B1713" s="28" t="s">
        <v>10015</v>
      </c>
      <c r="C1713" s="29" t="s">
        <v>10016</v>
      </c>
      <c r="D1713" s="30" t="s">
        <v>2902</v>
      </c>
      <c r="E1713" s="29" t="s">
        <v>1264</v>
      </c>
      <c r="F1713" s="29"/>
      <c r="G1713" s="26" t="s">
        <v>119</v>
      </c>
      <c r="H1713" s="29" t="s">
        <v>100</v>
      </c>
      <c r="I1713" s="32" t="s">
        <v>10017</v>
      </c>
      <c r="J1713" s="28" t="s">
        <v>10018</v>
      </c>
      <c r="K1713" s="29" t="s">
        <v>2905</v>
      </c>
      <c r="L1713" s="27" t="s">
        <v>1203</v>
      </c>
      <c r="M1713" s="28" t="s">
        <v>1204</v>
      </c>
      <c r="N1713" s="33" t="s">
        <v>75</v>
      </c>
      <c r="O1713" s="34" t="s">
        <v>467</v>
      </c>
      <c r="P1713" s="34" t="s">
        <v>468</v>
      </c>
      <c r="Q1713" s="35" t="s">
        <v>78</v>
      </c>
      <c r="R1713" s="35" t="s">
        <v>79</v>
      </c>
      <c r="S1713" s="35" t="s">
        <v>61</v>
      </c>
      <c r="T1713" s="35" t="s">
        <v>62</v>
      </c>
      <c r="U1713" s="36" t="s">
        <v>80</v>
      </c>
    </row>
  </sheetData>
  <hyperlinks>
    <hyperlink ref="Q2" r:id="rId1" xr:uid="{00000000-0004-0000-0100-000000000000}"/>
    <hyperlink ref="R2" r:id="rId2" xr:uid="{00000000-0004-0000-0100-000001000000}"/>
    <hyperlink ref="S2" r:id="rId3" xr:uid="{00000000-0004-0000-0100-000002000000}"/>
    <hyperlink ref="T2" r:id="rId4" xr:uid="{00000000-0004-0000-0100-000003000000}"/>
    <hyperlink ref="Q3" r:id="rId5" xr:uid="{00000000-0004-0000-0100-000004000000}"/>
    <hyperlink ref="R3" r:id="rId6" xr:uid="{00000000-0004-0000-0100-000005000000}"/>
    <hyperlink ref="S3" r:id="rId7" xr:uid="{00000000-0004-0000-0100-000006000000}"/>
    <hyperlink ref="T3" r:id="rId8" xr:uid="{00000000-0004-0000-0100-000007000000}"/>
    <hyperlink ref="Q4" r:id="rId9" xr:uid="{00000000-0004-0000-0100-000008000000}"/>
    <hyperlink ref="R4" r:id="rId10" xr:uid="{00000000-0004-0000-0100-000009000000}"/>
    <hyperlink ref="S4" r:id="rId11" xr:uid="{00000000-0004-0000-0100-00000A000000}"/>
    <hyperlink ref="T4" r:id="rId12" xr:uid="{00000000-0004-0000-0100-00000B000000}"/>
    <hyperlink ref="Q5" r:id="rId13" xr:uid="{00000000-0004-0000-0100-00000C000000}"/>
    <hyperlink ref="R5" r:id="rId14" xr:uid="{00000000-0004-0000-0100-00000D000000}"/>
    <hyperlink ref="S5" r:id="rId15" xr:uid="{00000000-0004-0000-0100-00000E000000}"/>
    <hyperlink ref="T5" r:id="rId16" xr:uid="{00000000-0004-0000-0100-00000F000000}"/>
    <hyperlink ref="Q6" r:id="rId17" xr:uid="{00000000-0004-0000-0100-000010000000}"/>
    <hyperlink ref="R6" r:id="rId18" xr:uid="{00000000-0004-0000-0100-000011000000}"/>
    <hyperlink ref="S6" r:id="rId19" xr:uid="{00000000-0004-0000-0100-000012000000}"/>
    <hyperlink ref="T6" r:id="rId20" xr:uid="{00000000-0004-0000-0100-000013000000}"/>
    <hyperlink ref="Q7" r:id="rId21" xr:uid="{00000000-0004-0000-0100-000014000000}"/>
    <hyperlink ref="R7" r:id="rId22" xr:uid="{00000000-0004-0000-0100-000015000000}"/>
    <hyperlink ref="S7" r:id="rId23" xr:uid="{00000000-0004-0000-0100-000016000000}"/>
    <hyperlink ref="T7" r:id="rId24" xr:uid="{00000000-0004-0000-0100-000017000000}"/>
    <hyperlink ref="Q8" r:id="rId25" xr:uid="{00000000-0004-0000-0100-000018000000}"/>
    <hyperlink ref="R8" r:id="rId26" xr:uid="{00000000-0004-0000-0100-000019000000}"/>
    <hyperlink ref="S8" r:id="rId27" xr:uid="{00000000-0004-0000-0100-00001A000000}"/>
    <hyperlink ref="T8" r:id="rId28" xr:uid="{00000000-0004-0000-0100-00001B000000}"/>
    <hyperlink ref="Q9" r:id="rId29" xr:uid="{00000000-0004-0000-0100-00001C000000}"/>
    <hyperlink ref="R9" r:id="rId30" xr:uid="{00000000-0004-0000-0100-00001D000000}"/>
    <hyperlink ref="S9" r:id="rId31" xr:uid="{00000000-0004-0000-0100-00001E000000}"/>
    <hyperlink ref="T9" r:id="rId32" xr:uid="{00000000-0004-0000-0100-00001F000000}"/>
    <hyperlink ref="Q10" r:id="rId33" xr:uid="{00000000-0004-0000-0100-000020000000}"/>
    <hyperlink ref="R10" r:id="rId34" xr:uid="{00000000-0004-0000-0100-000021000000}"/>
    <hyperlink ref="S10" r:id="rId35" xr:uid="{00000000-0004-0000-0100-000022000000}"/>
    <hyperlink ref="T10" r:id="rId36" xr:uid="{00000000-0004-0000-0100-000023000000}"/>
    <hyperlink ref="Q11" r:id="rId37" xr:uid="{00000000-0004-0000-0100-000024000000}"/>
    <hyperlink ref="R11" r:id="rId38" xr:uid="{00000000-0004-0000-0100-000025000000}"/>
    <hyperlink ref="S11" r:id="rId39" xr:uid="{00000000-0004-0000-0100-000026000000}"/>
    <hyperlink ref="T11" r:id="rId40" xr:uid="{00000000-0004-0000-0100-000027000000}"/>
    <hyperlink ref="Q12" r:id="rId41" xr:uid="{00000000-0004-0000-0100-000028000000}"/>
    <hyperlink ref="R12" r:id="rId42" xr:uid="{00000000-0004-0000-0100-000029000000}"/>
    <hyperlink ref="S12" r:id="rId43" xr:uid="{00000000-0004-0000-0100-00002A000000}"/>
    <hyperlink ref="T12" r:id="rId44" xr:uid="{00000000-0004-0000-0100-00002B000000}"/>
    <hyperlink ref="Q13" r:id="rId45" xr:uid="{00000000-0004-0000-0100-00002C000000}"/>
    <hyperlink ref="R13" r:id="rId46" xr:uid="{00000000-0004-0000-0100-00002D000000}"/>
    <hyperlink ref="S13" r:id="rId47" xr:uid="{00000000-0004-0000-0100-00002E000000}"/>
    <hyperlink ref="T13" r:id="rId48" xr:uid="{00000000-0004-0000-0100-00002F000000}"/>
    <hyperlink ref="Q14" r:id="rId49" xr:uid="{00000000-0004-0000-0100-000030000000}"/>
    <hyperlink ref="R14" r:id="rId50" xr:uid="{00000000-0004-0000-0100-000031000000}"/>
    <hyperlink ref="S14" r:id="rId51" xr:uid="{00000000-0004-0000-0100-000032000000}"/>
    <hyperlink ref="T14" r:id="rId52" xr:uid="{00000000-0004-0000-0100-000033000000}"/>
    <hyperlink ref="Q15" r:id="rId53" xr:uid="{00000000-0004-0000-0100-000034000000}"/>
    <hyperlink ref="R15" r:id="rId54" xr:uid="{00000000-0004-0000-0100-000035000000}"/>
    <hyperlink ref="S15" r:id="rId55" xr:uid="{00000000-0004-0000-0100-000036000000}"/>
    <hyperlink ref="T15" r:id="rId56" xr:uid="{00000000-0004-0000-0100-000037000000}"/>
    <hyperlink ref="Q16" r:id="rId57" xr:uid="{00000000-0004-0000-0100-000038000000}"/>
    <hyperlink ref="R16" r:id="rId58" xr:uid="{00000000-0004-0000-0100-000039000000}"/>
    <hyperlink ref="S16" r:id="rId59" xr:uid="{00000000-0004-0000-0100-00003A000000}"/>
    <hyperlink ref="T16" r:id="rId60" xr:uid="{00000000-0004-0000-0100-00003B000000}"/>
    <hyperlink ref="Q17" r:id="rId61" xr:uid="{00000000-0004-0000-0100-00003C000000}"/>
    <hyperlink ref="R17" r:id="rId62" xr:uid="{00000000-0004-0000-0100-00003D000000}"/>
    <hyperlink ref="S17" r:id="rId63" xr:uid="{00000000-0004-0000-0100-00003E000000}"/>
    <hyperlink ref="T17" r:id="rId64" xr:uid="{00000000-0004-0000-0100-00003F000000}"/>
    <hyperlink ref="Q18" r:id="rId65" xr:uid="{00000000-0004-0000-0100-000040000000}"/>
    <hyperlink ref="R18" r:id="rId66" xr:uid="{00000000-0004-0000-0100-000041000000}"/>
    <hyperlink ref="S18" r:id="rId67" xr:uid="{00000000-0004-0000-0100-000042000000}"/>
    <hyperlink ref="T18" r:id="rId68" xr:uid="{00000000-0004-0000-0100-000043000000}"/>
    <hyperlink ref="Q19" r:id="rId69" xr:uid="{00000000-0004-0000-0100-000044000000}"/>
    <hyperlink ref="R19" r:id="rId70" xr:uid="{00000000-0004-0000-0100-000045000000}"/>
    <hyperlink ref="S19" r:id="rId71" xr:uid="{00000000-0004-0000-0100-000046000000}"/>
    <hyperlink ref="T19" r:id="rId72" xr:uid="{00000000-0004-0000-0100-000047000000}"/>
    <hyperlink ref="Q20" r:id="rId73" xr:uid="{00000000-0004-0000-0100-000048000000}"/>
    <hyperlink ref="R20" r:id="rId74" xr:uid="{00000000-0004-0000-0100-000049000000}"/>
    <hyperlink ref="S20" r:id="rId75" xr:uid="{00000000-0004-0000-0100-00004A000000}"/>
    <hyperlink ref="T20" r:id="rId76" xr:uid="{00000000-0004-0000-0100-00004B000000}"/>
    <hyperlink ref="Q21" r:id="rId77" xr:uid="{00000000-0004-0000-0100-00004C000000}"/>
    <hyperlink ref="R21" r:id="rId78" xr:uid="{00000000-0004-0000-0100-00004D000000}"/>
    <hyperlink ref="S21" r:id="rId79" xr:uid="{00000000-0004-0000-0100-00004E000000}"/>
    <hyperlink ref="T21" r:id="rId80" xr:uid="{00000000-0004-0000-0100-00004F000000}"/>
    <hyperlink ref="Q22" r:id="rId81" xr:uid="{00000000-0004-0000-0100-000050000000}"/>
    <hyperlink ref="R22" r:id="rId82" xr:uid="{00000000-0004-0000-0100-000051000000}"/>
    <hyperlink ref="S22" r:id="rId83" xr:uid="{00000000-0004-0000-0100-000052000000}"/>
    <hyperlink ref="T22" r:id="rId84" xr:uid="{00000000-0004-0000-0100-000053000000}"/>
    <hyperlink ref="Q23" r:id="rId85" xr:uid="{00000000-0004-0000-0100-000054000000}"/>
    <hyperlink ref="R23" r:id="rId86" xr:uid="{00000000-0004-0000-0100-000055000000}"/>
    <hyperlink ref="S23" r:id="rId87" xr:uid="{00000000-0004-0000-0100-000056000000}"/>
    <hyperlink ref="T23" r:id="rId88" xr:uid="{00000000-0004-0000-0100-000057000000}"/>
    <hyperlink ref="Q24" r:id="rId89" xr:uid="{00000000-0004-0000-0100-000058000000}"/>
    <hyperlink ref="R24" r:id="rId90" xr:uid="{00000000-0004-0000-0100-000059000000}"/>
    <hyperlink ref="S24" r:id="rId91" xr:uid="{00000000-0004-0000-0100-00005A000000}"/>
    <hyperlink ref="T24" r:id="rId92" xr:uid="{00000000-0004-0000-0100-00005B000000}"/>
    <hyperlink ref="Q25" r:id="rId93" xr:uid="{00000000-0004-0000-0100-00005C000000}"/>
    <hyperlink ref="R25" r:id="rId94" xr:uid="{00000000-0004-0000-0100-00005D000000}"/>
    <hyperlink ref="S25" r:id="rId95" xr:uid="{00000000-0004-0000-0100-00005E000000}"/>
    <hyperlink ref="T25" r:id="rId96" xr:uid="{00000000-0004-0000-0100-00005F000000}"/>
    <hyperlink ref="Q26" r:id="rId97" xr:uid="{00000000-0004-0000-0100-000060000000}"/>
    <hyperlink ref="R26" r:id="rId98" xr:uid="{00000000-0004-0000-0100-000061000000}"/>
    <hyperlink ref="S26" r:id="rId99" xr:uid="{00000000-0004-0000-0100-000062000000}"/>
    <hyperlink ref="T26" r:id="rId100" xr:uid="{00000000-0004-0000-0100-000063000000}"/>
    <hyperlink ref="Q27" r:id="rId101" xr:uid="{00000000-0004-0000-0100-000064000000}"/>
    <hyperlink ref="R27" r:id="rId102" xr:uid="{00000000-0004-0000-0100-000065000000}"/>
    <hyperlink ref="S27" r:id="rId103" xr:uid="{00000000-0004-0000-0100-000066000000}"/>
    <hyperlink ref="T27" r:id="rId104" xr:uid="{00000000-0004-0000-0100-000067000000}"/>
    <hyperlink ref="Q28" r:id="rId105" xr:uid="{00000000-0004-0000-0100-000068000000}"/>
    <hyperlink ref="R28" r:id="rId106" xr:uid="{00000000-0004-0000-0100-000069000000}"/>
    <hyperlink ref="S28" r:id="rId107" xr:uid="{00000000-0004-0000-0100-00006A000000}"/>
    <hyperlink ref="T28" r:id="rId108" xr:uid="{00000000-0004-0000-0100-00006B000000}"/>
    <hyperlink ref="Q29" r:id="rId109" xr:uid="{00000000-0004-0000-0100-00006C000000}"/>
    <hyperlink ref="R29" r:id="rId110" xr:uid="{00000000-0004-0000-0100-00006D000000}"/>
    <hyperlink ref="S29" r:id="rId111" xr:uid="{00000000-0004-0000-0100-00006E000000}"/>
    <hyperlink ref="T29" r:id="rId112" xr:uid="{00000000-0004-0000-0100-00006F000000}"/>
    <hyperlink ref="Q30" r:id="rId113" xr:uid="{00000000-0004-0000-0100-000070000000}"/>
    <hyperlink ref="R30" r:id="rId114" xr:uid="{00000000-0004-0000-0100-000071000000}"/>
    <hyperlink ref="S30" r:id="rId115" xr:uid="{00000000-0004-0000-0100-000072000000}"/>
    <hyperlink ref="T30" r:id="rId116" xr:uid="{00000000-0004-0000-0100-000073000000}"/>
    <hyperlink ref="Q31" r:id="rId117" xr:uid="{00000000-0004-0000-0100-000074000000}"/>
    <hyperlink ref="R31" r:id="rId118" xr:uid="{00000000-0004-0000-0100-000075000000}"/>
    <hyperlink ref="S31" r:id="rId119" xr:uid="{00000000-0004-0000-0100-000076000000}"/>
    <hyperlink ref="T31" r:id="rId120" xr:uid="{00000000-0004-0000-0100-000077000000}"/>
    <hyperlink ref="Q32" r:id="rId121" xr:uid="{00000000-0004-0000-0100-000078000000}"/>
    <hyperlink ref="R32" r:id="rId122" xr:uid="{00000000-0004-0000-0100-000079000000}"/>
    <hyperlink ref="S32" r:id="rId123" xr:uid="{00000000-0004-0000-0100-00007A000000}"/>
    <hyperlink ref="T32" r:id="rId124" xr:uid="{00000000-0004-0000-0100-00007B000000}"/>
    <hyperlink ref="Q33" r:id="rId125" xr:uid="{00000000-0004-0000-0100-00007C000000}"/>
    <hyperlink ref="R33" r:id="rId126" xr:uid="{00000000-0004-0000-0100-00007D000000}"/>
    <hyperlink ref="S33" r:id="rId127" xr:uid="{00000000-0004-0000-0100-00007E000000}"/>
    <hyperlink ref="T33" r:id="rId128" xr:uid="{00000000-0004-0000-0100-00007F000000}"/>
    <hyperlink ref="Q34" r:id="rId129" xr:uid="{00000000-0004-0000-0100-000080000000}"/>
    <hyperlink ref="R34" r:id="rId130" xr:uid="{00000000-0004-0000-0100-000081000000}"/>
    <hyperlink ref="S34" r:id="rId131" xr:uid="{00000000-0004-0000-0100-000082000000}"/>
    <hyperlink ref="T34" r:id="rId132" xr:uid="{00000000-0004-0000-0100-000083000000}"/>
    <hyperlink ref="Q35" r:id="rId133" xr:uid="{00000000-0004-0000-0100-000084000000}"/>
    <hyperlink ref="R35" r:id="rId134" xr:uid="{00000000-0004-0000-0100-000085000000}"/>
    <hyperlink ref="S35" r:id="rId135" xr:uid="{00000000-0004-0000-0100-000086000000}"/>
    <hyperlink ref="T35" r:id="rId136" xr:uid="{00000000-0004-0000-0100-000087000000}"/>
    <hyperlink ref="Q36" r:id="rId137" xr:uid="{00000000-0004-0000-0100-000088000000}"/>
    <hyperlink ref="R36" r:id="rId138" xr:uid="{00000000-0004-0000-0100-000089000000}"/>
    <hyperlink ref="S36" r:id="rId139" xr:uid="{00000000-0004-0000-0100-00008A000000}"/>
    <hyperlink ref="T36" r:id="rId140" xr:uid="{00000000-0004-0000-0100-00008B000000}"/>
    <hyperlink ref="Q37" r:id="rId141" xr:uid="{00000000-0004-0000-0100-00008C000000}"/>
    <hyperlink ref="R37" r:id="rId142" xr:uid="{00000000-0004-0000-0100-00008D000000}"/>
    <hyperlink ref="S37" r:id="rId143" xr:uid="{00000000-0004-0000-0100-00008E000000}"/>
    <hyperlink ref="T37" r:id="rId144" xr:uid="{00000000-0004-0000-0100-00008F000000}"/>
    <hyperlink ref="Q38" r:id="rId145" xr:uid="{00000000-0004-0000-0100-000090000000}"/>
    <hyperlink ref="R38" r:id="rId146" xr:uid="{00000000-0004-0000-0100-000091000000}"/>
    <hyperlink ref="S38" r:id="rId147" xr:uid="{00000000-0004-0000-0100-000092000000}"/>
    <hyperlink ref="T38" r:id="rId148" xr:uid="{00000000-0004-0000-0100-000093000000}"/>
    <hyperlink ref="Q39" r:id="rId149" xr:uid="{00000000-0004-0000-0100-000094000000}"/>
    <hyperlink ref="R39" r:id="rId150" xr:uid="{00000000-0004-0000-0100-000095000000}"/>
    <hyperlink ref="S39" r:id="rId151" xr:uid="{00000000-0004-0000-0100-000096000000}"/>
    <hyperlink ref="T39" r:id="rId152" xr:uid="{00000000-0004-0000-0100-000097000000}"/>
    <hyperlink ref="Q40" r:id="rId153" xr:uid="{00000000-0004-0000-0100-000098000000}"/>
    <hyperlink ref="R40" r:id="rId154" xr:uid="{00000000-0004-0000-0100-000099000000}"/>
    <hyperlink ref="S40" r:id="rId155" xr:uid="{00000000-0004-0000-0100-00009A000000}"/>
    <hyperlink ref="T40" r:id="rId156" xr:uid="{00000000-0004-0000-0100-00009B000000}"/>
    <hyperlink ref="Q41" r:id="rId157" xr:uid="{00000000-0004-0000-0100-00009C000000}"/>
    <hyperlink ref="R41" r:id="rId158" xr:uid="{00000000-0004-0000-0100-00009D000000}"/>
    <hyperlink ref="S41" r:id="rId159" xr:uid="{00000000-0004-0000-0100-00009E000000}"/>
    <hyperlink ref="T41" r:id="rId160" xr:uid="{00000000-0004-0000-0100-00009F000000}"/>
    <hyperlink ref="Q42" r:id="rId161" xr:uid="{00000000-0004-0000-0100-0000A0000000}"/>
    <hyperlink ref="R42" r:id="rId162" xr:uid="{00000000-0004-0000-0100-0000A1000000}"/>
    <hyperlink ref="S42" r:id="rId163" xr:uid="{00000000-0004-0000-0100-0000A2000000}"/>
    <hyperlink ref="T42" r:id="rId164" xr:uid="{00000000-0004-0000-0100-0000A3000000}"/>
    <hyperlink ref="Q43" r:id="rId165" xr:uid="{00000000-0004-0000-0100-0000A4000000}"/>
    <hyperlink ref="R43" r:id="rId166" xr:uid="{00000000-0004-0000-0100-0000A5000000}"/>
    <hyperlink ref="S43" r:id="rId167" xr:uid="{00000000-0004-0000-0100-0000A6000000}"/>
    <hyperlink ref="T43" r:id="rId168" xr:uid="{00000000-0004-0000-0100-0000A7000000}"/>
    <hyperlink ref="Q44" r:id="rId169" xr:uid="{00000000-0004-0000-0100-0000A8000000}"/>
    <hyperlink ref="R44" r:id="rId170" xr:uid="{00000000-0004-0000-0100-0000A9000000}"/>
    <hyperlink ref="S44" r:id="rId171" xr:uid="{00000000-0004-0000-0100-0000AA000000}"/>
    <hyperlink ref="T44" r:id="rId172" xr:uid="{00000000-0004-0000-0100-0000AB000000}"/>
    <hyperlink ref="Q45" r:id="rId173" xr:uid="{00000000-0004-0000-0100-0000AC000000}"/>
    <hyperlink ref="R45" r:id="rId174" xr:uid="{00000000-0004-0000-0100-0000AD000000}"/>
    <hyperlink ref="S45" r:id="rId175" xr:uid="{00000000-0004-0000-0100-0000AE000000}"/>
    <hyperlink ref="T45" r:id="rId176" xr:uid="{00000000-0004-0000-0100-0000AF000000}"/>
    <hyperlink ref="Q46" r:id="rId177" xr:uid="{00000000-0004-0000-0100-0000B0000000}"/>
    <hyperlink ref="R46" r:id="rId178" xr:uid="{00000000-0004-0000-0100-0000B1000000}"/>
    <hyperlink ref="S46" r:id="rId179" xr:uid="{00000000-0004-0000-0100-0000B2000000}"/>
    <hyperlink ref="T46" r:id="rId180" xr:uid="{00000000-0004-0000-0100-0000B3000000}"/>
    <hyperlink ref="Q47" r:id="rId181" xr:uid="{00000000-0004-0000-0100-0000B4000000}"/>
    <hyperlink ref="R47" r:id="rId182" xr:uid="{00000000-0004-0000-0100-0000B5000000}"/>
    <hyperlink ref="S47" r:id="rId183" xr:uid="{00000000-0004-0000-0100-0000B6000000}"/>
    <hyperlink ref="T47" r:id="rId184" xr:uid="{00000000-0004-0000-0100-0000B7000000}"/>
    <hyperlink ref="Q48" r:id="rId185" xr:uid="{00000000-0004-0000-0100-0000B8000000}"/>
    <hyperlink ref="R48" r:id="rId186" xr:uid="{00000000-0004-0000-0100-0000B9000000}"/>
    <hyperlink ref="S48" r:id="rId187" xr:uid="{00000000-0004-0000-0100-0000BA000000}"/>
    <hyperlink ref="T48" r:id="rId188" xr:uid="{00000000-0004-0000-0100-0000BB000000}"/>
    <hyperlink ref="Q49" r:id="rId189" xr:uid="{00000000-0004-0000-0100-0000BC000000}"/>
    <hyperlink ref="R49" r:id="rId190" xr:uid="{00000000-0004-0000-0100-0000BD000000}"/>
    <hyperlink ref="S49" r:id="rId191" xr:uid="{00000000-0004-0000-0100-0000BE000000}"/>
    <hyperlink ref="T49" r:id="rId192" xr:uid="{00000000-0004-0000-0100-0000BF000000}"/>
    <hyperlink ref="Q50" r:id="rId193" xr:uid="{00000000-0004-0000-0100-0000C0000000}"/>
    <hyperlink ref="R50" r:id="rId194" xr:uid="{00000000-0004-0000-0100-0000C1000000}"/>
    <hyperlink ref="S50" r:id="rId195" xr:uid="{00000000-0004-0000-0100-0000C2000000}"/>
    <hyperlink ref="T50" r:id="rId196" xr:uid="{00000000-0004-0000-0100-0000C3000000}"/>
    <hyperlink ref="Q51" r:id="rId197" xr:uid="{00000000-0004-0000-0100-0000C4000000}"/>
    <hyperlink ref="R51" r:id="rId198" xr:uid="{00000000-0004-0000-0100-0000C5000000}"/>
    <hyperlink ref="S51" r:id="rId199" xr:uid="{00000000-0004-0000-0100-0000C6000000}"/>
    <hyperlink ref="T51" r:id="rId200" xr:uid="{00000000-0004-0000-0100-0000C7000000}"/>
    <hyperlink ref="Q52" r:id="rId201" xr:uid="{00000000-0004-0000-0100-0000C8000000}"/>
    <hyperlink ref="R52" r:id="rId202" xr:uid="{00000000-0004-0000-0100-0000C9000000}"/>
    <hyperlink ref="S52" r:id="rId203" xr:uid="{00000000-0004-0000-0100-0000CA000000}"/>
    <hyperlink ref="T52" r:id="rId204" xr:uid="{00000000-0004-0000-0100-0000CB000000}"/>
    <hyperlink ref="Q53" r:id="rId205" xr:uid="{00000000-0004-0000-0100-0000CC000000}"/>
    <hyperlink ref="R53" r:id="rId206" xr:uid="{00000000-0004-0000-0100-0000CD000000}"/>
    <hyperlink ref="S53" r:id="rId207" xr:uid="{00000000-0004-0000-0100-0000CE000000}"/>
    <hyperlink ref="T53" r:id="rId208" xr:uid="{00000000-0004-0000-0100-0000CF000000}"/>
    <hyperlink ref="Q54" r:id="rId209" xr:uid="{00000000-0004-0000-0100-0000D0000000}"/>
    <hyperlink ref="R54" r:id="rId210" xr:uid="{00000000-0004-0000-0100-0000D1000000}"/>
    <hyperlink ref="S54" r:id="rId211" xr:uid="{00000000-0004-0000-0100-0000D2000000}"/>
    <hyperlink ref="T54" r:id="rId212" xr:uid="{00000000-0004-0000-0100-0000D3000000}"/>
    <hyperlink ref="Q55" r:id="rId213" xr:uid="{00000000-0004-0000-0100-0000D4000000}"/>
    <hyperlink ref="R55" r:id="rId214" xr:uid="{00000000-0004-0000-0100-0000D5000000}"/>
    <hyperlink ref="S55" r:id="rId215" xr:uid="{00000000-0004-0000-0100-0000D6000000}"/>
    <hyperlink ref="T55" r:id="rId216" xr:uid="{00000000-0004-0000-0100-0000D7000000}"/>
    <hyperlink ref="Q56" r:id="rId217" xr:uid="{00000000-0004-0000-0100-0000D8000000}"/>
    <hyperlink ref="R56" r:id="rId218" xr:uid="{00000000-0004-0000-0100-0000D9000000}"/>
    <hyperlink ref="S56" r:id="rId219" xr:uid="{00000000-0004-0000-0100-0000DA000000}"/>
    <hyperlink ref="T56" r:id="rId220" xr:uid="{00000000-0004-0000-0100-0000DB000000}"/>
    <hyperlink ref="Q57" r:id="rId221" xr:uid="{00000000-0004-0000-0100-0000DC000000}"/>
    <hyperlink ref="R57" r:id="rId222" xr:uid="{00000000-0004-0000-0100-0000DD000000}"/>
    <hyperlink ref="S57" r:id="rId223" xr:uid="{00000000-0004-0000-0100-0000DE000000}"/>
    <hyperlink ref="T57" r:id="rId224" xr:uid="{00000000-0004-0000-0100-0000DF000000}"/>
    <hyperlink ref="Q58" r:id="rId225" xr:uid="{00000000-0004-0000-0100-0000E0000000}"/>
    <hyperlink ref="R58" r:id="rId226" xr:uid="{00000000-0004-0000-0100-0000E1000000}"/>
    <hyperlink ref="S58" r:id="rId227" xr:uid="{00000000-0004-0000-0100-0000E2000000}"/>
    <hyperlink ref="T58" r:id="rId228" xr:uid="{00000000-0004-0000-0100-0000E3000000}"/>
    <hyperlink ref="Q59" r:id="rId229" xr:uid="{00000000-0004-0000-0100-0000E4000000}"/>
    <hyperlink ref="R59" r:id="rId230" xr:uid="{00000000-0004-0000-0100-0000E5000000}"/>
    <hyperlink ref="S59" r:id="rId231" xr:uid="{00000000-0004-0000-0100-0000E6000000}"/>
    <hyperlink ref="T59" r:id="rId232" xr:uid="{00000000-0004-0000-0100-0000E7000000}"/>
    <hyperlink ref="Q60" r:id="rId233" xr:uid="{00000000-0004-0000-0100-0000E8000000}"/>
    <hyperlink ref="R60" r:id="rId234" xr:uid="{00000000-0004-0000-0100-0000E9000000}"/>
    <hyperlink ref="S60" r:id="rId235" xr:uid="{00000000-0004-0000-0100-0000EA000000}"/>
    <hyperlink ref="T60" r:id="rId236" xr:uid="{00000000-0004-0000-0100-0000EB000000}"/>
    <hyperlink ref="Q61" r:id="rId237" xr:uid="{00000000-0004-0000-0100-0000EC000000}"/>
    <hyperlink ref="R61" r:id="rId238" xr:uid="{00000000-0004-0000-0100-0000ED000000}"/>
    <hyperlink ref="S61" r:id="rId239" xr:uid="{00000000-0004-0000-0100-0000EE000000}"/>
    <hyperlink ref="T61" r:id="rId240" xr:uid="{00000000-0004-0000-0100-0000EF000000}"/>
    <hyperlink ref="Q62" r:id="rId241" xr:uid="{00000000-0004-0000-0100-0000F0000000}"/>
    <hyperlink ref="R62" r:id="rId242" xr:uid="{00000000-0004-0000-0100-0000F1000000}"/>
    <hyperlink ref="S62" r:id="rId243" xr:uid="{00000000-0004-0000-0100-0000F2000000}"/>
    <hyperlink ref="T62" r:id="rId244" xr:uid="{00000000-0004-0000-0100-0000F3000000}"/>
    <hyperlink ref="Q63" r:id="rId245" xr:uid="{00000000-0004-0000-0100-0000F4000000}"/>
    <hyperlink ref="R63" r:id="rId246" xr:uid="{00000000-0004-0000-0100-0000F5000000}"/>
    <hyperlink ref="S63" r:id="rId247" xr:uid="{00000000-0004-0000-0100-0000F6000000}"/>
    <hyperlink ref="T63" r:id="rId248" xr:uid="{00000000-0004-0000-0100-0000F7000000}"/>
    <hyperlink ref="Q64" r:id="rId249" xr:uid="{00000000-0004-0000-0100-0000F8000000}"/>
    <hyperlink ref="R64" r:id="rId250" xr:uid="{00000000-0004-0000-0100-0000F9000000}"/>
    <hyperlink ref="S64" r:id="rId251" xr:uid="{00000000-0004-0000-0100-0000FA000000}"/>
    <hyperlink ref="T64" r:id="rId252" xr:uid="{00000000-0004-0000-0100-0000FB000000}"/>
    <hyperlink ref="Q65" r:id="rId253" xr:uid="{00000000-0004-0000-0100-0000FC000000}"/>
    <hyperlink ref="R65" r:id="rId254" xr:uid="{00000000-0004-0000-0100-0000FD000000}"/>
    <hyperlink ref="S65" r:id="rId255" xr:uid="{00000000-0004-0000-0100-0000FE000000}"/>
    <hyperlink ref="T65" r:id="rId256" xr:uid="{00000000-0004-0000-0100-0000FF000000}"/>
    <hyperlink ref="Q66" r:id="rId257" xr:uid="{00000000-0004-0000-0100-000000010000}"/>
    <hyperlink ref="R66" r:id="rId258" xr:uid="{00000000-0004-0000-0100-000001010000}"/>
    <hyperlink ref="S66" r:id="rId259" xr:uid="{00000000-0004-0000-0100-000002010000}"/>
    <hyperlink ref="T66" r:id="rId260" xr:uid="{00000000-0004-0000-0100-000003010000}"/>
    <hyperlink ref="Q67" r:id="rId261" xr:uid="{00000000-0004-0000-0100-000004010000}"/>
    <hyperlink ref="R67" r:id="rId262" xr:uid="{00000000-0004-0000-0100-000005010000}"/>
    <hyperlink ref="S67" r:id="rId263" xr:uid="{00000000-0004-0000-0100-000006010000}"/>
    <hyperlink ref="T67" r:id="rId264" xr:uid="{00000000-0004-0000-0100-000007010000}"/>
    <hyperlink ref="Q68" r:id="rId265" xr:uid="{00000000-0004-0000-0100-000008010000}"/>
    <hyperlink ref="R68" r:id="rId266" xr:uid="{00000000-0004-0000-0100-000009010000}"/>
    <hyperlink ref="S68" r:id="rId267" xr:uid="{00000000-0004-0000-0100-00000A010000}"/>
    <hyperlink ref="T68" r:id="rId268" xr:uid="{00000000-0004-0000-0100-00000B010000}"/>
    <hyperlink ref="Q69" r:id="rId269" xr:uid="{00000000-0004-0000-0100-00000C010000}"/>
    <hyperlink ref="R69" r:id="rId270" xr:uid="{00000000-0004-0000-0100-00000D010000}"/>
    <hyperlink ref="S69" r:id="rId271" xr:uid="{00000000-0004-0000-0100-00000E010000}"/>
    <hyperlink ref="T69" r:id="rId272" xr:uid="{00000000-0004-0000-0100-00000F010000}"/>
    <hyperlink ref="Q70" r:id="rId273" xr:uid="{00000000-0004-0000-0100-000010010000}"/>
    <hyperlink ref="R70" r:id="rId274" xr:uid="{00000000-0004-0000-0100-000011010000}"/>
    <hyperlink ref="S70" r:id="rId275" xr:uid="{00000000-0004-0000-0100-000012010000}"/>
    <hyperlink ref="T70" r:id="rId276" xr:uid="{00000000-0004-0000-0100-000013010000}"/>
    <hyperlink ref="Q71" r:id="rId277" xr:uid="{00000000-0004-0000-0100-000014010000}"/>
    <hyperlink ref="R71" r:id="rId278" xr:uid="{00000000-0004-0000-0100-000015010000}"/>
    <hyperlink ref="S71" r:id="rId279" xr:uid="{00000000-0004-0000-0100-000016010000}"/>
    <hyperlink ref="T71" r:id="rId280" xr:uid="{00000000-0004-0000-0100-000017010000}"/>
    <hyperlink ref="Q72" r:id="rId281" xr:uid="{00000000-0004-0000-0100-000018010000}"/>
    <hyperlink ref="R72" r:id="rId282" xr:uid="{00000000-0004-0000-0100-000019010000}"/>
    <hyperlink ref="S72" r:id="rId283" xr:uid="{00000000-0004-0000-0100-00001A010000}"/>
    <hyperlink ref="T72" r:id="rId284" xr:uid="{00000000-0004-0000-0100-00001B010000}"/>
    <hyperlink ref="Q73" r:id="rId285" xr:uid="{00000000-0004-0000-0100-00001C010000}"/>
    <hyperlink ref="R73" r:id="rId286" xr:uid="{00000000-0004-0000-0100-00001D010000}"/>
    <hyperlink ref="S73" r:id="rId287" xr:uid="{00000000-0004-0000-0100-00001E010000}"/>
    <hyperlink ref="T73" r:id="rId288" xr:uid="{00000000-0004-0000-0100-00001F010000}"/>
    <hyperlink ref="Q74" r:id="rId289" xr:uid="{00000000-0004-0000-0100-000020010000}"/>
    <hyperlink ref="R74" r:id="rId290" xr:uid="{00000000-0004-0000-0100-000021010000}"/>
    <hyperlink ref="S74" r:id="rId291" xr:uid="{00000000-0004-0000-0100-000022010000}"/>
    <hyperlink ref="T74" r:id="rId292" xr:uid="{00000000-0004-0000-0100-000023010000}"/>
    <hyperlink ref="Q75" r:id="rId293" xr:uid="{00000000-0004-0000-0100-000024010000}"/>
    <hyperlink ref="R75" r:id="rId294" xr:uid="{00000000-0004-0000-0100-000025010000}"/>
    <hyperlink ref="S75" r:id="rId295" xr:uid="{00000000-0004-0000-0100-000026010000}"/>
    <hyperlink ref="T75" r:id="rId296" xr:uid="{00000000-0004-0000-0100-000027010000}"/>
    <hyperlink ref="Q76" r:id="rId297" xr:uid="{00000000-0004-0000-0100-000028010000}"/>
    <hyperlink ref="R76" r:id="rId298" xr:uid="{00000000-0004-0000-0100-000029010000}"/>
    <hyperlink ref="S76" r:id="rId299" xr:uid="{00000000-0004-0000-0100-00002A010000}"/>
    <hyperlink ref="T76" r:id="rId300" xr:uid="{00000000-0004-0000-0100-00002B010000}"/>
    <hyperlink ref="Q77" r:id="rId301" xr:uid="{00000000-0004-0000-0100-00002C010000}"/>
    <hyperlink ref="R77" r:id="rId302" xr:uid="{00000000-0004-0000-0100-00002D010000}"/>
    <hyperlink ref="S77" r:id="rId303" xr:uid="{00000000-0004-0000-0100-00002E010000}"/>
    <hyperlink ref="T77" r:id="rId304" xr:uid="{00000000-0004-0000-0100-00002F010000}"/>
    <hyperlink ref="Q78" r:id="rId305" xr:uid="{00000000-0004-0000-0100-000030010000}"/>
    <hyperlink ref="R78" r:id="rId306" xr:uid="{00000000-0004-0000-0100-000031010000}"/>
    <hyperlink ref="S78" r:id="rId307" xr:uid="{00000000-0004-0000-0100-000032010000}"/>
    <hyperlink ref="T78" r:id="rId308" xr:uid="{00000000-0004-0000-0100-000033010000}"/>
    <hyperlink ref="Q79" r:id="rId309" xr:uid="{00000000-0004-0000-0100-000034010000}"/>
    <hyperlink ref="R79" r:id="rId310" xr:uid="{00000000-0004-0000-0100-000035010000}"/>
    <hyperlink ref="S79" r:id="rId311" xr:uid="{00000000-0004-0000-0100-000036010000}"/>
    <hyperlink ref="T79" r:id="rId312" xr:uid="{00000000-0004-0000-0100-000037010000}"/>
    <hyperlink ref="Q80" r:id="rId313" xr:uid="{00000000-0004-0000-0100-000038010000}"/>
    <hyperlink ref="R80" r:id="rId314" xr:uid="{00000000-0004-0000-0100-000039010000}"/>
    <hyperlink ref="S80" r:id="rId315" xr:uid="{00000000-0004-0000-0100-00003A010000}"/>
    <hyperlink ref="T80" r:id="rId316" xr:uid="{00000000-0004-0000-0100-00003B010000}"/>
    <hyperlink ref="Q81" r:id="rId317" xr:uid="{00000000-0004-0000-0100-00003C010000}"/>
    <hyperlink ref="R81" r:id="rId318" xr:uid="{00000000-0004-0000-0100-00003D010000}"/>
    <hyperlink ref="S81" r:id="rId319" xr:uid="{00000000-0004-0000-0100-00003E010000}"/>
    <hyperlink ref="T81" r:id="rId320" xr:uid="{00000000-0004-0000-0100-00003F010000}"/>
    <hyperlink ref="Q82" r:id="rId321" xr:uid="{00000000-0004-0000-0100-000040010000}"/>
    <hyperlink ref="R82" r:id="rId322" xr:uid="{00000000-0004-0000-0100-000041010000}"/>
    <hyperlink ref="S82" r:id="rId323" xr:uid="{00000000-0004-0000-0100-000042010000}"/>
    <hyperlink ref="T82" r:id="rId324" xr:uid="{00000000-0004-0000-0100-000043010000}"/>
    <hyperlink ref="Q83" r:id="rId325" xr:uid="{00000000-0004-0000-0100-000044010000}"/>
    <hyperlink ref="R83" r:id="rId326" xr:uid="{00000000-0004-0000-0100-000045010000}"/>
    <hyperlink ref="S83" r:id="rId327" xr:uid="{00000000-0004-0000-0100-000046010000}"/>
    <hyperlink ref="T83" r:id="rId328" xr:uid="{00000000-0004-0000-0100-000047010000}"/>
    <hyperlink ref="Q84" r:id="rId329" xr:uid="{00000000-0004-0000-0100-000048010000}"/>
    <hyperlink ref="R84" r:id="rId330" xr:uid="{00000000-0004-0000-0100-000049010000}"/>
    <hyperlink ref="S84" r:id="rId331" xr:uid="{00000000-0004-0000-0100-00004A010000}"/>
    <hyperlink ref="T84" r:id="rId332" xr:uid="{00000000-0004-0000-0100-00004B010000}"/>
    <hyperlink ref="Q85" r:id="rId333" xr:uid="{00000000-0004-0000-0100-00004C010000}"/>
    <hyperlink ref="R85" r:id="rId334" xr:uid="{00000000-0004-0000-0100-00004D010000}"/>
    <hyperlink ref="S85" r:id="rId335" xr:uid="{00000000-0004-0000-0100-00004E010000}"/>
    <hyperlink ref="T85" r:id="rId336" xr:uid="{00000000-0004-0000-0100-00004F010000}"/>
    <hyperlink ref="Q86" r:id="rId337" xr:uid="{00000000-0004-0000-0100-000050010000}"/>
    <hyperlink ref="R86" r:id="rId338" xr:uid="{00000000-0004-0000-0100-000051010000}"/>
    <hyperlink ref="S86" r:id="rId339" xr:uid="{00000000-0004-0000-0100-000052010000}"/>
    <hyperlink ref="T86" r:id="rId340" xr:uid="{00000000-0004-0000-0100-000053010000}"/>
    <hyperlink ref="Q87" r:id="rId341" xr:uid="{00000000-0004-0000-0100-000054010000}"/>
    <hyperlink ref="R87" r:id="rId342" xr:uid="{00000000-0004-0000-0100-000055010000}"/>
    <hyperlink ref="S87" r:id="rId343" xr:uid="{00000000-0004-0000-0100-000056010000}"/>
    <hyperlink ref="T87" r:id="rId344" xr:uid="{00000000-0004-0000-0100-000057010000}"/>
    <hyperlink ref="Q88" r:id="rId345" xr:uid="{00000000-0004-0000-0100-000058010000}"/>
    <hyperlink ref="R88" r:id="rId346" xr:uid="{00000000-0004-0000-0100-000059010000}"/>
    <hyperlink ref="S88" r:id="rId347" xr:uid="{00000000-0004-0000-0100-00005A010000}"/>
    <hyperlink ref="T88" r:id="rId348" xr:uid="{00000000-0004-0000-0100-00005B010000}"/>
    <hyperlink ref="Q89" r:id="rId349" xr:uid="{00000000-0004-0000-0100-00005C010000}"/>
    <hyperlink ref="R89" r:id="rId350" xr:uid="{00000000-0004-0000-0100-00005D010000}"/>
    <hyperlink ref="S89" r:id="rId351" xr:uid="{00000000-0004-0000-0100-00005E010000}"/>
    <hyperlink ref="T89" r:id="rId352" xr:uid="{00000000-0004-0000-0100-00005F010000}"/>
    <hyperlink ref="Q90" r:id="rId353" xr:uid="{00000000-0004-0000-0100-000060010000}"/>
    <hyperlink ref="R90" r:id="rId354" xr:uid="{00000000-0004-0000-0100-000061010000}"/>
    <hyperlink ref="S90" r:id="rId355" xr:uid="{00000000-0004-0000-0100-000062010000}"/>
    <hyperlink ref="T90" r:id="rId356" xr:uid="{00000000-0004-0000-0100-000063010000}"/>
    <hyperlink ref="Q91" r:id="rId357" xr:uid="{00000000-0004-0000-0100-000064010000}"/>
    <hyperlink ref="R91" r:id="rId358" xr:uid="{00000000-0004-0000-0100-000065010000}"/>
    <hyperlink ref="S91" r:id="rId359" xr:uid="{00000000-0004-0000-0100-000066010000}"/>
    <hyperlink ref="T91" r:id="rId360" xr:uid="{00000000-0004-0000-0100-000067010000}"/>
    <hyperlink ref="Q92" r:id="rId361" xr:uid="{00000000-0004-0000-0100-000068010000}"/>
    <hyperlink ref="R92" r:id="rId362" xr:uid="{00000000-0004-0000-0100-000069010000}"/>
    <hyperlink ref="S92" r:id="rId363" xr:uid="{00000000-0004-0000-0100-00006A010000}"/>
    <hyperlink ref="T92" r:id="rId364" xr:uid="{00000000-0004-0000-0100-00006B010000}"/>
    <hyperlink ref="Q93" r:id="rId365" xr:uid="{00000000-0004-0000-0100-00006C010000}"/>
    <hyperlink ref="R93" r:id="rId366" xr:uid="{00000000-0004-0000-0100-00006D010000}"/>
    <hyperlink ref="S93" r:id="rId367" xr:uid="{00000000-0004-0000-0100-00006E010000}"/>
    <hyperlink ref="T93" r:id="rId368" xr:uid="{00000000-0004-0000-0100-00006F010000}"/>
    <hyperlink ref="Q94" r:id="rId369" xr:uid="{00000000-0004-0000-0100-000070010000}"/>
    <hyperlink ref="R94" r:id="rId370" xr:uid="{00000000-0004-0000-0100-000071010000}"/>
    <hyperlink ref="S94" r:id="rId371" xr:uid="{00000000-0004-0000-0100-000072010000}"/>
    <hyperlink ref="T94" r:id="rId372" xr:uid="{00000000-0004-0000-0100-000073010000}"/>
    <hyperlink ref="Q95" r:id="rId373" xr:uid="{00000000-0004-0000-0100-000074010000}"/>
    <hyperlink ref="R95" r:id="rId374" xr:uid="{00000000-0004-0000-0100-000075010000}"/>
    <hyperlink ref="S95" r:id="rId375" xr:uid="{00000000-0004-0000-0100-000076010000}"/>
    <hyperlink ref="T95" r:id="rId376" xr:uid="{00000000-0004-0000-0100-000077010000}"/>
    <hyperlink ref="Q96" r:id="rId377" xr:uid="{00000000-0004-0000-0100-000078010000}"/>
    <hyperlink ref="R96" r:id="rId378" xr:uid="{00000000-0004-0000-0100-000079010000}"/>
    <hyperlink ref="S96" r:id="rId379" xr:uid="{00000000-0004-0000-0100-00007A010000}"/>
    <hyperlink ref="T96" r:id="rId380" xr:uid="{00000000-0004-0000-0100-00007B010000}"/>
    <hyperlink ref="Q97" r:id="rId381" xr:uid="{00000000-0004-0000-0100-00007C010000}"/>
    <hyperlink ref="R97" r:id="rId382" xr:uid="{00000000-0004-0000-0100-00007D010000}"/>
    <hyperlink ref="S97" r:id="rId383" xr:uid="{00000000-0004-0000-0100-00007E010000}"/>
    <hyperlink ref="T97" r:id="rId384" xr:uid="{00000000-0004-0000-0100-00007F010000}"/>
    <hyperlink ref="Q98" r:id="rId385" xr:uid="{00000000-0004-0000-0100-000080010000}"/>
    <hyperlink ref="R98" r:id="rId386" xr:uid="{00000000-0004-0000-0100-000081010000}"/>
    <hyperlink ref="S98" r:id="rId387" xr:uid="{00000000-0004-0000-0100-000082010000}"/>
    <hyperlink ref="T98" r:id="rId388" xr:uid="{00000000-0004-0000-0100-000083010000}"/>
    <hyperlink ref="Q99" r:id="rId389" xr:uid="{00000000-0004-0000-0100-000084010000}"/>
    <hyperlink ref="R99" r:id="rId390" xr:uid="{00000000-0004-0000-0100-000085010000}"/>
    <hyperlink ref="S99" r:id="rId391" xr:uid="{00000000-0004-0000-0100-000086010000}"/>
    <hyperlink ref="T99" r:id="rId392" xr:uid="{00000000-0004-0000-0100-000087010000}"/>
    <hyperlink ref="Q100" r:id="rId393" xr:uid="{00000000-0004-0000-0100-000088010000}"/>
    <hyperlink ref="R100" r:id="rId394" xr:uid="{00000000-0004-0000-0100-000089010000}"/>
    <hyperlink ref="S100" r:id="rId395" xr:uid="{00000000-0004-0000-0100-00008A010000}"/>
    <hyperlink ref="T100" r:id="rId396" xr:uid="{00000000-0004-0000-0100-00008B010000}"/>
    <hyperlink ref="Q101" r:id="rId397" xr:uid="{00000000-0004-0000-0100-00008C010000}"/>
    <hyperlink ref="R101" r:id="rId398" xr:uid="{00000000-0004-0000-0100-00008D010000}"/>
    <hyperlink ref="S101" r:id="rId399" xr:uid="{00000000-0004-0000-0100-00008E010000}"/>
    <hyperlink ref="T101" r:id="rId400" xr:uid="{00000000-0004-0000-0100-00008F010000}"/>
    <hyperlink ref="Q102" r:id="rId401" xr:uid="{00000000-0004-0000-0100-000090010000}"/>
    <hyperlink ref="R102" r:id="rId402" xr:uid="{00000000-0004-0000-0100-000091010000}"/>
    <hyperlink ref="S102" r:id="rId403" xr:uid="{00000000-0004-0000-0100-000092010000}"/>
    <hyperlink ref="T102" r:id="rId404" xr:uid="{00000000-0004-0000-0100-000093010000}"/>
    <hyperlink ref="Q103" r:id="rId405" xr:uid="{00000000-0004-0000-0100-000094010000}"/>
    <hyperlink ref="R103" r:id="rId406" xr:uid="{00000000-0004-0000-0100-000095010000}"/>
    <hyperlink ref="S103" r:id="rId407" xr:uid="{00000000-0004-0000-0100-000096010000}"/>
    <hyperlink ref="T103" r:id="rId408" xr:uid="{00000000-0004-0000-0100-000097010000}"/>
    <hyperlink ref="Q104" r:id="rId409" xr:uid="{00000000-0004-0000-0100-000098010000}"/>
    <hyperlink ref="R104" r:id="rId410" xr:uid="{00000000-0004-0000-0100-000099010000}"/>
    <hyperlink ref="S104" r:id="rId411" xr:uid="{00000000-0004-0000-0100-00009A010000}"/>
    <hyperlink ref="T104" r:id="rId412" xr:uid="{00000000-0004-0000-0100-00009B010000}"/>
    <hyperlink ref="Q105" r:id="rId413" xr:uid="{00000000-0004-0000-0100-00009C010000}"/>
    <hyperlink ref="R105" r:id="rId414" xr:uid="{00000000-0004-0000-0100-00009D010000}"/>
    <hyperlink ref="S105" r:id="rId415" xr:uid="{00000000-0004-0000-0100-00009E010000}"/>
    <hyperlink ref="T105" r:id="rId416" xr:uid="{00000000-0004-0000-0100-00009F010000}"/>
    <hyperlink ref="Q106" r:id="rId417" xr:uid="{00000000-0004-0000-0100-0000A0010000}"/>
    <hyperlink ref="R106" r:id="rId418" xr:uid="{00000000-0004-0000-0100-0000A1010000}"/>
    <hyperlink ref="S106" r:id="rId419" xr:uid="{00000000-0004-0000-0100-0000A2010000}"/>
    <hyperlink ref="T106" r:id="rId420" xr:uid="{00000000-0004-0000-0100-0000A3010000}"/>
    <hyperlink ref="Q107" r:id="rId421" xr:uid="{00000000-0004-0000-0100-0000A4010000}"/>
    <hyperlink ref="R107" r:id="rId422" xr:uid="{00000000-0004-0000-0100-0000A5010000}"/>
    <hyperlink ref="S107" r:id="rId423" xr:uid="{00000000-0004-0000-0100-0000A6010000}"/>
    <hyperlink ref="T107" r:id="rId424" xr:uid="{00000000-0004-0000-0100-0000A7010000}"/>
    <hyperlink ref="Q108" r:id="rId425" xr:uid="{00000000-0004-0000-0100-0000A8010000}"/>
    <hyperlink ref="R108" r:id="rId426" xr:uid="{00000000-0004-0000-0100-0000A9010000}"/>
    <hyperlink ref="S108" r:id="rId427" xr:uid="{00000000-0004-0000-0100-0000AA010000}"/>
    <hyperlink ref="T108" r:id="rId428" xr:uid="{00000000-0004-0000-0100-0000AB010000}"/>
    <hyperlink ref="Q109" r:id="rId429" xr:uid="{00000000-0004-0000-0100-0000AC010000}"/>
    <hyperlink ref="R109" r:id="rId430" xr:uid="{00000000-0004-0000-0100-0000AD010000}"/>
    <hyperlink ref="S109" r:id="rId431" xr:uid="{00000000-0004-0000-0100-0000AE010000}"/>
    <hyperlink ref="T109" r:id="rId432" xr:uid="{00000000-0004-0000-0100-0000AF010000}"/>
    <hyperlink ref="Q110" r:id="rId433" xr:uid="{00000000-0004-0000-0100-0000B0010000}"/>
    <hyperlink ref="R110" r:id="rId434" xr:uid="{00000000-0004-0000-0100-0000B1010000}"/>
    <hyperlink ref="S110" r:id="rId435" xr:uid="{00000000-0004-0000-0100-0000B2010000}"/>
    <hyperlink ref="T110" r:id="rId436" xr:uid="{00000000-0004-0000-0100-0000B3010000}"/>
    <hyperlink ref="Q111" r:id="rId437" xr:uid="{00000000-0004-0000-0100-0000B4010000}"/>
    <hyperlink ref="R111" r:id="rId438" xr:uid="{00000000-0004-0000-0100-0000B5010000}"/>
    <hyperlink ref="S111" r:id="rId439" xr:uid="{00000000-0004-0000-0100-0000B6010000}"/>
    <hyperlink ref="T111" r:id="rId440" xr:uid="{00000000-0004-0000-0100-0000B7010000}"/>
    <hyperlink ref="Q112" r:id="rId441" xr:uid="{00000000-0004-0000-0100-0000B8010000}"/>
    <hyperlink ref="R112" r:id="rId442" xr:uid="{00000000-0004-0000-0100-0000B9010000}"/>
    <hyperlink ref="S112" r:id="rId443" xr:uid="{00000000-0004-0000-0100-0000BA010000}"/>
    <hyperlink ref="T112" r:id="rId444" xr:uid="{00000000-0004-0000-0100-0000BB010000}"/>
    <hyperlink ref="Q113" r:id="rId445" xr:uid="{00000000-0004-0000-0100-0000BC010000}"/>
    <hyperlink ref="R113" r:id="rId446" xr:uid="{00000000-0004-0000-0100-0000BD010000}"/>
    <hyperlink ref="S113" r:id="rId447" xr:uid="{00000000-0004-0000-0100-0000BE010000}"/>
    <hyperlink ref="T113" r:id="rId448" xr:uid="{00000000-0004-0000-0100-0000BF010000}"/>
    <hyperlink ref="Q114" r:id="rId449" xr:uid="{00000000-0004-0000-0100-0000C0010000}"/>
    <hyperlink ref="R114" r:id="rId450" xr:uid="{00000000-0004-0000-0100-0000C1010000}"/>
    <hyperlink ref="S114" r:id="rId451" xr:uid="{00000000-0004-0000-0100-0000C2010000}"/>
    <hyperlink ref="T114" r:id="rId452" xr:uid="{00000000-0004-0000-0100-0000C3010000}"/>
    <hyperlink ref="Q115" r:id="rId453" xr:uid="{00000000-0004-0000-0100-0000C4010000}"/>
    <hyperlink ref="R115" r:id="rId454" xr:uid="{00000000-0004-0000-0100-0000C5010000}"/>
    <hyperlink ref="S115" r:id="rId455" xr:uid="{00000000-0004-0000-0100-0000C6010000}"/>
    <hyperlink ref="T115" r:id="rId456" xr:uid="{00000000-0004-0000-0100-0000C7010000}"/>
    <hyperlink ref="Q116" r:id="rId457" xr:uid="{00000000-0004-0000-0100-0000C8010000}"/>
    <hyperlink ref="R116" r:id="rId458" xr:uid="{00000000-0004-0000-0100-0000C9010000}"/>
    <hyperlink ref="S116" r:id="rId459" xr:uid="{00000000-0004-0000-0100-0000CA010000}"/>
    <hyperlink ref="T116" r:id="rId460" xr:uid="{00000000-0004-0000-0100-0000CB010000}"/>
    <hyperlink ref="Q117" r:id="rId461" xr:uid="{00000000-0004-0000-0100-0000CC010000}"/>
    <hyperlink ref="R117" r:id="rId462" xr:uid="{00000000-0004-0000-0100-0000CD010000}"/>
    <hyperlink ref="S117" r:id="rId463" xr:uid="{00000000-0004-0000-0100-0000CE010000}"/>
    <hyperlink ref="T117" r:id="rId464" xr:uid="{00000000-0004-0000-0100-0000CF010000}"/>
    <hyperlink ref="Q118" r:id="rId465" xr:uid="{00000000-0004-0000-0100-0000D0010000}"/>
    <hyperlink ref="R118" r:id="rId466" xr:uid="{00000000-0004-0000-0100-0000D1010000}"/>
    <hyperlink ref="S118" r:id="rId467" xr:uid="{00000000-0004-0000-0100-0000D2010000}"/>
    <hyperlink ref="T118" r:id="rId468" xr:uid="{00000000-0004-0000-0100-0000D3010000}"/>
    <hyperlink ref="Q119" r:id="rId469" xr:uid="{00000000-0004-0000-0100-0000D4010000}"/>
    <hyperlink ref="R119" r:id="rId470" xr:uid="{00000000-0004-0000-0100-0000D5010000}"/>
    <hyperlink ref="S119" r:id="rId471" xr:uid="{00000000-0004-0000-0100-0000D6010000}"/>
    <hyperlink ref="T119" r:id="rId472" xr:uid="{00000000-0004-0000-0100-0000D7010000}"/>
    <hyperlink ref="Q120" r:id="rId473" xr:uid="{00000000-0004-0000-0100-0000D8010000}"/>
    <hyperlink ref="R120" r:id="rId474" xr:uid="{00000000-0004-0000-0100-0000D9010000}"/>
    <hyperlink ref="S120" r:id="rId475" xr:uid="{00000000-0004-0000-0100-0000DA010000}"/>
    <hyperlink ref="T120" r:id="rId476" xr:uid="{00000000-0004-0000-0100-0000DB010000}"/>
    <hyperlink ref="Q121" r:id="rId477" xr:uid="{00000000-0004-0000-0100-0000DC010000}"/>
    <hyperlink ref="R121" r:id="rId478" xr:uid="{00000000-0004-0000-0100-0000DD010000}"/>
    <hyperlink ref="S121" r:id="rId479" xr:uid="{00000000-0004-0000-0100-0000DE010000}"/>
    <hyperlink ref="T121" r:id="rId480" xr:uid="{00000000-0004-0000-0100-0000DF010000}"/>
    <hyperlink ref="Q122" r:id="rId481" xr:uid="{00000000-0004-0000-0100-0000E0010000}"/>
    <hyperlink ref="R122" r:id="rId482" xr:uid="{00000000-0004-0000-0100-0000E1010000}"/>
    <hyperlink ref="S122" r:id="rId483" xr:uid="{00000000-0004-0000-0100-0000E2010000}"/>
    <hyperlink ref="T122" r:id="rId484" xr:uid="{00000000-0004-0000-0100-0000E3010000}"/>
    <hyperlink ref="Q123" r:id="rId485" xr:uid="{00000000-0004-0000-0100-0000E4010000}"/>
    <hyperlink ref="R123" r:id="rId486" xr:uid="{00000000-0004-0000-0100-0000E5010000}"/>
    <hyperlink ref="S123" r:id="rId487" xr:uid="{00000000-0004-0000-0100-0000E6010000}"/>
    <hyperlink ref="T123" r:id="rId488" xr:uid="{00000000-0004-0000-0100-0000E7010000}"/>
    <hyperlink ref="Q124" r:id="rId489" xr:uid="{00000000-0004-0000-0100-0000E8010000}"/>
    <hyperlink ref="R124" r:id="rId490" xr:uid="{00000000-0004-0000-0100-0000E9010000}"/>
    <hyperlink ref="S124" r:id="rId491" xr:uid="{00000000-0004-0000-0100-0000EA010000}"/>
    <hyperlink ref="T124" r:id="rId492" xr:uid="{00000000-0004-0000-0100-0000EB010000}"/>
    <hyperlink ref="Q125" r:id="rId493" xr:uid="{00000000-0004-0000-0100-0000EC010000}"/>
    <hyperlink ref="R125" r:id="rId494" xr:uid="{00000000-0004-0000-0100-0000ED010000}"/>
    <hyperlink ref="S125" r:id="rId495" xr:uid="{00000000-0004-0000-0100-0000EE010000}"/>
    <hyperlink ref="T125" r:id="rId496" xr:uid="{00000000-0004-0000-0100-0000EF010000}"/>
    <hyperlink ref="Q126" r:id="rId497" xr:uid="{00000000-0004-0000-0100-0000F0010000}"/>
    <hyperlink ref="R126" r:id="rId498" xr:uid="{00000000-0004-0000-0100-0000F1010000}"/>
    <hyperlink ref="S126" r:id="rId499" xr:uid="{00000000-0004-0000-0100-0000F2010000}"/>
    <hyperlink ref="T126" r:id="rId500" xr:uid="{00000000-0004-0000-0100-0000F3010000}"/>
    <hyperlink ref="Q127" r:id="rId501" xr:uid="{00000000-0004-0000-0100-0000F4010000}"/>
    <hyperlink ref="R127" r:id="rId502" xr:uid="{00000000-0004-0000-0100-0000F5010000}"/>
    <hyperlink ref="S127" r:id="rId503" xr:uid="{00000000-0004-0000-0100-0000F6010000}"/>
    <hyperlink ref="T127" r:id="rId504" xr:uid="{00000000-0004-0000-0100-0000F7010000}"/>
    <hyperlink ref="Q128" r:id="rId505" xr:uid="{00000000-0004-0000-0100-0000F8010000}"/>
    <hyperlink ref="R128" r:id="rId506" xr:uid="{00000000-0004-0000-0100-0000F9010000}"/>
    <hyperlink ref="S128" r:id="rId507" xr:uid="{00000000-0004-0000-0100-0000FA010000}"/>
    <hyperlink ref="T128" r:id="rId508" xr:uid="{00000000-0004-0000-0100-0000FB010000}"/>
    <hyperlink ref="Q129" r:id="rId509" xr:uid="{00000000-0004-0000-0100-0000FC010000}"/>
    <hyperlink ref="R129" r:id="rId510" xr:uid="{00000000-0004-0000-0100-0000FD010000}"/>
    <hyperlink ref="S129" r:id="rId511" xr:uid="{00000000-0004-0000-0100-0000FE010000}"/>
    <hyperlink ref="T129" r:id="rId512" xr:uid="{00000000-0004-0000-0100-0000FF010000}"/>
    <hyperlink ref="Q130" r:id="rId513" xr:uid="{00000000-0004-0000-0100-000000020000}"/>
    <hyperlink ref="R130" r:id="rId514" xr:uid="{00000000-0004-0000-0100-000001020000}"/>
    <hyperlink ref="S130" r:id="rId515" xr:uid="{00000000-0004-0000-0100-000002020000}"/>
    <hyperlink ref="T130" r:id="rId516" xr:uid="{00000000-0004-0000-0100-000003020000}"/>
    <hyperlink ref="Q131" r:id="rId517" xr:uid="{00000000-0004-0000-0100-000004020000}"/>
    <hyperlink ref="R131" r:id="rId518" xr:uid="{00000000-0004-0000-0100-000005020000}"/>
    <hyperlink ref="S131" r:id="rId519" xr:uid="{00000000-0004-0000-0100-000006020000}"/>
    <hyperlink ref="T131" r:id="rId520" xr:uid="{00000000-0004-0000-0100-000007020000}"/>
    <hyperlink ref="Q132" r:id="rId521" xr:uid="{00000000-0004-0000-0100-000008020000}"/>
    <hyperlink ref="R132" r:id="rId522" xr:uid="{00000000-0004-0000-0100-000009020000}"/>
    <hyperlink ref="S132" r:id="rId523" xr:uid="{00000000-0004-0000-0100-00000A020000}"/>
    <hyperlink ref="T132" r:id="rId524" xr:uid="{00000000-0004-0000-0100-00000B020000}"/>
    <hyperlink ref="Q133" r:id="rId525" xr:uid="{00000000-0004-0000-0100-00000C020000}"/>
    <hyperlink ref="R133" r:id="rId526" xr:uid="{00000000-0004-0000-0100-00000D020000}"/>
    <hyperlink ref="S133" r:id="rId527" xr:uid="{00000000-0004-0000-0100-00000E020000}"/>
    <hyperlink ref="T133" r:id="rId528" xr:uid="{00000000-0004-0000-0100-00000F020000}"/>
    <hyperlink ref="Q134" r:id="rId529" xr:uid="{00000000-0004-0000-0100-000010020000}"/>
    <hyperlink ref="R134" r:id="rId530" xr:uid="{00000000-0004-0000-0100-000011020000}"/>
    <hyperlink ref="S134" r:id="rId531" xr:uid="{00000000-0004-0000-0100-000012020000}"/>
    <hyperlink ref="T134" r:id="rId532" xr:uid="{00000000-0004-0000-0100-000013020000}"/>
    <hyperlink ref="Q135" r:id="rId533" xr:uid="{00000000-0004-0000-0100-000014020000}"/>
    <hyperlink ref="R135" r:id="rId534" xr:uid="{00000000-0004-0000-0100-000015020000}"/>
    <hyperlink ref="S135" r:id="rId535" xr:uid="{00000000-0004-0000-0100-000016020000}"/>
    <hyperlink ref="T135" r:id="rId536" xr:uid="{00000000-0004-0000-0100-000017020000}"/>
    <hyperlink ref="Q136" r:id="rId537" xr:uid="{00000000-0004-0000-0100-000018020000}"/>
    <hyperlink ref="R136" r:id="rId538" xr:uid="{00000000-0004-0000-0100-000019020000}"/>
    <hyperlink ref="S136" r:id="rId539" xr:uid="{00000000-0004-0000-0100-00001A020000}"/>
    <hyperlink ref="T136" r:id="rId540" xr:uid="{00000000-0004-0000-0100-00001B020000}"/>
    <hyperlink ref="Q137" r:id="rId541" xr:uid="{00000000-0004-0000-0100-00001C020000}"/>
    <hyperlink ref="R137" r:id="rId542" xr:uid="{00000000-0004-0000-0100-00001D020000}"/>
    <hyperlink ref="S137" r:id="rId543" xr:uid="{00000000-0004-0000-0100-00001E020000}"/>
    <hyperlink ref="T137" r:id="rId544" xr:uid="{00000000-0004-0000-0100-00001F020000}"/>
    <hyperlink ref="Q138" r:id="rId545" xr:uid="{00000000-0004-0000-0100-000020020000}"/>
    <hyperlink ref="R138" r:id="rId546" xr:uid="{00000000-0004-0000-0100-000021020000}"/>
    <hyperlink ref="S138" r:id="rId547" xr:uid="{00000000-0004-0000-0100-000022020000}"/>
    <hyperlink ref="T138" r:id="rId548" xr:uid="{00000000-0004-0000-0100-000023020000}"/>
    <hyperlink ref="Q139" r:id="rId549" xr:uid="{00000000-0004-0000-0100-000024020000}"/>
    <hyperlink ref="R139" r:id="rId550" xr:uid="{00000000-0004-0000-0100-000025020000}"/>
    <hyperlink ref="S139" r:id="rId551" xr:uid="{00000000-0004-0000-0100-000026020000}"/>
    <hyperlink ref="T139" r:id="rId552" xr:uid="{00000000-0004-0000-0100-000027020000}"/>
    <hyperlink ref="Q140" r:id="rId553" xr:uid="{00000000-0004-0000-0100-000028020000}"/>
    <hyperlink ref="R140" r:id="rId554" xr:uid="{00000000-0004-0000-0100-000029020000}"/>
    <hyperlink ref="S140" r:id="rId555" xr:uid="{00000000-0004-0000-0100-00002A020000}"/>
    <hyperlink ref="T140" r:id="rId556" xr:uid="{00000000-0004-0000-0100-00002B020000}"/>
    <hyperlink ref="Q141" r:id="rId557" xr:uid="{00000000-0004-0000-0100-00002C020000}"/>
    <hyperlink ref="R141" r:id="rId558" xr:uid="{00000000-0004-0000-0100-00002D020000}"/>
    <hyperlink ref="S141" r:id="rId559" xr:uid="{00000000-0004-0000-0100-00002E020000}"/>
    <hyperlink ref="T141" r:id="rId560" xr:uid="{00000000-0004-0000-0100-00002F020000}"/>
    <hyperlink ref="Q142" r:id="rId561" xr:uid="{00000000-0004-0000-0100-000030020000}"/>
    <hyperlink ref="R142" r:id="rId562" xr:uid="{00000000-0004-0000-0100-000031020000}"/>
    <hyperlink ref="S142" r:id="rId563" xr:uid="{00000000-0004-0000-0100-000032020000}"/>
    <hyperlink ref="T142" r:id="rId564" xr:uid="{00000000-0004-0000-0100-000033020000}"/>
    <hyperlink ref="Q143" r:id="rId565" xr:uid="{00000000-0004-0000-0100-000034020000}"/>
    <hyperlink ref="R143" r:id="rId566" xr:uid="{00000000-0004-0000-0100-000035020000}"/>
    <hyperlink ref="S143" r:id="rId567" xr:uid="{00000000-0004-0000-0100-000036020000}"/>
    <hyperlink ref="T143" r:id="rId568" xr:uid="{00000000-0004-0000-0100-000037020000}"/>
    <hyperlink ref="Q144" r:id="rId569" xr:uid="{00000000-0004-0000-0100-000038020000}"/>
    <hyperlink ref="R144" r:id="rId570" xr:uid="{00000000-0004-0000-0100-000039020000}"/>
    <hyperlink ref="S144" r:id="rId571" xr:uid="{00000000-0004-0000-0100-00003A020000}"/>
    <hyperlink ref="T144" r:id="rId572" xr:uid="{00000000-0004-0000-0100-00003B020000}"/>
    <hyperlink ref="Q145" r:id="rId573" xr:uid="{00000000-0004-0000-0100-00003C020000}"/>
    <hyperlink ref="R145" r:id="rId574" xr:uid="{00000000-0004-0000-0100-00003D020000}"/>
    <hyperlink ref="S145" r:id="rId575" xr:uid="{00000000-0004-0000-0100-00003E020000}"/>
    <hyperlink ref="T145" r:id="rId576" xr:uid="{00000000-0004-0000-0100-00003F020000}"/>
    <hyperlink ref="Q146" r:id="rId577" xr:uid="{00000000-0004-0000-0100-000040020000}"/>
    <hyperlink ref="R146" r:id="rId578" xr:uid="{00000000-0004-0000-0100-000041020000}"/>
    <hyperlink ref="S146" r:id="rId579" xr:uid="{00000000-0004-0000-0100-000042020000}"/>
    <hyperlink ref="T146" r:id="rId580" xr:uid="{00000000-0004-0000-0100-000043020000}"/>
    <hyperlink ref="Q147" r:id="rId581" xr:uid="{00000000-0004-0000-0100-000044020000}"/>
    <hyperlink ref="R147" r:id="rId582" xr:uid="{00000000-0004-0000-0100-000045020000}"/>
    <hyperlink ref="S147" r:id="rId583" xr:uid="{00000000-0004-0000-0100-000046020000}"/>
    <hyperlink ref="T147" r:id="rId584" xr:uid="{00000000-0004-0000-0100-000047020000}"/>
    <hyperlink ref="Q148" r:id="rId585" xr:uid="{00000000-0004-0000-0100-000048020000}"/>
    <hyperlink ref="R148" r:id="rId586" xr:uid="{00000000-0004-0000-0100-000049020000}"/>
    <hyperlink ref="S148" r:id="rId587" xr:uid="{00000000-0004-0000-0100-00004A020000}"/>
    <hyperlink ref="T148" r:id="rId588" xr:uid="{00000000-0004-0000-0100-00004B020000}"/>
    <hyperlink ref="Q149" r:id="rId589" xr:uid="{00000000-0004-0000-0100-00004C020000}"/>
    <hyperlink ref="R149" r:id="rId590" xr:uid="{00000000-0004-0000-0100-00004D020000}"/>
    <hyperlink ref="S149" r:id="rId591" xr:uid="{00000000-0004-0000-0100-00004E020000}"/>
    <hyperlink ref="T149" r:id="rId592" xr:uid="{00000000-0004-0000-0100-00004F020000}"/>
    <hyperlink ref="Q150" r:id="rId593" xr:uid="{00000000-0004-0000-0100-000050020000}"/>
    <hyperlink ref="R150" r:id="rId594" xr:uid="{00000000-0004-0000-0100-000051020000}"/>
    <hyperlink ref="S150" r:id="rId595" xr:uid="{00000000-0004-0000-0100-000052020000}"/>
    <hyperlink ref="T150" r:id="rId596" xr:uid="{00000000-0004-0000-0100-000053020000}"/>
    <hyperlink ref="Q151" r:id="rId597" xr:uid="{00000000-0004-0000-0100-000054020000}"/>
    <hyperlink ref="R151" r:id="rId598" xr:uid="{00000000-0004-0000-0100-000055020000}"/>
    <hyperlink ref="S151" r:id="rId599" xr:uid="{00000000-0004-0000-0100-000056020000}"/>
    <hyperlink ref="T151" r:id="rId600" xr:uid="{00000000-0004-0000-0100-000057020000}"/>
    <hyperlink ref="Q152" r:id="rId601" xr:uid="{00000000-0004-0000-0100-000058020000}"/>
    <hyperlink ref="R152" r:id="rId602" xr:uid="{00000000-0004-0000-0100-000059020000}"/>
    <hyperlink ref="S152" r:id="rId603" xr:uid="{00000000-0004-0000-0100-00005A020000}"/>
    <hyperlink ref="T152" r:id="rId604" xr:uid="{00000000-0004-0000-0100-00005B020000}"/>
    <hyperlink ref="Q153" r:id="rId605" xr:uid="{00000000-0004-0000-0100-00005C020000}"/>
    <hyperlink ref="R153" r:id="rId606" xr:uid="{00000000-0004-0000-0100-00005D020000}"/>
    <hyperlink ref="S153" r:id="rId607" xr:uid="{00000000-0004-0000-0100-00005E020000}"/>
    <hyperlink ref="T153" r:id="rId608" xr:uid="{00000000-0004-0000-0100-00005F020000}"/>
    <hyperlink ref="Q154" r:id="rId609" xr:uid="{00000000-0004-0000-0100-000060020000}"/>
    <hyperlink ref="R154" r:id="rId610" xr:uid="{00000000-0004-0000-0100-000061020000}"/>
    <hyperlink ref="S154" r:id="rId611" xr:uid="{00000000-0004-0000-0100-000062020000}"/>
    <hyperlink ref="T154" r:id="rId612" xr:uid="{00000000-0004-0000-0100-000063020000}"/>
    <hyperlink ref="Q155" r:id="rId613" xr:uid="{00000000-0004-0000-0100-000064020000}"/>
    <hyperlink ref="R155" r:id="rId614" xr:uid="{00000000-0004-0000-0100-000065020000}"/>
    <hyperlink ref="S155" r:id="rId615" xr:uid="{00000000-0004-0000-0100-000066020000}"/>
    <hyperlink ref="T155" r:id="rId616" xr:uid="{00000000-0004-0000-0100-000067020000}"/>
    <hyperlink ref="Q156" r:id="rId617" xr:uid="{00000000-0004-0000-0100-000068020000}"/>
    <hyperlink ref="R156" r:id="rId618" xr:uid="{00000000-0004-0000-0100-000069020000}"/>
    <hyperlink ref="S156" r:id="rId619" xr:uid="{00000000-0004-0000-0100-00006A020000}"/>
    <hyperlink ref="T156" r:id="rId620" xr:uid="{00000000-0004-0000-0100-00006B020000}"/>
    <hyperlink ref="Q157" r:id="rId621" xr:uid="{00000000-0004-0000-0100-00006C020000}"/>
    <hyperlink ref="R157" r:id="rId622" xr:uid="{00000000-0004-0000-0100-00006D020000}"/>
    <hyperlink ref="S157" r:id="rId623" xr:uid="{00000000-0004-0000-0100-00006E020000}"/>
    <hyperlink ref="T157" r:id="rId624" xr:uid="{00000000-0004-0000-0100-00006F020000}"/>
    <hyperlink ref="Q158" r:id="rId625" xr:uid="{00000000-0004-0000-0100-000070020000}"/>
    <hyperlink ref="R158" r:id="rId626" xr:uid="{00000000-0004-0000-0100-000071020000}"/>
    <hyperlink ref="S158" r:id="rId627" xr:uid="{00000000-0004-0000-0100-000072020000}"/>
    <hyperlink ref="T158" r:id="rId628" xr:uid="{00000000-0004-0000-0100-000073020000}"/>
    <hyperlink ref="Q159" r:id="rId629" xr:uid="{00000000-0004-0000-0100-000074020000}"/>
    <hyperlink ref="R159" r:id="rId630" xr:uid="{00000000-0004-0000-0100-000075020000}"/>
    <hyperlink ref="S159" r:id="rId631" xr:uid="{00000000-0004-0000-0100-000076020000}"/>
    <hyperlink ref="T159" r:id="rId632" xr:uid="{00000000-0004-0000-0100-000077020000}"/>
    <hyperlink ref="Q160" r:id="rId633" xr:uid="{00000000-0004-0000-0100-000078020000}"/>
    <hyperlink ref="R160" r:id="rId634" xr:uid="{00000000-0004-0000-0100-000079020000}"/>
    <hyperlink ref="S160" r:id="rId635" xr:uid="{00000000-0004-0000-0100-00007A020000}"/>
    <hyperlink ref="T160" r:id="rId636" xr:uid="{00000000-0004-0000-0100-00007B020000}"/>
    <hyperlink ref="Q161" r:id="rId637" xr:uid="{00000000-0004-0000-0100-00007C020000}"/>
    <hyperlink ref="R161" r:id="rId638" xr:uid="{00000000-0004-0000-0100-00007D020000}"/>
    <hyperlink ref="S161" r:id="rId639" xr:uid="{00000000-0004-0000-0100-00007E020000}"/>
    <hyperlink ref="T161" r:id="rId640" xr:uid="{00000000-0004-0000-0100-00007F020000}"/>
    <hyperlink ref="Q162" r:id="rId641" xr:uid="{00000000-0004-0000-0100-000080020000}"/>
    <hyperlink ref="R162" r:id="rId642" xr:uid="{00000000-0004-0000-0100-000081020000}"/>
    <hyperlink ref="S162" r:id="rId643" xr:uid="{00000000-0004-0000-0100-000082020000}"/>
    <hyperlink ref="T162" r:id="rId644" xr:uid="{00000000-0004-0000-0100-000083020000}"/>
    <hyperlink ref="Q163" r:id="rId645" xr:uid="{00000000-0004-0000-0100-000084020000}"/>
    <hyperlink ref="R163" r:id="rId646" xr:uid="{00000000-0004-0000-0100-000085020000}"/>
    <hyperlink ref="S163" r:id="rId647" xr:uid="{00000000-0004-0000-0100-000086020000}"/>
    <hyperlink ref="T163" r:id="rId648" xr:uid="{00000000-0004-0000-0100-000087020000}"/>
    <hyperlink ref="Q164" r:id="rId649" xr:uid="{00000000-0004-0000-0100-000088020000}"/>
    <hyperlink ref="R164" r:id="rId650" xr:uid="{00000000-0004-0000-0100-000089020000}"/>
    <hyperlink ref="S164" r:id="rId651" xr:uid="{00000000-0004-0000-0100-00008A020000}"/>
    <hyperlink ref="T164" r:id="rId652" xr:uid="{00000000-0004-0000-0100-00008B020000}"/>
    <hyperlink ref="Q165" r:id="rId653" xr:uid="{00000000-0004-0000-0100-00008C020000}"/>
    <hyperlink ref="R165" r:id="rId654" xr:uid="{00000000-0004-0000-0100-00008D020000}"/>
    <hyperlink ref="S165" r:id="rId655" xr:uid="{00000000-0004-0000-0100-00008E020000}"/>
    <hyperlink ref="T165" r:id="rId656" xr:uid="{00000000-0004-0000-0100-00008F020000}"/>
    <hyperlink ref="Q166" r:id="rId657" xr:uid="{00000000-0004-0000-0100-000090020000}"/>
    <hyperlink ref="R166" r:id="rId658" xr:uid="{00000000-0004-0000-0100-000091020000}"/>
    <hyperlink ref="S166" r:id="rId659" xr:uid="{00000000-0004-0000-0100-000092020000}"/>
    <hyperlink ref="T166" r:id="rId660" xr:uid="{00000000-0004-0000-0100-000093020000}"/>
    <hyperlink ref="Q167" r:id="rId661" xr:uid="{00000000-0004-0000-0100-000094020000}"/>
    <hyperlink ref="R167" r:id="rId662" xr:uid="{00000000-0004-0000-0100-000095020000}"/>
    <hyperlink ref="S167" r:id="rId663" xr:uid="{00000000-0004-0000-0100-000096020000}"/>
    <hyperlink ref="T167" r:id="rId664" xr:uid="{00000000-0004-0000-0100-000097020000}"/>
    <hyperlink ref="Q168" r:id="rId665" xr:uid="{00000000-0004-0000-0100-000098020000}"/>
    <hyperlink ref="R168" r:id="rId666" xr:uid="{00000000-0004-0000-0100-000099020000}"/>
    <hyperlink ref="S168" r:id="rId667" xr:uid="{00000000-0004-0000-0100-00009A020000}"/>
    <hyperlink ref="T168" r:id="rId668" xr:uid="{00000000-0004-0000-0100-00009B020000}"/>
    <hyperlink ref="Q169" r:id="rId669" xr:uid="{00000000-0004-0000-0100-00009C020000}"/>
    <hyperlink ref="R169" r:id="rId670" xr:uid="{00000000-0004-0000-0100-00009D020000}"/>
    <hyperlink ref="S169" r:id="rId671" xr:uid="{00000000-0004-0000-0100-00009E020000}"/>
    <hyperlink ref="T169" r:id="rId672" xr:uid="{00000000-0004-0000-0100-00009F020000}"/>
    <hyperlink ref="Q170" r:id="rId673" xr:uid="{00000000-0004-0000-0100-0000A0020000}"/>
    <hyperlink ref="R170" r:id="rId674" xr:uid="{00000000-0004-0000-0100-0000A1020000}"/>
    <hyperlink ref="S170" r:id="rId675" xr:uid="{00000000-0004-0000-0100-0000A2020000}"/>
    <hyperlink ref="T170" r:id="rId676" xr:uid="{00000000-0004-0000-0100-0000A3020000}"/>
    <hyperlink ref="Q171" r:id="rId677" xr:uid="{00000000-0004-0000-0100-0000A4020000}"/>
    <hyperlink ref="R171" r:id="rId678" xr:uid="{00000000-0004-0000-0100-0000A5020000}"/>
    <hyperlink ref="S171" r:id="rId679" xr:uid="{00000000-0004-0000-0100-0000A6020000}"/>
    <hyperlink ref="T171" r:id="rId680" xr:uid="{00000000-0004-0000-0100-0000A7020000}"/>
    <hyperlink ref="Q172" r:id="rId681" xr:uid="{00000000-0004-0000-0100-0000A8020000}"/>
    <hyperlink ref="R172" r:id="rId682" xr:uid="{00000000-0004-0000-0100-0000A9020000}"/>
    <hyperlink ref="S172" r:id="rId683" xr:uid="{00000000-0004-0000-0100-0000AA020000}"/>
    <hyperlink ref="T172" r:id="rId684" xr:uid="{00000000-0004-0000-0100-0000AB020000}"/>
    <hyperlink ref="Q173" r:id="rId685" xr:uid="{00000000-0004-0000-0100-0000AC020000}"/>
    <hyperlink ref="R173" r:id="rId686" xr:uid="{00000000-0004-0000-0100-0000AD020000}"/>
    <hyperlink ref="S173" r:id="rId687" xr:uid="{00000000-0004-0000-0100-0000AE020000}"/>
    <hyperlink ref="T173" r:id="rId688" xr:uid="{00000000-0004-0000-0100-0000AF020000}"/>
    <hyperlink ref="Q174" r:id="rId689" xr:uid="{00000000-0004-0000-0100-0000B0020000}"/>
    <hyperlink ref="R174" r:id="rId690" xr:uid="{00000000-0004-0000-0100-0000B1020000}"/>
    <hyperlink ref="S174" r:id="rId691" xr:uid="{00000000-0004-0000-0100-0000B2020000}"/>
    <hyperlink ref="T174" r:id="rId692" xr:uid="{00000000-0004-0000-0100-0000B3020000}"/>
    <hyperlink ref="Q175" r:id="rId693" xr:uid="{00000000-0004-0000-0100-0000B4020000}"/>
    <hyperlink ref="R175" r:id="rId694" xr:uid="{00000000-0004-0000-0100-0000B5020000}"/>
    <hyperlink ref="S175" r:id="rId695" xr:uid="{00000000-0004-0000-0100-0000B6020000}"/>
    <hyperlink ref="T175" r:id="rId696" xr:uid="{00000000-0004-0000-0100-0000B7020000}"/>
    <hyperlink ref="Q176" r:id="rId697" xr:uid="{00000000-0004-0000-0100-0000B8020000}"/>
    <hyperlink ref="R176" r:id="rId698" xr:uid="{00000000-0004-0000-0100-0000B9020000}"/>
    <hyperlink ref="S176" r:id="rId699" xr:uid="{00000000-0004-0000-0100-0000BA020000}"/>
    <hyperlink ref="T176" r:id="rId700" xr:uid="{00000000-0004-0000-0100-0000BB020000}"/>
    <hyperlink ref="Q177" r:id="rId701" xr:uid="{00000000-0004-0000-0100-0000BC020000}"/>
    <hyperlink ref="R177" r:id="rId702" xr:uid="{00000000-0004-0000-0100-0000BD020000}"/>
    <hyperlink ref="S177" r:id="rId703" xr:uid="{00000000-0004-0000-0100-0000BE020000}"/>
    <hyperlink ref="T177" r:id="rId704" xr:uid="{00000000-0004-0000-0100-0000BF020000}"/>
    <hyperlink ref="Q178" r:id="rId705" xr:uid="{00000000-0004-0000-0100-0000C0020000}"/>
    <hyperlink ref="R178" r:id="rId706" xr:uid="{00000000-0004-0000-0100-0000C1020000}"/>
    <hyperlink ref="S178" r:id="rId707" xr:uid="{00000000-0004-0000-0100-0000C2020000}"/>
    <hyperlink ref="T178" r:id="rId708" xr:uid="{00000000-0004-0000-0100-0000C3020000}"/>
    <hyperlink ref="Q179" r:id="rId709" xr:uid="{00000000-0004-0000-0100-0000C4020000}"/>
    <hyperlink ref="R179" r:id="rId710" xr:uid="{00000000-0004-0000-0100-0000C5020000}"/>
    <hyperlink ref="S179" r:id="rId711" xr:uid="{00000000-0004-0000-0100-0000C6020000}"/>
    <hyperlink ref="T179" r:id="rId712" xr:uid="{00000000-0004-0000-0100-0000C7020000}"/>
    <hyperlink ref="Q180" r:id="rId713" xr:uid="{00000000-0004-0000-0100-0000C8020000}"/>
    <hyperlink ref="R180" r:id="rId714" xr:uid="{00000000-0004-0000-0100-0000C9020000}"/>
    <hyperlink ref="S180" r:id="rId715" xr:uid="{00000000-0004-0000-0100-0000CA020000}"/>
    <hyperlink ref="T180" r:id="rId716" xr:uid="{00000000-0004-0000-0100-0000CB020000}"/>
    <hyperlink ref="Q181" r:id="rId717" xr:uid="{00000000-0004-0000-0100-0000CC020000}"/>
    <hyperlink ref="R181" r:id="rId718" xr:uid="{00000000-0004-0000-0100-0000CD020000}"/>
    <hyperlink ref="S181" r:id="rId719" xr:uid="{00000000-0004-0000-0100-0000CE020000}"/>
    <hyperlink ref="T181" r:id="rId720" xr:uid="{00000000-0004-0000-0100-0000CF020000}"/>
    <hyperlink ref="Q182" r:id="rId721" xr:uid="{00000000-0004-0000-0100-0000D0020000}"/>
    <hyperlink ref="R182" r:id="rId722" xr:uid="{00000000-0004-0000-0100-0000D1020000}"/>
    <hyperlink ref="S182" r:id="rId723" xr:uid="{00000000-0004-0000-0100-0000D2020000}"/>
    <hyperlink ref="T182" r:id="rId724" xr:uid="{00000000-0004-0000-0100-0000D3020000}"/>
    <hyperlink ref="Q183" r:id="rId725" xr:uid="{00000000-0004-0000-0100-0000D4020000}"/>
    <hyperlink ref="R183" r:id="rId726" xr:uid="{00000000-0004-0000-0100-0000D5020000}"/>
    <hyperlink ref="S183" r:id="rId727" xr:uid="{00000000-0004-0000-0100-0000D6020000}"/>
    <hyperlink ref="T183" r:id="rId728" xr:uid="{00000000-0004-0000-0100-0000D7020000}"/>
    <hyperlink ref="Q184" r:id="rId729" xr:uid="{00000000-0004-0000-0100-0000D8020000}"/>
    <hyperlink ref="R184" r:id="rId730" xr:uid="{00000000-0004-0000-0100-0000D9020000}"/>
    <hyperlink ref="S184" r:id="rId731" xr:uid="{00000000-0004-0000-0100-0000DA020000}"/>
    <hyperlink ref="T184" r:id="rId732" xr:uid="{00000000-0004-0000-0100-0000DB020000}"/>
    <hyperlink ref="Q185" r:id="rId733" xr:uid="{00000000-0004-0000-0100-0000DC020000}"/>
    <hyperlink ref="R185" r:id="rId734" xr:uid="{00000000-0004-0000-0100-0000DD020000}"/>
    <hyperlink ref="S185" r:id="rId735" xr:uid="{00000000-0004-0000-0100-0000DE020000}"/>
    <hyperlink ref="T185" r:id="rId736" xr:uid="{00000000-0004-0000-0100-0000DF020000}"/>
    <hyperlink ref="Q186" r:id="rId737" xr:uid="{00000000-0004-0000-0100-0000E0020000}"/>
    <hyperlink ref="R186" r:id="rId738" xr:uid="{00000000-0004-0000-0100-0000E1020000}"/>
    <hyperlink ref="S186" r:id="rId739" xr:uid="{00000000-0004-0000-0100-0000E2020000}"/>
    <hyperlink ref="T186" r:id="rId740" xr:uid="{00000000-0004-0000-0100-0000E3020000}"/>
    <hyperlink ref="Q187" r:id="rId741" xr:uid="{00000000-0004-0000-0100-0000E4020000}"/>
    <hyperlink ref="R187" r:id="rId742" xr:uid="{00000000-0004-0000-0100-0000E5020000}"/>
    <hyperlink ref="S187" r:id="rId743" xr:uid="{00000000-0004-0000-0100-0000E6020000}"/>
    <hyperlink ref="T187" r:id="rId744" xr:uid="{00000000-0004-0000-0100-0000E7020000}"/>
    <hyperlink ref="Q188" r:id="rId745" xr:uid="{00000000-0004-0000-0100-0000E8020000}"/>
    <hyperlink ref="R188" r:id="rId746" xr:uid="{00000000-0004-0000-0100-0000E9020000}"/>
    <hyperlink ref="S188" r:id="rId747" xr:uid="{00000000-0004-0000-0100-0000EA020000}"/>
    <hyperlink ref="T188" r:id="rId748" xr:uid="{00000000-0004-0000-0100-0000EB020000}"/>
    <hyperlink ref="Q189" r:id="rId749" xr:uid="{00000000-0004-0000-0100-0000EC020000}"/>
    <hyperlink ref="R189" r:id="rId750" xr:uid="{00000000-0004-0000-0100-0000ED020000}"/>
    <hyperlink ref="S189" r:id="rId751" xr:uid="{00000000-0004-0000-0100-0000EE020000}"/>
    <hyperlink ref="T189" r:id="rId752" xr:uid="{00000000-0004-0000-0100-0000EF020000}"/>
    <hyperlink ref="Q190" r:id="rId753" xr:uid="{00000000-0004-0000-0100-0000F0020000}"/>
    <hyperlink ref="R190" r:id="rId754" xr:uid="{00000000-0004-0000-0100-0000F1020000}"/>
    <hyperlink ref="S190" r:id="rId755" xr:uid="{00000000-0004-0000-0100-0000F2020000}"/>
    <hyperlink ref="T190" r:id="rId756" xr:uid="{00000000-0004-0000-0100-0000F3020000}"/>
    <hyperlink ref="Q191" r:id="rId757" xr:uid="{00000000-0004-0000-0100-0000F4020000}"/>
    <hyperlink ref="R191" r:id="rId758" xr:uid="{00000000-0004-0000-0100-0000F5020000}"/>
    <hyperlink ref="S191" r:id="rId759" xr:uid="{00000000-0004-0000-0100-0000F6020000}"/>
    <hyperlink ref="T191" r:id="rId760" xr:uid="{00000000-0004-0000-0100-0000F7020000}"/>
    <hyperlink ref="Q192" r:id="rId761" xr:uid="{00000000-0004-0000-0100-0000F8020000}"/>
    <hyperlink ref="R192" r:id="rId762" xr:uid="{00000000-0004-0000-0100-0000F9020000}"/>
    <hyperlink ref="S192" r:id="rId763" xr:uid="{00000000-0004-0000-0100-0000FA020000}"/>
    <hyperlink ref="T192" r:id="rId764" xr:uid="{00000000-0004-0000-0100-0000FB020000}"/>
    <hyperlink ref="Q193" r:id="rId765" xr:uid="{00000000-0004-0000-0100-0000FC020000}"/>
    <hyperlink ref="R193" r:id="rId766" xr:uid="{00000000-0004-0000-0100-0000FD020000}"/>
    <hyperlink ref="S193" r:id="rId767" xr:uid="{00000000-0004-0000-0100-0000FE020000}"/>
    <hyperlink ref="T193" r:id="rId768" xr:uid="{00000000-0004-0000-0100-0000FF020000}"/>
    <hyperlink ref="Q194" r:id="rId769" xr:uid="{00000000-0004-0000-0100-000000030000}"/>
    <hyperlink ref="R194" r:id="rId770" xr:uid="{00000000-0004-0000-0100-000001030000}"/>
    <hyperlink ref="S194" r:id="rId771" xr:uid="{00000000-0004-0000-0100-000002030000}"/>
    <hyperlink ref="T194" r:id="rId772" xr:uid="{00000000-0004-0000-0100-000003030000}"/>
    <hyperlink ref="Q195" r:id="rId773" xr:uid="{00000000-0004-0000-0100-000004030000}"/>
    <hyperlink ref="R195" r:id="rId774" xr:uid="{00000000-0004-0000-0100-000005030000}"/>
    <hyperlink ref="S195" r:id="rId775" xr:uid="{00000000-0004-0000-0100-000006030000}"/>
    <hyperlink ref="T195" r:id="rId776" xr:uid="{00000000-0004-0000-0100-000007030000}"/>
    <hyperlink ref="Q196" r:id="rId777" xr:uid="{00000000-0004-0000-0100-000008030000}"/>
    <hyperlink ref="R196" r:id="rId778" xr:uid="{00000000-0004-0000-0100-000009030000}"/>
    <hyperlink ref="S196" r:id="rId779" xr:uid="{00000000-0004-0000-0100-00000A030000}"/>
    <hyperlink ref="T196" r:id="rId780" xr:uid="{00000000-0004-0000-0100-00000B030000}"/>
    <hyperlink ref="Q197" r:id="rId781" xr:uid="{00000000-0004-0000-0100-00000C030000}"/>
    <hyperlink ref="R197" r:id="rId782" xr:uid="{00000000-0004-0000-0100-00000D030000}"/>
    <hyperlink ref="S197" r:id="rId783" xr:uid="{00000000-0004-0000-0100-00000E030000}"/>
    <hyperlink ref="T197" r:id="rId784" xr:uid="{00000000-0004-0000-0100-00000F030000}"/>
    <hyperlink ref="Q198" r:id="rId785" xr:uid="{00000000-0004-0000-0100-000010030000}"/>
    <hyperlink ref="R198" r:id="rId786" xr:uid="{00000000-0004-0000-0100-000011030000}"/>
    <hyperlink ref="S198" r:id="rId787" xr:uid="{00000000-0004-0000-0100-000012030000}"/>
    <hyperlink ref="T198" r:id="rId788" xr:uid="{00000000-0004-0000-0100-000013030000}"/>
    <hyperlink ref="Q199" r:id="rId789" xr:uid="{00000000-0004-0000-0100-000014030000}"/>
    <hyperlink ref="R199" r:id="rId790" xr:uid="{00000000-0004-0000-0100-000015030000}"/>
    <hyperlink ref="S199" r:id="rId791" xr:uid="{00000000-0004-0000-0100-000016030000}"/>
    <hyperlink ref="T199" r:id="rId792" xr:uid="{00000000-0004-0000-0100-000017030000}"/>
    <hyperlink ref="Q200" r:id="rId793" xr:uid="{00000000-0004-0000-0100-000018030000}"/>
    <hyperlink ref="R200" r:id="rId794" xr:uid="{00000000-0004-0000-0100-000019030000}"/>
    <hyperlink ref="S200" r:id="rId795" xr:uid="{00000000-0004-0000-0100-00001A030000}"/>
    <hyperlink ref="T200" r:id="rId796" xr:uid="{00000000-0004-0000-0100-00001B030000}"/>
    <hyperlink ref="Q201" r:id="rId797" xr:uid="{00000000-0004-0000-0100-00001C030000}"/>
    <hyperlink ref="R201" r:id="rId798" xr:uid="{00000000-0004-0000-0100-00001D030000}"/>
    <hyperlink ref="S201" r:id="rId799" xr:uid="{00000000-0004-0000-0100-00001E030000}"/>
    <hyperlink ref="T201" r:id="rId800" xr:uid="{00000000-0004-0000-0100-00001F030000}"/>
    <hyperlink ref="Q202" r:id="rId801" xr:uid="{00000000-0004-0000-0100-000020030000}"/>
    <hyperlink ref="R202" r:id="rId802" xr:uid="{00000000-0004-0000-0100-000021030000}"/>
    <hyperlink ref="S202" r:id="rId803" xr:uid="{00000000-0004-0000-0100-000022030000}"/>
    <hyperlink ref="T202" r:id="rId804" xr:uid="{00000000-0004-0000-0100-000023030000}"/>
    <hyperlink ref="Q203" r:id="rId805" xr:uid="{00000000-0004-0000-0100-000024030000}"/>
    <hyperlink ref="R203" r:id="rId806" xr:uid="{00000000-0004-0000-0100-000025030000}"/>
    <hyperlink ref="S203" r:id="rId807" xr:uid="{00000000-0004-0000-0100-000026030000}"/>
    <hyperlink ref="T203" r:id="rId808" xr:uid="{00000000-0004-0000-0100-000027030000}"/>
    <hyperlink ref="Q204" r:id="rId809" xr:uid="{00000000-0004-0000-0100-000028030000}"/>
    <hyperlink ref="R204" r:id="rId810" xr:uid="{00000000-0004-0000-0100-000029030000}"/>
    <hyperlink ref="S204" r:id="rId811" xr:uid="{00000000-0004-0000-0100-00002A030000}"/>
    <hyperlink ref="T204" r:id="rId812" xr:uid="{00000000-0004-0000-0100-00002B030000}"/>
    <hyperlink ref="Q205" r:id="rId813" xr:uid="{00000000-0004-0000-0100-00002C030000}"/>
    <hyperlink ref="R205" r:id="rId814" xr:uid="{00000000-0004-0000-0100-00002D030000}"/>
    <hyperlink ref="S205" r:id="rId815" xr:uid="{00000000-0004-0000-0100-00002E030000}"/>
    <hyperlink ref="T205" r:id="rId816" xr:uid="{00000000-0004-0000-0100-00002F030000}"/>
    <hyperlink ref="Q206" r:id="rId817" xr:uid="{00000000-0004-0000-0100-000030030000}"/>
    <hyperlink ref="R206" r:id="rId818" xr:uid="{00000000-0004-0000-0100-000031030000}"/>
    <hyperlink ref="S206" r:id="rId819" xr:uid="{00000000-0004-0000-0100-000032030000}"/>
    <hyperlink ref="T206" r:id="rId820" xr:uid="{00000000-0004-0000-0100-000033030000}"/>
    <hyperlink ref="Q207" r:id="rId821" xr:uid="{00000000-0004-0000-0100-000034030000}"/>
    <hyperlink ref="R207" r:id="rId822" xr:uid="{00000000-0004-0000-0100-000035030000}"/>
    <hyperlink ref="S207" r:id="rId823" xr:uid="{00000000-0004-0000-0100-000036030000}"/>
    <hyperlink ref="T207" r:id="rId824" xr:uid="{00000000-0004-0000-0100-000037030000}"/>
    <hyperlink ref="Q208" r:id="rId825" xr:uid="{00000000-0004-0000-0100-000038030000}"/>
    <hyperlink ref="R208" r:id="rId826" xr:uid="{00000000-0004-0000-0100-000039030000}"/>
    <hyperlink ref="S208" r:id="rId827" xr:uid="{00000000-0004-0000-0100-00003A030000}"/>
    <hyperlink ref="T208" r:id="rId828" xr:uid="{00000000-0004-0000-0100-00003B030000}"/>
    <hyperlink ref="Q209" r:id="rId829" xr:uid="{00000000-0004-0000-0100-00003C030000}"/>
    <hyperlink ref="R209" r:id="rId830" xr:uid="{00000000-0004-0000-0100-00003D030000}"/>
    <hyperlink ref="S209" r:id="rId831" xr:uid="{00000000-0004-0000-0100-00003E030000}"/>
    <hyperlink ref="T209" r:id="rId832" xr:uid="{00000000-0004-0000-0100-00003F030000}"/>
    <hyperlink ref="Q210" r:id="rId833" xr:uid="{00000000-0004-0000-0100-000040030000}"/>
    <hyperlink ref="R210" r:id="rId834" xr:uid="{00000000-0004-0000-0100-000041030000}"/>
    <hyperlink ref="S210" r:id="rId835" xr:uid="{00000000-0004-0000-0100-000042030000}"/>
    <hyperlink ref="T210" r:id="rId836" xr:uid="{00000000-0004-0000-0100-000043030000}"/>
    <hyperlink ref="Q211" r:id="rId837" xr:uid="{00000000-0004-0000-0100-000044030000}"/>
    <hyperlink ref="R211" r:id="rId838" xr:uid="{00000000-0004-0000-0100-000045030000}"/>
    <hyperlink ref="S211" r:id="rId839" xr:uid="{00000000-0004-0000-0100-000046030000}"/>
    <hyperlink ref="T211" r:id="rId840" xr:uid="{00000000-0004-0000-0100-000047030000}"/>
    <hyperlink ref="Q212" r:id="rId841" xr:uid="{00000000-0004-0000-0100-000048030000}"/>
    <hyperlink ref="R212" r:id="rId842" xr:uid="{00000000-0004-0000-0100-000049030000}"/>
    <hyperlink ref="S212" r:id="rId843" xr:uid="{00000000-0004-0000-0100-00004A030000}"/>
    <hyperlink ref="T212" r:id="rId844" xr:uid="{00000000-0004-0000-0100-00004B030000}"/>
    <hyperlink ref="Q213" r:id="rId845" xr:uid="{00000000-0004-0000-0100-00004C030000}"/>
    <hyperlink ref="R213" r:id="rId846" xr:uid="{00000000-0004-0000-0100-00004D030000}"/>
    <hyperlink ref="S213" r:id="rId847" xr:uid="{00000000-0004-0000-0100-00004E030000}"/>
    <hyperlink ref="T213" r:id="rId848" xr:uid="{00000000-0004-0000-0100-00004F030000}"/>
    <hyperlink ref="Q214" r:id="rId849" xr:uid="{00000000-0004-0000-0100-000050030000}"/>
    <hyperlink ref="R214" r:id="rId850" xr:uid="{00000000-0004-0000-0100-000051030000}"/>
    <hyperlink ref="S214" r:id="rId851" xr:uid="{00000000-0004-0000-0100-000052030000}"/>
    <hyperlink ref="T214" r:id="rId852" xr:uid="{00000000-0004-0000-0100-000053030000}"/>
    <hyperlink ref="Q215" r:id="rId853" xr:uid="{00000000-0004-0000-0100-000054030000}"/>
    <hyperlink ref="R215" r:id="rId854" xr:uid="{00000000-0004-0000-0100-000055030000}"/>
    <hyperlink ref="S215" r:id="rId855" xr:uid="{00000000-0004-0000-0100-000056030000}"/>
    <hyperlink ref="T215" r:id="rId856" xr:uid="{00000000-0004-0000-0100-000057030000}"/>
    <hyperlink ref="Q216" r:id="rId857" xr:uid="{00000000-0004-0000-0100-000058030000}"/>
    <hyperlink ref="R216" r:id="rId858" xr:uid="{00000000-0004-0000-0100-000059030000}"/>
    <hyperlink ref="S216" r:id="rId859" xr:uid="{00000000-0004-0000-0100-00005A030000}"/>
    <hyperlink ref="T216" r:id="rId860" xr:uid="{00000000-0004-0000-0100-00005B030000}"/>
    <hyperlink ref="Q217" r:id="rId861" xr:uid="{00000000-0004-0000-0100-00005C030000}"/>
    <hyperlink ref="R217" r:id="rId862" xr:uid="{00000000-0004-0000-0100-00005D030000}"/>
    <hyperlink ref="S217" r:id="rId863" xr:uid="{00000000-0004-0000-0100-00005E030000}"/>
    <hyperlink ref="T217" r:id="rId864" xr:uid="{00000000-0004-0000-0100-00005F030000}"/>
    <hyperlink ref="Q218" r:id="rId865" xr:uid="{00000000-0004-0000-0100-000060030000}"/>
    <hyperlink ref="R218" r:id="rId866" xr:uid="{00000000-0004-0000-0100-000061030000}"/>
    <hyperlink ref="S218" r:id="rId867" xr:uid="{00000000-0004-0000-0100-000062030000}"/>
    <hyperlink ref="T218" r:id="rId868" xr:uid="{00000000-0004-0000-0100-000063030000}"/>
    <hyperlink ref="Q219" r:id="rId869" xr:uid="{00000000-0004-0000-0100-000064030000}"/>
    <hyperlink ref="R219" r:id="rId870" xr:uid="{00000000-0004-0000-0100-000065030000}"/>
    <hyperlink ref="S219" r:id="rId871" xr:uid="{00000000-0004-0000-0100-000066030000}"/>
    <hyperlink ref="T219" r:id="rId872" xr:uid="{00000000-0004-0000-0100-000067030000}"/>
    <hyperlink ref="Q220" r:id="rId873" xr:uid="{00000000-0004-0000-0100-000068030000}"/>
    <hyperlink ref="R220" r:id="rId874" xr:uid="{00000000-0004-0000-0100-000069030000}"/>
    <hyperlink ref="S220" r:id="rId875" xr:uid="{00000000-0004-0000-0100-00006A030000}"/>
    <hyperlink ref="T220" r:id="rId876" xr:uid="{00000000-0004-0000-0100-00006B030000}"/>
    <hyperlink ref="Q221" r:id="rId877" xr:uid="{00000000-0004-0000-0100-00006C030000}"/>
    <hyperlink ref="R221" r:id="rId878" xr:uid="{00000000-0004-0000-0100-00006D030000}"/>
    <hyperlink ref="S221" r:id="rId879" xr:uid="{00000000-0004-0000-0100-00006E030000}"/>
    <hyperlink ref="T221" r:id="rId880" xr:uid="{00000000-0004-0000-0100-00006F030000}"/>
    <hyperlink ref="Q222" r:id="rId881" xr:uid="{00000000-0004-0000-0100-000070030000}"/>
    <hyperlink ref="R222" r:id="rId882" xr:uid="{00000000-0004-0000-0100-000071030000}"/>
    <hyperlink ref="S222" r:id="rId883" xr:uid="{00000000-0004-0000-0100-000072030000}"/>
    <hyperlink ref="T222" r:id="rId884" xr:uid="{00000000-0004-0000-0100-000073030000}"/>
    <hyperlink ref="Q223" r:id="rId885" xr:uid="{00000000-0004-0000-0100-000074030000}"/>
    <hyperlink ref="R223" r:id="rId886" xr:uid="{00000000-0004-0000-0100-000075030000}"/>
    <hyperlink ref="S223" r:id="rId887" xr:uid="{00000000-0004-0000-0100-000076030000}"/>
    <hyperlink ref="T223" r:id="rId888" xr:uid="{00000000-0004-0000-0100-000077030000}"/>
    <hyperlink ref="Q224" r:id="rId889" xr:uid="{00000000-0004-0000-0100-000078030000}"/>
    <hyperlink ref="R224" r:id="rId890" xr:uid="{00000000-0004-0000-0100-000079030000}"/>
    <hyperlink ref="S224" r:id="rId891" xr:uid="{00000000-0004-0000-0100-00007A030000}"/>
    <hyperlink ref="T224" r:id="rId892" xr:uid="{00000000-0004-0000-0100-00007B030000}"/>
    <hyperlink ref="Q225" r:id="rId893" xr:uid="{00000000-0004-0000-0100-00007C030000}"/>
    <hyperlink ref="R225" r:id="rId894" xr:uid="{00000000-0004-0000-0100-00007D030000}"/>
    <hyperlink ref="S225" r:id="rId895" xr:uid="{00000000-0004-0000-0100-00007E030000}"/>
    <hyperlink ref="T225" r:id="rId896" xr:uid="{00000000-0004-0000-0100-00007F030000}"/>
    <hyperlink ref="Q226" r:id="rId897" xr:uid="{00000000-0004-0000-0100-000080030000}"/>
    <hyperlink ref="R226" r:id="rId898" xr:uid="{00000000-0004-0000-0100-000081030000}"/>
    <hyperlink ref="S226" r:id="rId899" xr:uid="{00000000-0004-0000-0100-000082030000}"/>
    <hyperlink ref="T226" r:id="rId900" xr:uid="{00000000-0004-0000-0100-000083030000}"/>
    <hyperlink ref="Q227" r:id="rId901" xr:uid="{00000000-0004-0000-0100-000084030000}"/>
    <hyperlink ref="R227" r:id="rId902" xr:uid="{00000000-0004-0000-0100-000085030000}"/>
    <hyperlink ref="S227" r:id="rId903" xr:uid="{00000000-0004-0000-0100-000086030000}"/>
    <hyperlink ref="T227" r:id="rId904" xr:uid="{00000000-0004-0000-0100-000087030000}"/>
    <hyperlink ref="Q228" r:id="rId905" xr:uid="{00000000-0004-0000-0100-000088030000}"/>
    <hyperlink ref="R228" r:id="rId906" xr:uid="{00000000-0004-0000-0100-000089030000}"/>
    <hyperlink ref="S228" r:id="rId907" xr:uid="{00000000-0004-0000-0100-00008A030000}"/>
    <hyperlink ref="T228" r:id="rId908" xr:uid="{00000000-0004-0000-0100-00008B030000}"/>
    <hyperlink ref="Q229" r:id="rId909" xr:uid="{00000000-0004-0000-0100-00008C030000}"/>
    <hyperlink ref="R229" r:id="rId910" xr:uid="{00000000-0004-0000-0100-00008D030000}"/>
    <hyperlink ref="S229" r:id="rId911" xr:uid="{00000000-0004-0000-0100-00008E030000}"/>
    <hyperlink ref="T229" r:id="rId912" xr:uid="{00000000-0004-0000-0100-00008F030000}"/>
    <hyperlink ref="Q230" r:id="rId913" xr:uid="{00000000-0004-0000-0100-000090030000}"/>
    <hyperlink ref="R230" r:id="rId914" xr:uid="{00000000-0004-0000-0100-000091030000}"/>
    <hyperlink ref="S230" r:id="rId915" xr:uid="{00000000-0004-0000-0100-000092030000}"/>
    <hyperlink ref="T230" r:id="rId916" xr:uid="{00000000-0004-0000-0100-000093030000}"/>
    <hyperlink ref="Q231" r:id="rId917" xr:uid="{00000000-0004-0000-0100-000094030000}"/>
    <hyperlink ref="R231" r:id="rId918" xr:uid="{00000000-0004-0000-0100-000095030000}"/>
    <hyperlink ref="S231" r:id="rId919" xr:uid="{00000000-0004-0000-0100-000096030000}"/>
    <hyperlink ref="T231" r:id="rId920" xr:uid="{00000000-0004-0000-0100-000097030000}"/>
    <hyperlink ref="Q232" r:id="rId921" xr:uid="{00000000-0004-0000-0100-000098030000}"/>
    <hyperlink ref="R232" r:id="rId922" xr:uid="{00000000-0004-0000-0100-000099030000}"/>
    <hyperlink ref="S232" r:id="rId923" xr:uid="{00000000-0004-0000-0100-00009A030000}"/>
    <hyperlink ref="T232" r:id="rId924" xr:uid="{00000000-0004-0000-0100-00009B030000}"/>
    <hyperlink ref="Q233" r:id="rId925" xr:uid="{00000000-0004-0000-0100-00009C030000}"/>
    <hyperlink ref="R233" r:id="rId926" xr:uid="{00000000-0004-0000-0100-00009D030000}"/>
    <hyperlink ref="S233" r:id="rId927" xr:uid="{00000000-0004-0000-0100-00009E030000}"/>
    <hyperlink ref="T233" r:id="rId928" xr:uid="{00000000-0004-0000-0100-00009F030000}"/>
    <hyperlink ref="Q234" r:id="rId929" xr:uid="{00000000-0004-0000-0100-0000A0030000}"/>
    <hyperlink ref="R234" r:id="rId930" xr:uid="{00000000-0004-0000-0100-0000A1030000}"/>
    <hyperlink ref="S234" r:id="rId931" xr:uid="{00000000-0004-0000-0100-0000A2030000}"/>
    <hyperlink ref="T234" r:id="rId932" xr:uid="{00000000-0004-0000-0100-0000A3030000}"/>
    <hyperlink ref="Q235" r:id="rId933" xr:uid="{00000000-0004-0000-0100-0000A4030000}"/>
    <hyperlink ref="R235" r:id="rId934" xr:uid="{00000000-0004-0000-0100-0000A5030000}"/>
    <hyperlink ref="S235" r:id="rId935" xr:uid="{00000000-0004-0000-0100-0000A6030000}"/>
    <hyperlink ref="T235" r:id="rId936" xr:uid="{00000000-0004-0000-0100-0000A7030000}"/>
    <hyperlink ref="Q236" r:id="rId937" xr:uid="{00000000-0004-0000-0100-0000A8030000}"/>
    <hyperlink ref="R236" r:id="rId938" xr:uid="{00000000-0004-0000-0100-0000A9030000}"/>
    <hyperlink ref="S236" r:id="rId939" xr:uid="{00000000-0004-0000-0100-0000AA030000}"/>
    <hyperlink ref="T236" r:id="rId940" xr:uid="{00000000-0004-0000-0100-0000AB030000}"/>
    <hyperlink ref="Q237" r:id="rId941" xr:uid="{00000000-0004-0000-0100-0000AC030000}"/>
    <hyperlink ref="R237" r:id="rId942" xr:uid="{00000000-0004-0000-0100-0000AD030000}"/>
    <hyperlink ref="S237" r:id="rId943" xr:uid="{00000000-0004-0000-0100-0000AE030000}"/>
    <hyperlink ref="T237" r:id="rId944" xr:uid="{00000000-0004-0000-0100-0000AF030000}"/>
    <hyperlink ref="Q238" r:id="rId945" xr:uid="{00000000-0004-0000-0100-0000B0030000}"/>
    <hyperlink ref="R238" r:id="rId946" xr:uid="{00000000-0004-0000-0100-0000B1030000}"/>
    <hyperlink ref="S238" r:id="rId947" xr:uid="{00000000-0004-0000-0100-0000B2030000}"/>
    <hyperlink ref="T238" r:id="rId948" xr:uid="{00000000-0004-0000-0100-0000B3030000}"/>
    <hyperlink ref="Q239" r:id="rId949" xr:uid="{00000000-0004-0000-0100-0000B4030000}"/>
    <hyperlink ref="R239" r:id="rId950" xr:uid="{00000000-0004-0000-0100-0000B5030000}"/>
    <hyperlink ref="S239" r:id="rId951" xr:uid="{00000000-0004-0000-0100-0000B6030000}"/>
    <hyperlink ref="T239" r:id="rId952" xr:uid="{00000000-0004-0000-0100-0000B7030000}"/>
    <hyperlink ref="Q240" r:id="rId953" xr:uid="{00000000-0004-0000-0100-0000B8030000}"/>
    <hyperlink ref="R240" r:id="rId954" xr:uid="{00000000-0004-0000-0100-0000B9030000}"/>
    <hyperlink ref="S240" r:id="rId955" xr:uid="{00000000-0004-0000-0100-0000BA030000}"/>
    <hyperlink ref="T240" r:id="rId956" xr:uid="{00000000-0004-0000-0100-0000BB030000}"/>
    <hyperlink ref="Q241" r:id="rId957" xr:uid="{00000000-0004-0000-0100-0000BC030000}"/>
    <hyperlink ref="R241" r:id="rId958" xr:uid="{00000000-0004-0000-0100-0000BD030000}"/>
    <hyperlink ref="S241" r:id="rId959" xr:uid="{00000000-0004-0000-0100-0000BE030000}"/>
    <hyperlink ref="T241" r:id="rId960" xr:uid="{00000000-0004-0000-0100-0000BF030000}"/>
    <hyperlink ref="Q242" r:id="rId961" xr:uid="{00000000-0004-0000-0100-0000C0030000}"/>
    <hyperlink ref="R242" r:id="rId962" xr:uid="{00000000-0004-0000-0100-0000C1030000}"/>
    <hyperlink ref="S242" r:id="rId963" xr:uid="{00000000-0004-0000-0100-0000C2030000}"/>
    <hyperlink ref="T242" r:id="rId964" xr:uid="{00000000-0004-0000-0100-0000C3030000}"/>
    <hyperlink ref="Q243" r:id="rId965" xr:uid="{00000000-0004-0000-0100-0000C4030000}"/>
    <hyperlink ref="R243" r:id="rId966" xr:uid="{00000000-0004-0000-0100-0000C5030000}"/>
    <hyperlink ref="S243" r:id="rId967" xr:uid="{00000000-0004-0000-0100-0000C6030000}"/>
    <hyperlink ref="T243" r:id="rId968" xr:uid="{00000000-0004-0000-0100-0000C7030000}"/>
    <hyperlink ref="Q244" r:id="rId969" xr:uid="{00000000-0004-0000-0100-0000C8030000}"/>
    <hyperlink ref="R244" r:id="rId970" xr:uid="{00000000-0004-0000-0100-0000C9030000}"/>
    <hyperlink ref="S244" r:id="rId971" xr:uid="{00000000-0004-0000-0100-0000CA030000}"/>
    <hyperlink ref="T244" r:id="rId972" xr:uid="{00000000-0004-0000-0100-0000CB030000}"/>
    <hyperlink ref="Q245" r:id="rId973" xr:uid="{00000000-0004-0000-0100-0000CC030000}"/>
    <hyperlink ref="R245" r:id="rId974" xr:uid="{00000000-0004-0000-0100-0000CD030000}"/>
    <hyperlink ref="S245" r:id="rId975" xr:uid="{00000000-0004-0000-0100-0000CE030000}"/>
    <hyperlink ref="T245" r:id="rId976" xr:uid="{00000000-0004-0000-0100-0000CF030000}"/>
    <hyperlink ref="Q246" r:id="rId977" xr:uid="{00000000-0004-0000-0100-0000D0030000}"/>
    <hyperlink ref="R246" r:id="rId978" xr:uid="{00000000-0004-0000-0100-0000D1030000}"/>
    <hyperlink ref="S246" r:id="rId979" xr:uid="{00000000-0004-0000-0100-0000D2030000}"/>
    <hyperlink ref="T246" r:id="rId980" xr:uid="{00000000-0004-0000-0100-0000D3030000}"/>
    <hyperlink ref="Q247" r:id="rId981" xr:uid="{00000000-0004-0000-0100-0000D4030000}"/>
    <hyperlink ref="R247" r:id="rId982" xr:uid="{00000000-0004-0000-0100-0000D5030000}"/>
    <hyperlink ref="S247" r:id="rId983" xr:uid="{00000000-0004-0000-0100-0000D6030000}"/>
    <hyperlink ref="T247" r:id="rId984" xr:uid="{00000000-0004-0000-0100-0000D7030000}"/>
    <hyperlink ref="Q248" r:id="rId985" xr:uid="{00000000-0004-0000-0100-0000D8030000}"/>
    <hyperlink ref="R248" r:id="rId986" xr:uid="{00000000-0004-0000-0100-0000D9030000}"/>
    <hyperlink ref="S248" r:id="rId987" xr:uid="{00000000-0004-0000-0100-0000DA030000}"/>
    <hyperlink ref="T248" r:id="rId988" xr:uid="{00000000-0004-0000-0100-0000DB030000}"/>
    <hyperlink ref="Q249" r:id="rId989" xr:uid="{00000000-0004-0000-0100-0000DC030000}"/>
    <hyperlink ref="R249" r:id="rId990" xr:uid="{00000000-0004-0000-0100-0000DD030000}"/>
    <hyperlink ref="S249" r:id="rId991" xr:uid="{00000000-0004-0000-0100-0000DE030000}"/>
    <hyperlink ref="T249" r:id="rId992" xr:uid="{00000000-0004-0000-0100-0000DF030000}"/>
    <hyperlink ref="Q250" r:id="rId993" xr:uid="{00000000-0004-0000-0100-0000E0030000}"/>
    <hyperlink ref="R250" r:id="rId994" xr:uid="{00000000-0004-0000-0100-0000E1030000}"/>
    <hyperlink ref="S250" r:id="rId995" xr:uid="{00000000-0004-0000-0100-0000E2030000}"/>
    <hyperlink ref="T250" r:id="rId996" xr:uid="{00000000-0004-0000-0100-0000E3030000}"/>
    <hyperlink ref="Q251" r:id="rId997" xr:uid="{00000000-0004-0000-0100-0000E4030000}"/>
    <hyperlink ref="R251" r:id="rId998" xr:uid="{00000000-0004-0000-0100-0000E5030000}"/>
    <hyperlink ref="S251" r:id="rId999" xr:uid="{00000000-0004-0000-0100-0000E6030000}"/>
    <hyperlink ref="T251" r:id="rId1000" xr:uid="{00000000-0004-0000-0100-0000E7030000}"/>
    <hyperlink ref="Q252" r:id="rId1001" xr:uid="{00000000-0004-0000-0100-0000E8030000}"/>
    <hyperlink ref="R252" r:id="rId1002" xr:uid="{00000000-0004-0000-0100-0000E9030000}"/>
    <hyperlink ref="S252" r:id="rId1003" xr:uid="{00000000-0004-0000-0100-0000EA030000}"/>
    <hyperlink ref="T252" r:id="rId1004" xr:uid="{00000000-0004-0000-0100-0000EB030000}"/>
    <hyperlink ref="Q253" r:id="rId1005" xr:uid="{00000000-0004-0000-0100-0000EC030000}"/>
    <hyperlink ref="R253" r:id="rId1006" xr:uid="{00000000-0004-0000-0100-0000ED030000}"/>
    <hyperlink ref="S253" r:id="rId1007" xr:uid="{00000000-0004-0000-0100-0000EE030000}"/>
    <hyperlink ref="T253" r:id="rId1008" xr:uid="{00000000-0004-0000-0100-0000EF030000}"/>
    <hyperlink ref="Q254" r:id="rId1009" xr:uid="{00000000-0004-0000-0100-0000F0030000}"/>
    <hyperlink ref="R254" r:id="rId1010" xr:uid="{00000000-0004-0000-0100-0000F1030000}"/>
    <hyperlink ref="S254" r:id="rId1011" xr:uid="{00000000-0004-0000-0100-0000F2030000}"/>
    <hyperlink ref="T254" r:id="rId1012" xr:uid="{00000000-0004-0000-0100-0000F3030000}"/>
    <hyperlink ref="Q255" r:id="rId1013" xr:uid="{00000000-0004-0000-0100-0000F4030000}"/>
    <hyperlink ref="R255" r:id="rId1014" xr:uid="{00000000-0004-0000-0100-0000F5030000}"/>
    <hyperlink ref="S255" r:id="rId1015" xr:uid="{00000000-0004-0000-0100-0000F6030000}"/>
    <hyperlink ref="T255" r:id="rId1016" xr:uid="{00000000-0004-0000-0100-0000F7030000}"/>
    <hyperlink ref="Q256" r:id="rId1017" xr:uid="{00000000-0004-0000-0100-0000F8030000}"/>
    <hyperlink ref="R256" r:id="rId1018" xr:uid="{00000000-0004-0000-0100-0000F9030000}"/>
    <hyperlink ref="S256" r:id="rId1019" xr:uid="{00000000-0004-0000-0100-0000FA030000}"/>
    <hyperlink ref="T256" r:id="rId1020" xr:uid="{00000000-0004-0000-0100-0000FB030000}"/>
    <hyperlink ref="Q257" r:id="rId1021" xr:uid="{00000000-0004-0000-0100-0000FC030000}"/>
    <hyperlink ref="R257" r:id="rId1022" xr:uid="{00000000-0004-0000-0100-0000FD030000}"/>
    <hyperlink ref="S257" r:id="rId1023" xr:uid="{00000000-0004-0000-0100-0000FE030000}"/>
    <hyperlink ref="T257" r:id="rId1024" xr:uid="{00000000-0004-0000-0100-0000FF030000}"/>
    <hyperlink ref="Q258" r:id="rId1025" xr:uid="{00000000-0004-0000-0100-000000040000}"/>
    <hyperlink ref="R258" r:id="rId1026" xr:uid="{00000000-0004-0000-0100-000001040000}"/>
    <hyperlink ref="S258" r:id="rId1027" xr:uid="{00000000-0004-0000-0100-000002040000}"/>
    <hyperlink ref="T258" r:id="rId1028" xr:uid="{00000000-0004-0000-0100-000003040000}"/>
    <hyperlink ref="Q259" r:id="rId1029" xr:uid="{00000000-0004-0000-0100-000004040000}"/>
    <hyperlink ref="R259" r:id="rId1030" xr:uid="{00000000-0004-0000-0100-000005040000}"/>
    <hyperlink ref="S259" r:id="rId1031" xr:uid="{00000000-0004-0000-0100-000006040000}"/>
    <hyperlink ref="T259" r:id="rId1032" xr:uid="{00000000-0004-0000-0100-000007040000}"/>
    <hyperlink ref="Q260" r:id="rId1033" xr:uid="{00000000-0004-0000-0100-000008040000}"/>
    <hyperlink ref="R260" r:id="rId1034" xr:uid="{00000000-0004-0000-0100-000009040000}"/>
    <hyperlink ref="S260" r:id="rId1035" xr:uid="{00000000-0004-0000-0100-00000A040000}"/>
    <hyperlink ref="T260" r:id="rId1036" xr:uid="{00000000-0004-0000-0100-00000B040000}"/>
    <hyperlink ref="Q261" r:id="rId1037" xr:uid="{00000000-0004-0000-0100-00000C040000}"/>
    <hyperlink ref="R261" r:id="rId1038" xr:uid="{00000000-0004-0000-0100-00000D040000}"/>
    <hyperlink ref="S261" r:id="rId1039" xr:uid="{00000000-0004-0000-0100-00000E040000}"/>
    <hyperlink ref="T261" r:id="rId1040" xr:uid="{00000000-0004-0000-0100-00000F040000}"/>
    <hyperlink ref="Q262" r:id="rId1041" xr:uid="{00000000-0004-0000-0100-000010040000}"/>
    <hyperlink ref="R262" r:id="rId1042" xr:uid="{00000000-0004-0000-0100-000011040000}"/>
    <hyperlink ref="S262" r:id="rId1043" xr:uid="{00000000-0004-0000-0100-000012040000}"/>
    <hyperlink ref="T262" r:id="rId1044" xr:uid="{00000000-0004-0000-0100-000013040000}"/>
    <hyperlink ref="Q263" r:id="rId1045" xr:uid="{00000000-0004-0000-0100-000014040000}"/>
    <hyperlink ref="R263" r:id="rId1046" xr:uid="{00000000-0004-0000-0100-000015040000}"/>
    <hyperlink ref="S263" r:id="rId1047" xr:uid="{00000000-0004-0000-0100-000016040000}"/>
    <hyperlink ref="T263" r:id="rId1048" xr:uid="{00000000-0004-0000-0100-000017040000}"/>
    <hyperlink ref="Q264" r:id="rId1049" xr:uid="{00000000-0004-0000-0100-000018040000}"/>
    <hyperlink ref="R264" r:id="rId1050" xr:uid="{00000000-0004-0000-0100-000019040000}"/>
    <hyperlink ref="S264" r:id="rId1051" xr:uid="{00000000-0004-0000-0100-00001A040000}"/>
    <hyperlink ref="T264" r:id="rId1052" xr:uid="{00000000-0004-0000-0100-00001B040000}"/>
    <hyperlink ref="Q265" r:id="rId1053" xr:uid="{00000000-0004-0000-0100-00001C040000}"/>
    <hyperlink ref="R265" r:id="rId1054" xr:uid="{00000000-0004-0000-0100-00001D040000}"/>
    <hyperlink ref="S265" r:id="rId1055" xr:uid="{00000000-0004-0000-0100-00001E040000}"/>
    <hyperlink ref="T265" r:id="rId1056" xr:uid="{00000000-0004-0000-0100-00001F040000}"/>
    <hyperlink ref="Q266" r:id="rId1057" xr:uid="{00000000-0004-0000-0100-000020040000}"/>
    <hyperlink ref="R266" r:id="rId1058" xr:uid="{00000000-0004-0000-0100-000021040000}"/>
    <hyperlink ref="S266" r:id="rId1059" xr:uid="{00000000-0004-0000-0100-000022040000}"/>
    <hyperlink ref="T266" r:id="rId1060" xr:uid="{00000000-0004-0000-0100-000023040000}"/>
    <hyperlink ref="Q267" r:id="rId1061" xr:uid="{00000000-0004-0000-0100-000024040000}"/>
    <hyperlink ref="R267" r:id="rId1062" xr:uid="{00000000-0004-0000-0100-000025040000}"/>
    <hyperlink ref="S267" r:id="rId1063" xr:uid="{00000000-0004-0000-0100-000026040000}"/>
    <hyperlink ref="T267" r:id="rId1064" xr:uid="{00000000-0004-0000-0100-000027040000}"/>
    <hyperlink ref="Q268" r:id="rId1065" xr:uid="{00000000-0004-0000-0100-000028040000}"/>
    <hyperlink ref="R268" r:id="rId1066" xr:uid="{00000000-0004-0000-0100-000029040000}"/>
    <hyperlink ref="S268" r:id="rId1067" xr:uid="{00000000-0004-0000-0100-00002A040000}"/>
    <hyperlink ref="T268" r:id="rId1068" xr:uid="{00000000-0004-0000-0100-00002B040000}"/>
    <hyperlink ref="Q269" r:id="rId1069" xr:uid="{00000000-0004-0000-0100-00002C040000}"/>
    <hyperlink ref="R269" r:id="rId1070" xr:uid="{00000000-0004-0000-0100-00002D040000}"/>
    <hyperlink ref="S269" r:id="rId1071" xr:uid="{00000000-0004-0000-0100-00002E040000}"/>
    <hyperlink ref="T269" r:id="rId1072" xr:uid="{00000000-0004-0000-0100-00002F040000}"/>
    <hyperlink ref="Q270" r:id="rId1073" xr:uid="{00000000-0004-0000-0100-000030040000}"/>
    <hyperlink ref="R270" r:id="rId1074" xr:uid="{00000000-0004-0000-0100-000031040000}"/>
    <hyperlink ref="S270" r:id="rId1075" xr:uid="{00000000-0004-0000-0100-000032040000}"/>
    <hyperlink ref="T270" r:id="rId1076" xr:uid="{00000000-0004-0000-0100-000033040000}"/>
    <hyperlink ref="Q271" r:id="rId1077" xr:uid="{00000000-0004-0000-0100-000034040000}"/>
    <hyperlink ref="R271" r:id="rId1078" xr:uid="{00000000-0004-0000-0100-000035040000}"/>
    <hyperlink ref="S271" r:id="rId1079" xr:uid="{00000000-0004-0000-0100-000036040000}"/>
    <hyperlink ref="T271" r:id="rId1080" xr:uid="{00000000-0004-0000-0100-000037040000}"/>
    <hyperlink ref="Q272" r:id="rId1081" xr:uid="{00000000-0004-0000-0100-000038040000}"/>
    <hyperlink ref="R272" r:id="rId1082" xr:uid="{00000000-0004-0000-0100-000039040000}"/>
    <hyperlink ref="S272" r:id="rId1083" xr:uid="{00000000-0004-0000-0100-00003A040000}"/>
    <hyperlink ref="T272" r:id="rId1084" xr:uid="{00000000-0004-0000-0100-00003B040000}"/>
    <hyperlink ref="Q273" r:id="rId1085" xr:uid="{00000000-0004-0000-0100-00003C040000}"/>
    <hyperlink ref="R273" r:id="rId1086" xr:uid="{00000000-0004-0000-0100-00003D040000}"/>
    <hyperlink ref="S273" r:id="rId1087" xr:uid="{00000000-0004-0000-0100-00003E040000}"/>
    <hyperlink ref="T273" r:id="rId1088" xr:uid="{00000000-0004-0000-0100-00003F040000}"/>
    <hyperlink ref="Q274" r:id="rId1089" xr:uid="{00000000-0004-0000-0100-000040040000}"/>
    <hyperlink ref="R274" r:id="rId1090" xr:uid="{00000000-0004-0000-0100-000041040000}"/>
    <hyperlink ref="S274" r:id="rId1091" xr:uid="{00000000-0004-0000-0100-000042040000}"/>
    <hyperlink ref="T274" r:id="rId1092" xr:uid="{00000000-0004-0000-0100-000043040000}"/>
    <hyperlink ref="Q275" r:id="rId1093" xr:uid="{00000000-0004-0000-0100-000044040000}"/>
    <hyperlink ref="R275" r:id="rId1094" xr:uid="{00000000-0004-0000-0100-000045040000}"/>
    <hyperlink ref="S275" r:id="rId1095" xr:uid="{00000000-0004-0000-0100-000046040000}"/>
    <hyperlink ref="T275" r:id="rId1096" xr:uid="{00000000-0004-0000-0100-000047040000}"/>
    <hyperlink ref="Q276" r:id="rId1097" xr:uid="{00000000-0004-0000-0100-000048040000}"/>
    <hyperlink ref="R276" r:id="rId1098" xr:uid="{00000000-0004-0000-0100-000049040000}"/>
    <hyperlink ref="S276" r:id="rId1099" xr:uid="{00000000-0004-0000-0100-00004A040000}"/>
    <hyperlink ref="T276" r:id="rId1100" xr:uid="{00000000-0004-0000-0100-00004B040000}"/>
    <hyperlink ref="Q277" r:id="rId1101" xr:uid="{00000000-0004-0000-0100-00004C040000}"/>
    <hyperlink ref="R277" r:id="rId1102" xr:uid="{00000000-0004-0000-0100-00004D040000}"/>
    <hyperlink ref="S277" r:id="rId1103" xr:uid="{00000000-0004-0000-0100-00004E040000}"/>
    <hyperlink ref="T277" r:id="rId1104" xr:uid="{00000000-0004-0000-0100-00004F040000}"/>
    <hyperlink ref="Q278" r:id="rId1105" xr:uid="{00000000-0004-0000-0100-000050040000}"/>
    <hyperlink ref="R278" r:id="rId1106" xr:uid="{00000000-0004-0000-0100-000051040000}"/>
    <hyperlink ref="S278" r:id="rId1107" xr:uid="{00000000-0004-0000-0100-000052040000}"/>
    <hyperlink ref="T278" r:id="rId1108" xr:uid="{00000000-0004-0000-0100-000053040000}"/>
    <hyperlink ref="Q279" r:id="rId1109" xr:uid="{00000000-0004-0000-0100-000054040000}"/>
    <hyperlink ref="R279" r:id="rId1110" xr:uid="{00000000-0004-0000-0100-000055040000}"/>
    <hyperlink ref="S279" r:id="rId1111" xr:uid="{00000000-0004-0000-0100-000056040000}"/>
    <hyperlink ref="T279" r:id="rId1112" xr:uid="{00000000-0004-0000-0100-000057040000}"/>
    <hyperlink ref="Q280" r:id="rId1113" xr:uid="{00000000-0004-0000-0100-000058040000}"/>
    <hyperlink ref="R280" r:id="rId1114" xr:uid="{00000000-0004-0000-0100-000059040000}"/>
    <hyperlink ref="S280" r:id="rId1115" xr:uid="{00000000-0004-0000-0100-00005A040000}"/>
    <hyperlink ref="T280" r:id="rId1116" xr:uid="{00000000-0004-0000-0100-00005B040000}"/>
    <hyperlink ref="Q281" r:id="rId1117" xr:uid="{00000000-0004-0000-0100-00005C040000}"/>
    <hyperlink ref="R281" r:id="rId1118" xr:uid="{00000000-0004-0000-0100-00005D040000}"/>
    <hyperlink ref="S281" r:id="rId1119" xr:uid="{00000000-0004-0000-0100-00005E040000}"/>
    <hyperlink ref="T281" r:id="rId1120" xr:uid="{00000000-0004-0000-0100-00005F040000}"/>
    <hyperlink ref="Q282" r:id="rId1121" xr:uid="{00000000-0004-0000-0100-000060040000}"/>
    <hyperlink ref="R282" r:id="rId1122" xr:uid="{00000000-0004-0000-0100-000061040000}"/>
    <hyperlink ref="S282" r:id="rId1123" xr:uid="{00000000-0004-0000-0100-000062040000}"/>
    <hyperlink ref="T282" r:id="rId1124" xr:uid="{00000000-0004-0000-0100-000063040000}"/>
    <hyperlink ref="Q283" r:id="rId1125" xr:uid="{00000000-0004-0000-0100-000064040000}"/>
    <hyperlink ref="R283" r:id="rId1126" xr:uid="{00000000-0004-0000-0100-000065040000}"/>
    <hyperlink ref="S283" r:id="rId1127" xr:uid="{00000000-0004-0000-0100-000066040000}"/>
    <hyperlink ref="T283" r:id="rId1128" xr:uid="{00000000-0004-0000-0100-000067040000}"/>
    <hyperlink ref="Q284" r:id="rId1129" xr:uid="{00000000-0004-0000-0100-000068040000}"/>
    <hyperlink ref="R284" r:id="rId1130" xr:uid="{00000000-0004-0000-0100-000069040000}"/>
    <hyperlink ref="S284" r:id="rId1131" xr:uid="{00000000-0004-0000-0100-00006A040000}"/>
    <hyperlink ref="T284" r:id="rId1132" xr:uid="{00000000-0004-0000-0100-00006B040000}"/>
    <hyperlink ref="Q285" r:id="rId1133" xr:uid="{00000000-0004-0000-0100-00006C040000}"/>
    <hyperlink ref="R285" r:id="rId1134" xr:uid="{00000000-0004-0000-0100-00006D040000}"/>
    <hyperlink ref="S285" r:id="rId1135" xr:uid="{00000000-0004-0000-0100-00006E040000}"/>
    <hyperlink ref="T285" r:id="rId1136" xr:uid="{00000000-0004-0000-0100-00006F040000}"/>
    <hyperlink ref="Q286" r:id="rId1137" xr:uid="{00000000-0004-0000-0100-000070040000}"/>
    <hyperlink ref="R286" r:id="rId1138" xr:uid="{00000000-0004-0000-0100-000071040000}"/>
    <hyperlink ref="S286" r:id="rId1139" xr:uid="{00000000-0004-0000-0100-000072040000}"/>
    <hyperlink ref="T286" r:id="rId1140" xr:uid="{00000000-0004-0000-0100-000073040000}"/>
    <hyperlink ref="Q287" r:id="rId1141" xr:uid="{00000000-0004-0000-0100-000074040000}"/>
    <hyperlink ref="R287" r:id="rId1142" xr:uid="{00000000-0004-0000-0100-000075040000}"/>
    <hyperlink ref="S287" r:id="rId1143" xr:uid="{00000000-0004-0000-0100-000076040000}"/>
    <hyperlink ref="T287" r:id="rId1144" xr:uid="{00000000-0004-0000-0100-000077040000}"/>
    <hyperlink ref="Q288" r:id="rId1145" xr:uid="{00000000-0004-0000-0100-000078040000}"/>
    <hyperlink ref="R288" r:id="rId1146" xr:uid="{00000000-0004-0000-0100-000079040000}"/>
    <hyperlink ref="S288" r:id="rId1147" xr:uid="{00000000-0004-0000-0100-00007A040000}"/>
    <hyperlink ref="T288" r:id="rId1148" xr:uid="{00000000-0004-0000-0100-00007B040000}"/>
    <hyperlink ref="Q289" r:id="rId1149" xr:uid="{00000000-0004-0000-0100-00007C040000}"/>
    <hyperlink ref="R289" r:id="rId1150" xr:uid="{00000000-0004-0000-0100-00007D040000}"/>
    <hyperlink ref="S289" r:id="rId1151" xr:uid="{00000000-0004-0000-0100-00007E040000}"/>
    <hyperlink ref="T289" r:id="rId1152" xr:uid="{00000000-0004-0000-0100-00007F040000}"/>
    <hyperlink ref="Q290" r:id="rId1153" xr:uid="{00000000-0004-0000-0100-000080040000}"/>
    <hyperlink ref="R290" r:id="rId1154" xr:uid="{00000000-0004-0000-0100-000081040000}"/>
    <hyperlink ref="S290" r:id="rId1155" xr:uid="{00000000-0004-0000-0100-000082040000}"/>
    <hyperlink ref="T290" r:id="rId1156" xr:uid="{00000000-0004-0000-0100-000083040000}"/>
    <hyperlink ref="Q291" r:id="rId1157" xr:uid="{00000000-0004-0000-0100-000084040000}"/>
    <hyperlink ref="R291" r:id="rId1158" xr:uid="{00000000-0004-0000-0100-000085040000}"/>
    <hyperlink ref="S291" r:id="rId1159" xr:uid="{00000000-0004-0000-0100-000086040000}"/>
    <hyperlink ref="T291" r:id="rId1160" xr:uid="{00000000-0004-0000-0100-000087040000}"/>
    <hyperlink ref="Q292" r:id="rId1161" xr:uid="{00000000-0004-0000-0100-000088040000}"/>
    <hyperlink ref="R292" r:id="rId1162" xr:uid="{00000000-0004-0000-0100-000089040000}"/>
    <hyperlink ref="S292" r:id="rId1163" xr:uid="{00000000-0004-0000-0100-00008A040000}"/>
    <hyperlink ref="T292" r:id="rId1164" xr:uid="{00000000-0004-0000-0100-00008B040000}"/>
    <hyperlink ref="Q293" r:id="rId1165" xr:uid="{00000000-0004-0000-0100-00008C040000}"/>
    <hyperlink ref="R293" r:id="rId1166" xr:uid="{00000000-0004-0000-0100-00008D040000}"/>
    <hyperlink ref="S293" r:id="rId1167" xr:uid="{00000000-0004-0000-0100-00008E040000}"/>
    <hyperlink ref="T293" r:id="rId1168" xr:uid="{00000000-0004-0000-0100-00008F040000}"/>
    <hyperlink ref="Q294" r:id="rId1169" xr:uid="{00000000-0004-0000-0100-000090040000}"/>
    <hyperlink ref="R294" r:id="rId1170" xr:uid="{00000000-0004-0000-0100-000091040000}"/>
    <hyperlink ref="S294" r:id="rId1171" xr:uid="{00000000-0004-0000-0100-000092040000}"/>
    <hyperlink ref="T294" r:id="rId1172" xr:uid="{00000000-0004-0000-0100-000093040000}"/>
    <hyperlink ref="Q295" r:id="rId1173" xr:uid="{00000000-0004-0000-0100-000094040000}"/>
    <hyperlink ref="R295" r:id="rId1174" xr:uid="{00000000-0004-0000-0100-000095040000}"/>
    <hyperlink ref="S295" r:id="rId1175" xr:uid="{00000000-0004-0000-0100-000096040000}"/>
    <hyperlink ref="T295" r:id="rId1176" xr:uid="{00000000-0004-0000-0100-000097040000}"/>
    <hyperlink ref="Q296" r:id="rId1177" xr:uid="{00000000-0004-0000-0100-000098040000}"/>
    <hyperlink ref="R296" r:id="rId1178" xr:uid="{00000000-0004-0000-0100-000099040000}"/>
    <hyperlink ref="S296" r:id="rId1179" xr:uid="{00000000-0004-0000-0100-00009A040000}"/>
    <hyperlink ref="T296" r:id="rId1180" xr:uid="{00000000-0004-0000-0100-00009B040000}"/>
    <hyperlink ref="Q297" r:id="rId1181" xr:uid="{00000000-0004-0000-0100-00009C040000}"/>
    <hyperlink ref="R297" r:id="rId1182" xr:uid="{00000000-0004-0000-0100-00009D040000}"/>
    <hyperlink ref="S297" r:id="rId1183" xr:uid="{00000000-0004-0000-0100-00009E040000}"/>
    <hyperlink ref="T297" r:id="rId1184" xr:uid="{00000000-0004-0000-0100-00009F040000}"/>
    <hyperlink ref="Q298" r:id="rId1185" xr:uid="{00000000-0004-0000-0100-0000A0040000}"/>
    <hyperlink ref="R298" r:id="rId1186" xr:uid="{00000000-0004-0000-0100-0000A1040000}"/>
    <hyperlink ref="S298" r:id="rId1187" xr:uid="{00000000-0004-0000-0100-0000A2040000}"/>
    <hyperlink ref="T298" r:id="rId1188" xr:uid="{00000000-0004-0000-0100-0000A3040000}"/>
    <hyperlink ref="Q299" r:id="rId1189" xr:uid="{00000000-0004-0000-0100-0000A4040000}"/>
    <hyperlink ref="R299" r:id="rId1190" xr:uid="{00000000-0004-0000-0100-0000A5040000}"/>
    <hyperlink ref="S299" r:id="rId1191" xr:uid="{00000000-0004-0000-0100-0000A6040000}"/>
    <hyperlink ref="T299" r:id="rId1192" xr:uid="{00000000-0004-0000-0100-0000A7040000}"/>
    <hyperlink ref="Q300" r:id="rId1193" xr:uid="{00000000-0004-0000-0100-0000A8040000}"/>
    <hyperlink ref="R300" r:id="rId1194" xr:uid="{00000000-0004-0000-0100-0000A9040000}"/>
    <hyperlink ref="S300" r:id="rId1195" xr:uid="{00000000-0004-0000-0100-0000AA040000}"/>
    <hyperlink ref="T300" r:id="rId1196" xr:uid="{00000000-0004-0000-0100-0000AB040000}"/>
    <hyperlink ref="Q301" r:id="rId1197" xr:uid="{00000000-0004-0000-0100-0000AC040000}"/>
    <hyperlink ref="R301" r:id="rId1198" xr:uid="{00000000-0004-0000-0100-0000AD040000}"/>
    <hyperlink ref="S301" r:id="rId1199" xr:uid="{00000000-0004-0000-0100-0000AE040000}"/>
    <hyperlink ref="T301" r:id="rId1200" xr:uid="{00000000-0004-0000-0100-0000AF040000}"/>
    <hyperlink ref="Q302" r:id="rId1201" xr:uid="{00000000-0004-0000-0100-0000B0040000}"/>
    <hyperlink ref="R302" r:id="rId1202" xr:uid="{00000000-0004-0000-0100-0000B1040000}"/>
    <hyperlink ref="S302" r:id="rId1203" xr:uid="{00000000-0004-0000-0100-0000B2040000}"/>
    <hyperlink ref="T302" r:id="rId1204" xr:uid="{00000000-0004-0000-0100-0000B3040000}"/>
    <hyperlink ref="Q303" r:id="rId1205" xr:uid="{00000000-0004-0000-0100-0000B4040000}"/>
    <hyperlink ref="R303" r:id="rId1206" xr:uid="{00000000-0004-0000-0100-0000B5040000}"/>
    <hyperlink ref="S303" r:id="rId1207" xr:uid="{00000000-0004-0000-0100-0000B6040000}"/>
    <hyperlink ref="T303" r:id="rId1208" xr:uid="{00000000-0004-0000-0100-0000B7040000}"/>
    <hyperlink ref="Q304" r:id="rId1209" xr:uid="{00000000-0004-0000-0100-0000B8040000}"/>
    <hyperlink ref="R304" r:id="rId1210" xr:uid="{00000000-0004-0000-0100-0000B9040000}"/>
    <hyperlink ref="S304" r:id="rId1211" xr:uid="{00000000-0004-0000-0100-0000BA040000}"/>
    <hyperlink ref="T304" r:id="rId1212" xr:uid="{00000000-0004-0000-0100-0000BB040000}"/>
    <hyperlink ref="Q305" r:id="rId1213" xr:uid="{00000000-0004-0000-0100-0000BC040000}"/>
    <hyperlink ref="R305" r:id="rId1214" xr:uid="{00000000-0004-0000-0100-0000BD040000}"/>
    <hyperlink ref="S305" r:id="rId1215" xr:uid="{00000000-0004-0000-0100-0000BE040000}"/>
    <hyperlink ref="T305" r:id="rId1216" xr:uid="{00000000-0004-0000-0100-0000BF040000}"/>
    <hyperlink ref="Q306" r:id="rId1217" xr:uid="{00000000-0004-0000-0100-0000C0040000}"/>
    <hyperlink ref="R306" r:id="rId1218" xr:uid="{00000000-0004-0000-0100-0000C1040000}"/>
    <hyperlink ref="S306" r:id="rId1219" xr:uid="{00000000-0004-0000-0100-0000C2040000}"/>
    <hyperlink ref="T306" r:id="rId1220" xr:uid="{00000000-0004-0000-0100-0000C3040000}"/>
    <hyperlink ref="Q307" r:id="rId1221" xr:uid="{00000000-0004-0000-0100-0000C4040000}"/>
    <hyperlink ref="R307" r:id="rId1222" xr:uid="{00000000-0004-0000-0100-0000C5040000}"/>
    <hyperlink ref="S307" r:id="rId1223" xr:uid="{00000000-0004-0000-0100-0000C6040000}"/>
    <hyperlink ref="T307" r:id="rId1224" xr:uid="{00000000-0004-0000-0100-0000C7040000}"/>
    <hyperlink ref="Q308" r:id="rId1225" xr:uid="{00000000-0004-0000-0100-0000C8040000}"/>
    <hyperlink ref="R308" r:id="rId1226" xr:uid="{00000000-0004-0000-0100-0000C9040000}"/>
    <hyperlink ref="S308" r:id="rId1227" xr:uid="{00000000-0004-0000-0100-0000CA040000}"/>
    <hyperlink ref="T308" r:id="rId1228" xr:uid="{00000000-0004-0000-0100-0000CB040000}"/>
    <hyperlink ref="Q309" r:id="rId1229" xr:uid="{00000000-0004-0000-0100-0000CC040000}"/>
    <hyperlink ref="R309" r:id="rId1230" xr:uid="{00000000-0004-0000-0100-0000CD040000}"/>
    <hyperlink ref="S309" r:id="rId1231" xr:uid="{00000000-0004-0000-0100-0000CE040000}"/>
    <hyperlink ref="T309" r:id="rId1232" xr:uid="{00000000-0004-0000-0100-0000CF040000}"/>
    <hyperlink ref="Q310" r:id="rId1233" xr:uid="{00000000-0004-0000-0100-0000D0040000}"/>
    <hyperlink ref="R310" r:id="rId1234" xr:uid="{00000000-0004-0000-0100-0000D1040000}"/>
    <hyperlink ref="S310" r:id="rId1235" xr:uid="{00000000-0004-0000-0100-0000D2040000}"/>
    <hyperlink ref="T310" r:id="rId1236" xr:uid="{00000000-0004-0000-0100-0000D3040000}"/>
    <hyperlink ref="Q311" r:id="rId1237" xr:uid="{00000000-0004-0000-0100-0000D4040000}"/>
    <hyperlink ref="R311" r:id="rId1238" xr:uid="{00000000-0004-0000-0100-0000D5040000}"/>
    <hyperlink ref="S311" r:id="rId1239" xr:uid="{00000000-0004-0000-0100-0000D6040000}"/>
    <hyperlink ref="T311" r:id="rId1240" xr:uid="{00000000-0004-0000-0100-0000D7040000}"/>
    <hyperlink ref="Q312" r:id="rId1241" xr:uid="{00000000-0004-0000-0100-0000D8040000}"/>
    <hyperlink ref="R312" r:id="rId1242" xr:uid="{00000000-0004-0000-0100-0000D9040000}"/>
    <hyperlink ref="S312" r:id="rId1243" xr:uid="{00000000-0004-0000-0100-0000DA040000}"/>
    <hyperlink ref="T312" r:id="rId1244" xr:uid="{00000000-0004-0000-0100-0000DB040000}"/>
    <hyperlink ref="Q313" r:id="rId1245" xr:uid="{00000000-0004-0000-0100-0000DC040000}"/>
    <hyperlink ref="R313" r:id="rId1246" xr:uid="{00000000-0004-0000-0100-0000DD040000}"/>
    <hyperlink ref="S313" r:id="rId1247" xr:uid="{00000000-0004-0000-0100-0000DE040000}"/>
    <hyperlink ref="T313" r:id="rId1248" xr:uid="{00000000-0004-0000-0100-0000DF040000}"/>
    <hyperlink ref="Q314" r:id="rId1249" xr:uid="{00000000-0004-0000-0100-0000E0040000}"/>
    <hyperlink ref="R314" r:id="rId1250" xr:uid="{00000000-0004-0000-0100-0000E1040000}"/>
    <hyperlink ref="S314" r:id="rId1251" xr:uid="{00000000-0004-0000-0100-0000E2040000}"/>
    <hyperlink ref="T314" r:id="rId1252" xr:uid="{00000000-0004-0000-0100-0000E3040000}"/>
    <hyperlink ref="Q315" r:id="rId1253" xr:uid="{00000000-0004-0000-0100-0000E4040000}"/>
    <hyperlink ref="R315" r:id="rId1254" xr:uid="{00000000-0004-0000-0100-0000E5040000}"/>
    <hyperlink ref="S315" r:id="rId1255" xr:uid="{00000000-0004-0000-0100-0000E6040000}"/>
    <hyperlink ref="T315" r:id="rId1256" xr:uid="{00000000-0004-0000-0100-0000E7040000}"/>
    <hyperlink ref="Q316" r:id="rId1257" xr:uid="{00000000-0004-0000-0100-0000E8040000}"/>
    <hyperlink ref="R316" r:id="rId1258" xr:uid="{00000000-0004-0000-0100-0000E9040000}"/>
    <hyperlink ref="S316" r:id="rId1259" xr:uid="{00000000-0004-0000-0100-0000EA040000}"/>
    <hyperlink ref="T316" r:id="rId1260" xr:uid="{00000000-0004-0000-0100-0000EB040000}"/>
    <hyperlink ref="Q317" r:id="rId1261" xr:uid="{00000000-0004-0000-0100-0000EC040000}"/>
    <hyperlink ref="R317" r:id="rId1262" xr:uid="{00000000-0004-0000-0100-0000ED040000}"/>
    <hyperlink ref="S317" r:id="rId1263" xr:uid="{00000000-0004-0000-0100-0000EE040000}"/>
    <hyperlink ref="T317" r:id="rId1264" xr:uid="{00000000-0004-0000-0100-0000EF040000}"/>
    <hyperlink ref="Q318" r:id="rId1265" xr:uid="{00000000-0004-0000-0100-0000F0040000}"/>
    <hyperlink ref="R318" r:id="rId1266" xr:uid="{00000000-0004-0000-0100-0000F1040000}"/>
    <hyperlink ref="S318" r:id="rId1267" xr:uid="{00000000-0004-0000-0100-0000F2040000}"/>
    <hyperlink ref="T318" r:id="rId1268" xr:uid="{00000000-0004-0000-0100-0000F3040000}"/>
    <hyperlink ref="Q319" r:id="rId1269" xr:uid="{00000000-0004-0000-0100-0000F4040000}"/>
    <hyperlink ref="R319" r:id="rId1270" xr:uid="{00000000-0004-0000-0100-0000F5040000}"/>
    <hyperlink ref="S319" r:id="rId1271" xr:uid="{00000000-0004-0000-0100-0000F6040000}"/>
    <hyperlink ref="T319" r:id="rId1272" xr:uid="{00000000-0004-0000-0100-0000F7040000}"/>
    <hyperlink ref="Q320" r:id="rId1273" xr:uid="{00000000-0004-0000-0100-0000F8040000}"/>
    <hyperlink ref="R320" r:id="rId1274" xr:uid="{00000000-0004-0000-0100-0000F9040000}"/>
    <hyperlink ref="S320" r:id="rId1275" xr:uid="{00000000-0004-0000-0100-0000FA040000}"/>
    <hyperlink ref="T320" r:id="rId1276" xr:uid="{00000000-0004-0000-0100-0000FB040000}"/>
    <hyperlink ref="Q321" r:id="rId1277" xr:uid="{00000000-0004-0000-0100-0000FC040000}"/>
    <hyperlink ref="R321" r:id="rId1278" xr:uid="{00000000-0004-0000-0100-0000FD040000}"/>
    <hyperlink ref="S321" r:id="rId1279" xr:uid="{00000000-0004-0000-0100-0000FE040000}"/>
    <hyperlink ref="T321" r:id="rId1280" xr:uid="{00000000-0004-0000-0100-0000FF040000}"/>
    <hyperlink ref="Q322" r:id="rId1281" xr:uid="{00000000-0004-0000-0100-000000050000}"/>
    <hyperlink ref="R322" r:id="rId1282" xr:uid="{00000000-0004-0000-0100-000001050000}"/>
    <hyperlink ref="S322" r:id="rId1283" xr:uid="{00000000-0004-0000-0100-000002050000}"/>
    <hyperlink ref="T322" r:id="rId1284" xr:uid="{00000000-0004-0000-0100-000003050000}"/>
    <hyperlink ref="Q323" r:id="rId1285" xr:uid="{00000000-0004-0000-0100-000004050000}"/>
    <hyperlink ref="R323" r:id="rId1286" xr:uid="{00000000-0004-0000-0100-000005050000}"/>
    <hyperlink ref="S323" r:id="rId1287" xr:uid="{00000000-0004-0000-0100-000006050000}"/>
    <hyperlink ref="T323" r:id="rId1288" xr:uid="{00000000-0004-0000-0100-000007050000}"/>
    <hyperlink ref="Q324" r:id="rId1289" xr:uid="{00000000-0004-0000-0100-000008050000}"/>
    <hyperlink ref="R324" r:id="rId1290" xr:uid="{00000000-0004-0000-0100-000009050000}"/>
    <hyperlink ref="S324" r:id="rId1291" xr:uid="{00000000-0004-0000-0100-00000A050000}"/>
    <hyperlink ref="T324" r:id="rId1292" xr:uid="{00000000-0004-0000-0100-00000B050000}"/>
    <hyperlink ref="Q325" r:id="rId1293" xr:uid="{00000000-0004-0000-0100-00000C050000}"/>
    <hyperlink ref="R325" r:id="rId1294" xr:uid="{00000000-0004-0000-0100-00000D050000}"/>
    <hyperlink ref="S325" r:id="rId1295" xr:uid="{00000000-0004-0000-0100-00000E050000}"/>
    <hyperlink ref="T325" r:id="rId1296" xr:uid="{00000000-0004-0000-0100-00000F050000}"/>
    <hyperlink ref="Q326" r:id="rId1297" xr:uid="{00000000-0004-0000-0100-000010050000}"/>
    <hyperlink ref="R326" r:id="rId1298" xr:uid="{00000000-0004-0000-0100-000011050000}"/>
    <hyperlink ref="S326" r:id="rId1299" xr:uid="{00000000-0004-0000-0100-000012050000}"/>
    <hyperlink ref="T326" r:id="rId1300" xr:uid="{00000000-0004-0000-0100-000013050000}"/>
    <hyperlink ref="Q327" r:id="rId1301" xr:uid="{00000000-0004-0000-0100-000014050000}"/>
    <hyperlink ref="R327" r:id="rId1302" xr:uid="{00000000-0004-0000-0100-000015050000}"/>
    <hyperlink ref="S327" r:id="rId1303" xr:uid="{00000000-0004-0000-0100-000016050000}"/>
    <hyperlink ref="T327" r:id="rId1304" xr:uid="{00000000-0004-0000-0100-000017050000}"/>
    <hyperlink ref="Q328" r:id="rId1305" xr:uid="{00000000-0004-0000-0100-000018050000}"/>
    <hyperlink ref="R328" r:id="rId1306" xr:uid="{00000000-0004-0000-0100-000019050000}"/>
    <hyperlink ref="S328" r:id="rId1307" xr:uid="{00000000-0004-0000-0100-00001A050000}"/>
    <hyperlink ref="T328" r:id="rId1308" xr:uid="{00000000-0004-0000-0100-00001B050000}"/>
    <hyperlink ref="Q329" r:id="rId1309" xr:uid="{00000000-0004-0000-0100-00001C050000}"/>
    <hyperlink ref="R329" r:id="rId1310" xr:uid="{00000000-0004-0000-0100-00001D050000}"/>
    <hyperlink ref="S329" r:id="rId1311" xr:uid="{00000000-0004-0000-0100-00001E050000}"/>
    <hyperlink ref="T329" r:id="rId1312" xr:uid="{00000000-0004-0000-0100-00001F050000}"/>
    <hyperlink ref="Q330" r:id="rId1313" xr:uid="{00000000-0004-0000-0100-000020050000}"/>
    <hyperlink ref="R330" r:id="rId1314" xr:uid="{00000000-0004-0000-0100-000021050000}"/>
    <hyperlink ref="S330" r:id="rId1315" xr:uid="{00000000-0004-0000-0100-000022050000}"/>
    <hyperlink ref="T330" r:id="rId1316" xr:uid="{00000000-0004-0000-0100-000023050000}"/>
    <hyperlink ref="Q331" r:id="rId1317" xr:uid="{00000000-0004-0000-0100-000024050000}"/>
    <hyperlink ref="R331" r:id="rId1318" xr:uid="{00000000-0004-0000-0100-000025050000}"/>
    <hyperlink ref="S331" r:id="rId1319" xr:uid="{00000000-0004-0000-0100-000026050000}"/>
    <hyperlink ref="T331" r:id="rId1320" xr:uid="{00000000-0004-0000-0100-000027050000}"/>
    <hyperlink ref="Q332" r:id="rId1321" xr:uid="{00000000-0004-0000-0100-000028050000}"/>
    <hyperlink ref="R332" r:id="rId1322" xr:uid="{00000000-0004-0000-0100-000029050000}"/>
    <hyperlink ref="S332" r:id="rId1323" xr:uid="{00000000-0004-0000-0100-00002A050000}"/>
    <hyperlink ref="T332" r:id="rId1324" xr:uid="{00000000-0004-0000-0100-00002B050000}"/>
    <hyperlink ref="Q333" r:id="rId1325" xr:uid="{00000000-0004-0000-0100-00002C050000}"/>
    <hyperlink ref="R333" r:id="rId1326" xr:uid="{00000000-0004-0000-0100-00002D050000}"/>
    <hyperlink ref="S333" r:id="rId1327" xr:uid="{00000000-0004-0000-0100-00002E050000}"/>
    <hyperlink ref="T333" r:id="rId1328" xr:uid="{00000000-0004-0000-0100-00002F050000}"/>
    <hyperlink ref="Q334" r:id="rId1329" xr:uid="{00000000-0004-0000-0100-000030050000}"/>
    <hyperlink ref="R334" r:id="rId1330" xr:uid="{00000000-0004-0000-0100-000031050000}"/>
    <hyperlink ref="S334" r:id="rId1331" xr:uid="{00000000-0004-0000-0100-000032050000}"/>
    <hyperlink ref="T334" r:id="rId1332" xr:uid="{00000000-0004-0000-0100-000033050000}"/>
    <hyperlink ref="Q335" r:id="rId1333" xr:uid="{00000000-0004-0000-0100-000034050000}"/>
    <hyperlink ref="R335" r:id="rId1334" xr:uid="{00000000-0004-0000-0100-000035050000}"/>
    <hyperlink ref="S335" r:id="rId1335" xr:uid="{00000000-0004-0000-0100-000036050000}"/>
    <hyperlink ref="T335" r:id="rId1336" xr:uid="{00000000-0004-0000-0100-000037050000}"/>
    <hyperlink ref="Q336" r:id="rId1337" xr:uid="{00000000-0004-0000-0100-000038050000}"/>
    <hyperlink ref="R336" r:id="rId1338" xr:uid="{00000000-0004-0000-0100-000039050000}"/>
    <hyperlink ref="S336" r:id="rId1339" xr:uid="{00000000-0004-0000-0100-00003A050000}"/>
    <hyperlink ref="T336" r:id="rId1340" xr:uid="{00000000-0004-0000-0100-00003B050000}"/>
    <hyperlink ref="Q337" r:id="rId1341" xr:uid="{00000000-0004-0000-0100-00003C050000}"/>
    <hyperlink ref="R337" r:id="rId1342" xr:uid="{00000000-0004-0000-0100-00003D050000}"/>
    <hyperlink ref="S337" r:id="rId1343" xr:uid="{00000000-0004-0000-0100-00003E050000}"/>
    <hyperlink ref="T337" r:id="rId1344" xr:uid="{00000000-0004-0000-0100-00003F050000}"/>
    <hyperlink ref="Q338" r:id="rId1345" xr:uid="{00000000-0004-0000-0100-000040050000}"/>
    <hyperlink ref="R338" r:id="rId1346" xr:uid="{00000000-0004-0000-0100-000041050000}"/>
    <hyperlink ref="S338" r:id="rId1347" xr:uid="{00000000-0004-0000-0100-000042050000}"/>
    <hyperlink ref="T338" r:id="rId1348" xr:uid="{00000000-0004-0000-0100-000043050000}"/>
    <hyperlink ref="Q339" r:id="rId1349" xr:uid="{00000000-0004-0000-0100-000044050000}"/>
    <hyperlink ref="R339" r:id="rId1350" xr:uid="{00000000-0004-0000-0100-000045050000}"/>
    <hyperlink ref="S339" r:id="rId1351" xr:uid="{00000000-0004-0000-0100-000046050000}"/>
    <hyperlink ref="T339" r:id="rId1352" xr:uid="{00000000-0004-0000-0100-000047050000}"/>
    <hyperlink ref="Q340" r:id="rId1353" xr:uid="{00000000-0004-0000-0100-000048050000}"/>
    <hyperlink ref="R340" r:id="rId1354" xr:uid="{00000000-0004-0000-0100-000049050000}"/>
    <hyperlink ref="S340" r:id="rId1355" xr:uid="{00000000-0004-0000-0100-00004A050000}"/>
    <hyperlink ref="T340" r:id="rId1356" xr:uid="{00000000-0004-0000-0100-00004B050000}"/>
    <hyperlink ref="Q341" r:id="rId1357" xr:uid="{00000000-0004-0000-0100-00004C050000}"/>
    <hyperlink ref="R341" r:id="rId1358" xr:uid="{00000000-0004-0000-0100-00004D050000}"/>
    <hyperlink ref="S341" r:id="rId1359" xr:uid="{00000000-0004-0000-0100-00004E050000}"/>
    <hyperlink ref="T341" r:id="rId1360" xr:uid="{00000000-0004-0000-0100-00004F050000}"/>
    <hyperlink ref="Q342" r:id="rId1361" xr:uid="{00000000-0004-0000-0100-000050050000}"/>
    <hyperlink ref="R342" r:id="rId1362" xr:uid="{00000000-0004-0000-0100-000051050000}"/>
    <hyperlink ref="S342" r:id="rId1363" xr:uid="{00000000-0004-0000-0100-000052050000}"/>
    <hyperlink ref="T342" r:id="rId1364" xr:uid="{00000000-0004-0000-0100-000053050000}"/>
    <hyperlink ref="Q343" r:id="rId1365" xr:uid="{00000000-0004-0000-0100-000054050000}"/>
    <hyperlink ref="R343" r:id="rId1366" xr:uid="{00000000-0004-0000-0100-000055050000}"/>
    <hyperlink ref="S343" r:id="rId1367" xr:uid="{00000000-0004-0000-0100-000056050000}"/>
    <hyperlink ref="T343" r:id="rId1368" xr:uid="{00000000-0004-0000-0100-000057050000}"/>
    <hyperlink ref="Q344" r:id="rId1369" xr:uid="{00000000-0004-0000-0100-000058050000}"/>
    <hyperlink ref="R344" r:id="rId1370" xr:uid="{00000000-0004-0000-0100-000059050000}"/>
    <hyperlink ref="S344" r:id="rId1371" xr:uid="{00000000-0004-0000-0100-00005A050000}"/>
    <hyperlink ref="T344" r:id="rId1372" xr:uid="{00000000-0004-0000-0100-00005B050000}"/>
    <hyperlink ref="Q345" r:id="rId1373" xr:uid="{00000000-0004-0000-0100-00005C050000}"/>
    <hyperlink ref="R345" r:id="rId1374" xr:uid="{00000000-0004-0000-0100-00005D050000}"/>
    <hyperlink ref="S345" r:id="rId1375" xr:uid="{00000000-0004-0000-0100-00005E050000}"/>
    <hyperlink ref="T345" r:id="rId1376" xr:uid="{00000000-0004-0000-0100-00005F050000}"/>
    <hyperlink ref="Q346" r:id="rId1377" xr:uid="{00000000-0004-0000-0100-000060050000}"/>
    <hyperlink ref="R346" r:id="rId1378" xr:uid="{00000000-0004-0000-0100-000061050000}"/>
    <hyperlink ref="S346" r:id="rId1379" xr:uid="{00000000-0004-0000-0100-000062050000}"/>
    <hyperlink ref="T346" r:id="rId1380" xr:uid="{00000000-0004-0000-0100-000063050000}"/>
    <hyperlink ref="Q347" r:id="rId1381" xr:uid="{00000000-0004-0000-0100-000064050000}"/>
    <hyperlink ref="R347" r:id="rId1382" xr:uid="{00000000-0004-0000-0100-000065050000}"/>
    <hyperlink ref="S347" r:id="rId1383" xr:uid="{00000000-0004-0000-0100-000066050000}"/>
    <hyperlink ref="T347" r:id="rId1384" xr:uid="{00000000-0004-0000-0100-000067050000}"/>
    <hyperlink ref="Q348" r:id="rId1385" xr:uid="{00000000-0004-0000-0100-000068050000}"/>
    <hyperlink ref="R348" r:id="rId1386" xr:uid="{00000000-0004-0000-0100-000069050000}"/>
    <hyperlink ref="S348" r:id="rId1387" xr:uid="{00000000-0004-0000-0100-00006A050000}"/>
    <hyperlink ref="T348" r:id="rId1388" xr:uid="{00000000-0004-0000-0100-00006B050000}"/>
    <hyperlink ref="Q349" r:id="rId1389" xr:uid="{00000000-0004-0000-0100-00006C050000}"/>
    <hyperlink ref="R349" r:id="rId1390" xr:uid="{00000000-0004-0000-0100-00006D050000}"/>
    <hyperlink ref="S349" r:id="rId1391" xr:uid="{00000000-0004-0000-0100-00006E050000}"/>
    <hyperlink ref="T349" r:id="rId1392" xr:uid="{00000000-0004-0000-0100-00006F050000}"/>
    <hyperlink ref="Q350" r:id="rId1393" xr:uid="{00000000-0004-0000-0100-000070050000}"/>
    <hyperlink ref="R350" r:id="rId1394" xr:uid="{00000000-0004-0000-0100-000071050000}"/>
    <hyperlink ref="S350" r:id="rId1395" xr:uid="{00000000-0004-0000-0100-000072050000}"/>
    <hyperlink ref="T350" r:id="rId1396" xr:uid="{00000000-0004-0000-0100-000073050000}"/>
    <hyperlink ref="Q351" r:id="rId1397" xr:uid="{00000000-0004-0000-0100-000074050000}"/>
    <hyperlink ref="R351" r:id="rId1398" xr:uid="{00000000-0004-0000-0100-000075050000}"/>
    <hyperlink ref="S351" r:id="rId1399" xr:uid="{00000000-0004-0000-0100-000076050000}"/>
    <hyperlink ref="T351" r:id="rId1400" xr:uid="{00000000-0004-0000-0100-000077050000}"/>
    <hyperlink ref="Q352" r:id="rId1401" xr:uid="{00000000-0004-0000-0100-000078050000}"/>
    <hyperlink ref="R352" r:id="rId1402" xr:uid="{00000000-0004-0000-0100-000079050000}"/>
    <hyperlink ref="S352" r:id="rId1403" xr:uid="{00000000-0004-0000-0100-00007A050000}"/>
    <hyperlink ref="T352" r:id="rId1404" xr:uid="{00000000-0004-0000-0100-00007B050000}"/>
    <hyperlink ref="Q353" r:id="rId1405" xr:uid="{00000000-0004-0000-0100-00007C050000}"/>
    <hyperlink ref="R353" r:id="rId1406" xr:uid="{00000000-0004-0000-0100-00007D050000}"/>
    <hyperlink ref="S353" r:id="rId1407" xr:uid="{00000000-0004-0000-0100-00007E050000}"/>
    <hyperlink ref="T353" r:id="rId1408" xr:uid="{00000000-0004-0000-0100-00007F050000}"/>
    <hyperlink ref="Q354" r:id="rId1409" xr:uid="{00000000-0004-0000-0100-000080050000}"/>
    <hyperlink ref="R354" r:id="rId1410" xr:uid="{00000000-0004-0000-0100-000081050000}"/>
    <hyperlink ref="S354" r:id="rId1411" xr:uid="{00000000-0004-0000-0100-000082050000}"/>
    <hyperlink ref="T354" r:id="rId1412" xr:uid="{00000000-0004-0000-0100-000083050000}"/>
    <hyperlink ref="Q355" r:id="rId1413" xr:uid="{00000000-0004-0000-0100-000084050000}"/>
    <hyperlink ref="R355" r:id="rId1414" xr:uid="{00000000-0004-0000-0100-000085050000}"/>
    <hyperlink ref="S355" r:id="rId1415" xr:uid="{00000000-0004-0000-0100-000086050000}"/>
    <hyperlink ref="T355" r:id="rId1416" xr:uid="{00000000-0004-0000-0100-000087050000}"/>
    <hyperlink ref="Q356" r:id="rId1417" xr:uid="{00000000-0004-0000-0100-000088050000}"/>
    <hyperlink ref="R356" r:id="rId1418" xr:uid="{00000000-0004-0000-0100-000089050000}"/>
    <hyperlink ref="S356" r:id="rId1419" xr:uid="{00000000-0004-0000-0100-00008A050000}"/>
    <hyperlink ref="T356" r:id="rId1420" xr:uid="{00000000-0004-0000-0100-00008B050000}"/>
    <hyperlink ref="Q357" r:id="rId1421" xr:uid="{00000000-0004-0000-0100-00008C050000}"/>
    <hyperlink ref="R357" r:id="rId1422" xr:uid="{00000000-0004-0000-0100-00008D050000}"/>
    <hyperlink ref="S357" r:id="rId1423" xr:uid="{00000000-0004-0000-0100-00008E050000}"/>
    <hyperlink ref="T357" r:id="rId1424" xr:uid="{00000000-0004-0000-0100-00008F050000}"/>
    <hyperlink ref="Q358" r:id="rId1425" xr:uid="{00000000-0004-0000-0100-000090050000}"/>
    <hyperlink ref="R358" r:id="rId1426" xr:uid="{00000000-0004-0000-0100-000091050000}"/>
    <hyperlink ref="S358" r:id="rId1427" xr:uid="{00000000-0004-0000-0100-000092050000}"/>
    <hyperlink ref="T358" r:id="rId1428" xr:uid="{00000000-0004-0000-0100-000093050000}"/>
    <hyperlink ref="Q359" r:id="rId1429" xr:uid="{00000000-0004-0000-0100-000094050000}"/>
    <hyperlink ref="R359" r:id="rId1430" xr:uid="{00000000-0004-0000-0100-000095050000}"/>
    <hyperlink ref="S359" r:id="rId1431" xr:uid="{00000000-0004-0000-0100-000096050000}"/>
    <hyperlink ref="T359" r:id="rId1432" xr:uid="{00000000-0004-0000-0100-000097050000}"/>
    <hyperlink ref="Q360" r:id="rId1433" xr:uid="{00000000-0004-0000-0100-000098050000}"/>
    <hyperlink ref="R360" r:id="rId1434" xr:uid="{00000000-0004-0000-0100-000099050000}"/>
    <hyperlink ref="S360" r:id="rId1435" xr:uid="{00000000-0004-0000-0100-00009A050000}"/>
    <hyperlink ref="T360" r:id="rId1436" xr:uid="{00000000-0004-0000-0100-00009B050000}"/>
    <hyperlink ref="Q361" r:id="rId1437" xr:uid="{00000000-0004-0000-0100-00009C050000}"/>
    <hyperlink ref="R361" r:id="rId1438" xr:uid="{00000000-0004-0000-0100-00009D050000}"/>
    <hyperlink ref="S361" r:id="rId1439" xr:uid="{00000000-0004-0000-0100-00009E050000}"/>
    <hyperlink ref="T361" r:id="rId1440" xr:uid="{00000000-0004-0000-0100-00009F050000}"/>
    <hyperlink ref="Q362" r:id="rId1441" xr:uid="{00000000-0004-0000-0100-0000A0050000}"/>
    <hyperlink ref="R362" r:id="rId1442" xr:uid="{00000000-0004-0000-0100-0000A1050000}"/>
    <hyperlink ref="S362" r:id="rId1443" xr:uid="{00000000-0004-0000-0100-0000A2050000}"/>
    <hyperlink ref="T362" r:id="rId1444" xr:uid="{00000000-0004-0000-0100-0000A3050000}"/>
    <hyperlink ref="Q363" r:id="rId1445" xr:uid="{00000000-0004-0000-0100-0000A4050000}"/>
    <hyperlink ref="R363" r:id="rId1446" xr:uid="{00000000-0004-0000-0100-0000A5050000}"/>
    <hyperlink ref="S363" r:id="rId1447" xr:uid="{00000000-0004-0000-0100-0000A6050000}"/>
    <hyperlink ref="T363" r:id="rId1448" xr:uid="{00000000-0004-0000-0100-0000A7050000}"/>
    <hyperlink ref="Q364" r:id="rId1449" xr:uid="{00000000-0004-0000-0100-0000A8050000}"/>
    <hyperlink ref="R364" r:id="rId1450" xr:uid="{00000000-0004-0000-0100-0000A9050000}"/>
    <hyperlink ref="S364" r:id="rId1451" xr:uid="{00000000-0004-0000-0100-0000AA050000}"/>
    <hyperlink ref="T364" r:id="rId1452" xr:uid="{00000000-0004-0000-0100-0000AB050000}"/>
    <hyperlink ref="Q365" r:id="rId1453" xr:uid="{00000000-0004-0000-0100-0000AC050000}"/>
    <hyperlink ref="R365" r:id="rId1454" xr:uid="{00000000-0004-0000-0100-0000AD050000}"/>
    <hyperlink ref="S365" r:id="rId1455" xr:uid="{00000000-0004-0000-0100-0000AE050000}"/>
    <hyperlink ref="T365" r:id="rId1456" xr:uid="{00000000-0004-0000-0100-0000AF050000}"/>
    <hyperlink ref="Q366" r:id="rId1457" xr:uid="{00000000-0004-0000-0100-0000B0050000}"/>
    <hyperlink ref="R366" r:id="rId1458" xr:uid="{00000000-0004-0000-0100-0000B1050000}"/>
    <hyperlink ref="S366" r:id="rId1459" xr:uid="{00000000-0004-0000-0100-0000B2050000}"/>
    <hyperlink ref="T366" r:id="rId1460" xr:uid="{00000000-0004-0000-0100-0000B3050000}"/>
    <hyperlink ref="Q367" r:id="rId1461" xr:uid="{00000000-0004-0000-0100-0000B4050000}"/>
    <hyperlink ref="R367" r:id="rId1462" xr:uid="{00000000-0004-0000-0100-0000B5050000}"/>
    <hyperlink ref="S367" r:id="rId1463" xr:uid="{00000000-0004-0000-0100-0000B6050000}"/>
    <hyperlink ref="T367" r:id="rId1464" xr:uid="{00000000-0004-0000-0100-0000B7050000}"/>
    <hyperlink ref="Q368" r:id="rId1465" xr:uid="{00000000-0004-0000-0100-0000B8050000}"/>
    <hyperlink ref="R368" r:id="rId1466" xr:uid="{00000000-0004-0000-0100-0000B9050000}"/>
    <hyperlink ref="S368" r:id="rId1467" xr:uid="{00000000-0004-0000-0100-0000BA050000}"/>
    <hyperlink ref="T368" r:id="rId1468" xr:uid="{00000000-0004-0000-0100-0000BB050000}"/>
    <hyperlink ref="Q369" r:id="rId1469" xr:uid="{00000000-0004-0000-0100-0000BC050000}"/>
    <hyperlink ref="R369" r:id="rId1470" xr:uid="{00000000-0004-0000-0100-0000BD050000}"/>
    <hyperlink ref="S369" r:id="rId1471" xr:uid="{00000000-0004-0000-0100-0000BE050000}"/>
    <hyperlink ref="T369" r:id="rId1472" xr:uid="{00000000-0004-0000-0100-0000BF050000}"/>
    <hyperlink ref="Q370" r:id="rId1473" xr:uid="{00000000-0004-0000-0100-0000C0050000}"/>
    <hyperlink ref="R370" r:id="rId1474" xr:uid="{00000000-0004-0000-0100-0000C1050000}"/>
    <hyperlink ref="S370" r:id="rId1475" xr:uid="{00000000-0004-0000-0100-0000C2050000}"/>
    <hyperlink ref="T370" r:id="rId1476" xr:uid="{00000000-0004-0000-0100-0000C3050000}"/>
    <hyperlink ref="Q371" r:id="rId1477" xr:uid="{00000000-0004-0000-0100-0000C4050000}"/>
    <hyperlink ref="R371" r:id="rId1478" xr:uid="{00000000-0004-0000-0100-0000C5050000}"/>
    <hyperlink ref="S371" r:id="rId1479" xr:uid="{00000000-0004-0000-0100-0000C6050000}"/>
    <hyperlink ref="T371" r:id="rId1480" xr:uid="{00000000-0004-0000-0100-0000C7050000}"/>
    <hyperlink ref="Q372" r:id="rId1481" xr:uid="{00000000-0004-0000-0100-0000C8050000}"/>
    <hyperlink ref="R372" r:id="rId1482" xr:uid="{00000000-0004-0000-0100-0000C9050000}"/>
    <hyperlink ref="S372" r:id="rId1483" xr:uid="{00000000-0004-0000-0100-0000CA050000}"/>
    <hyperlink ref="T372" r:id="rId1484" xr:uid="{00000000-0004-0000-0100-0000CB050000}"/>
    <hyperlink ref="Q373" r:id="rId1485" xr:uid="{00000000-0004-0000-0100-0000CC050000}"/>
    <hyperlink ref="R373" r:id="rId1486" xr:uid="{00000000-0004-0000-0100-0000CD050000}"/>
    <hyperlink ref="S373" r:id="rId1487" xr:uid="{00000000-0004-0000-0100-0000CE050000}"/>
    <hyperlink ref="T373" r:id="rId1488" xr:uid="{00000000-0004-0000-0100-0000CF050000}"/>
    <hyperlink ref="Q374" r:id="rId1489" xr:uid="{00000000-0004-0000-0100-0000D0050000}"/>
    <hyperlink ref="R374" r:id="rId1490" xr:uid="{00000000-0004-0000-0100-0000D1050000}"/>
    <hyperlink ref="S374" r:id="rId1491" xr:uid="{00000000-0004-0000-0100-0000D2050000}"/>
    <hyperlink ref="T374" r:id="rId1492" xr:uid="{00000000-0004-0000-0100-0000D3050000}"/>
    <hyperlink ref="Q375" r:id="rId1493" xr:uid="{00000000-0004-0000-0100-0000D4050000}"/>
    <hyperlink ref="R375" r:id="rId1494" xr:uid="{00000000-0004-0000-0100-0000D5050000}"/>
    <hyperlink ref="S375" r:id="rId1495" xr:uid="{00000000-0004-0000-0100-0000D6050000}"/>
    <hyperlink ref="T375" r:id="rId1496" xr:uid="{00000000-0004-0000-0100-0000D7050000}"/>
    <hyperlink ref="Q376" r:id="rId1497" xr:uid="{00000000-0004-0000-0100-0000D8050000}"/>
    <hyperlink ref="R376" r:id="rId1498" xr:uid="{00000000-0004-0000-0100-0000D9050000}"/>
    <hyperlink ref="S376" r:id="rId1499" xr:uid="{00000000-0004-0000-0100-0000DA050000}"/>
    <hyperlink ref="T376" r:id="rId1500" xr:uid="{00000000-0004-0000-0100-0000DB050000}"/>
    <hyperlink ref="Q377" r:id="rId1501" xr:uid="{00000000-0004-0000-0100-0000DC050000}"/>
    <hyperlink ref="R377" r:id="rId1502" xr:uid="{00000000-0004-0000-0100-0000DD050000}"/>
    <hyperlink ref="S377" r:id="rId1503" xr:uid="{00000000-0004-0000-0100-0000DE050000}"/>
    <hyperlink ref="T377" r:id="rId1504" xr:uid="{00000000-0004-0000-0100-0000DF050000}"/>
    <hyperlink ref="Q378" r:id="rId1505" xr:uid="{00000000-0004-0000-0100-0000E0050000}"/>
    <hyperlink ref="R378" r:id="rId1506" xr:uid="{00000000-0004-0000-0100-0000E1050000}"/>
    <hyperlink ref="S378" r:id="rId1507" xr:uid="{00000000-0004-0000-0100-0000E2050000}"/>
    <hyperlink ref="T378" r:id="rId1508" xr:uid="{00000000-0004-0000-0100-0000E3050000}"/>
    <hyperlink ref="Q379" r:id="rId1509" xr:uid="{00000000-0004-0000-0100-0000E4050000}"/>
    <hyperlink ref="R379" r:id="rId1510" xr:uid="{00000000-0004-0000-0100-0000E5050000}"/>
    <hyperlink ref="S379" r:id="rId1511" xr:uid="{00000000-0004-0000-0100-0000E6050000}"/>
    <hyperlink ref="T379" r:id="rId1512" xr:uid="{00000000-0004-0000-0100-0000E7050000}"/>
    <hyperlink ref="Q380" r:id="rId1513" xr:uid="{00000000-0004-0000-0100-0000E8050000}"/>
    <hyperlink ref="R380" r:id="rId1514" xr:uid="{00000000-0004-0000-0100-0000E9050000}"/>
    <hyperlink ref="S380" r:id="rId1515" xr:uid="{00000000-0004-0000-0100-0000EA050000}"/>
    <hyperlink ref="T380" r:id="rId1516" xr:uid="{00000000-0004-0000-0100-0000EB050000}"/>
    <hyperlink ref="Q381" r:id="rId1517" xr:uid="{00000000-0004-0000-0100-0000EC050000}"/>
    <hyperlink ref="R381" r:id="rId1518" xr:uid="{00000000-0004-0000-0100-0000ED050000}"/>
    <hyperlink ref="S381" r:id="rId1519" xr:uid="{00000000-0004-0000-0100-0000EE050000}"/>
    <hyperlink ref="T381" r:id="rId1520" xr:uid="{00000000-0004-0000-0100-0000EF050000}"/>
    <hyperlink ref="Q382" r:id="rId1521" xr:uid="{00000000-0004-0000-0100-0000F0050000}"/>
    <hyperlink ref="R382" r:id="rId1522" xr:uid="{00000000-0004-0000-0100-0000F1050000}"/>
    <hyperlink ref="S382" r:id="rId1523" xr:uid="{00000000-0004-0000-0100-0000F2050000}"/>
    <hyperlink ref="T382" r:id="rId1524" xr:uid="{00000000-0004-0000-0100-0000F3050000}"/>
    <hyperlink ref="Q383" r:id="rId1525" xr:uid="{00000000-0004-0000-0100-0000F4050000}"/>
    <hyperlink ref="R383" r:id="rId1526" xr:uid="{00000000-0004-0000-0100-0000F5050000}"/>
    <hyperlink ref="S383" r:id="rId1527" xr:uid="{00000000-0004-0000-0100-0000F6050000}"/>
    <hyperlink ref="T383" r:id="rId1528" xr:uid="{00000000-0004-0000-0100-0000F7050000}"/>
    <hyperlink ref="Q384" r:id="rId1529" xr:uid="{00000000-0004-0000-0100-0000F8050000}"/>
    <hyperlink ref="R384" r:id="rId1530" xr:uid="{00000000-0004-0000-0100-0000F9050000}"/>
    <hyperlink ref="S384" r:id="rId1531" xr:uid="{00000000-0004-0000-0100-0000FA050000}"/>
    <hyperlink ref="T384" r:id="rId1532" xr:uid="{00000000-0004-0000-0100-0000FB050000}"/>
    <hyperlink ref="Q385" r:id="rId1533" xr:uid="{00000000-0004-0000-0100-0000FC050000}"/>
    <hyperlink ref="R385" r:id="rId1534" xr:uid="{00000000-0004-0000-0100-0000FD050000}"/>
    <hyperlink ref="S385" r:id="rId1535" xr:uid="{00000000-0004-0000-0100-0000FE050000}"/>
    <hyperlink ref="T385" r:id="rId1536" xr:uid="{00000000-0004-0000-0100-0000FF050000}"/>
    <hyperlink ref="Q386" r:id="rId1537" xr:uid="{00000000-0004-0000-0100-000000060000}"/>
    <hyperlink ref="R386" r:id="rId1538" xr:uid="{00000000-0004-0000-0100-000001060000}"/>
    <hyperlink ref="S386" r:id="rId1539" xr:uid="{00000000-0004-0000-0100-000002060000}"/>
    <hyperlink ref="T386" r:id="rId1540" xr:uid="{00000000-0004-0000-0100-000003060000}"/>
    <hyperlink ref="Q387" r:id="rId1541" xr:uid="{00000000-0004-0000-0100-000004060000}"/>
    <hyperlink ref="R387" r:id="rId1542" xr:uid="{00000000-0004-0000-0100-000005060000}"/>
    <hyperlink ref="S387" r:id="rId1543" xr:uid="{00000000-0004-0000-0100-000006060000}"/>
    <hyperlink ref="T387" r:id="rId1544" xr:uid="{00000000-0004-0000-0100-000007060000}"/>
    <hyperlink ref="Q388" r:id="rId1545" xr:uid="{00000000-0004-0000-0100-000008060000}"/>
    <hyperlink ref="R388" r:id="rId1546" xr:uid="{00000000-0004-0000-0100-000009060000}"/>
    <hyperlink ref="S388" r:id="rId1547" xr:uid="{00000000-0004-0000-0100-00000A060000}"/>
    <hyperlink ref="T388" r:id="rId1548" xr:uid="{00000000-0004-0000-0100-00000B060000}"/>
    <hyperlink ref="Q389" r:id="rId1549" xr:uid="{00000000-0004-0000-0100-00000C060000}"/>
    <hyperlink ref="R389" r:id="rId1550" xr:uid="{00000000-0004-0000-0100-00000D060000}"/>
    <hyperlink ref="S389" r:id="rId1551" xr:uid="{00000000-0004-0000-0100-00000E060000}"/>
    <hyperlink ref="T389" r:id="rId1552" xr:uid="{00000000-0004-0000-0100-00000F060000}"/>
    <hyperlink ref="Q390" r:id="rId1553" xr:uid="{00000000-0004-0000-0100-000010060000}"/>
    <hyperlink ref="R390" r:id="rId1554" xr:uid="{00000000-0004-0000-0100-000011060000}"/>
    <hyperlink ref="S390" r:id="rId1555" xr:uid="{00000000-0004-0000-0100-000012060000}"/>
    <hyperlink ref="T390" r:id="rId1556" xr:uid="{00000000-0004-0000-0100-000013060000}"/>
    <hyperlink ref="Q391" r:id="rId1557" xr:uid="{00000000-0004-0000-0100-000014060000}"/>
    <hyperlink ref="R391" r:id="rId1558" xr:uid="{00000000-0004-0000-0100-000015060000}"/>
    <hyperlink ref="S391" r:id="rId1559" xr:uid="{00000000-0004-0000-0100-000016060000}"/>
    <hyperlink ref="T391" r:id="rId1560" xr:uid="{00000000-0004-0000-0100-000017060000}"/>
    <hyperlink ref="Q392" r:id="rId1561" xr:uid="{00000000-0004-0000-0100-000018060000}"/>
    <hyperlink ref="R392" r:id="rId1562" xr:uid="{00000000-0004-0000-0100-000019060000}"/>
    <hyperlink ref="S392" r:id="rId1563" xr:uid="{00000000-0004-0000-0100-00001A060000}"/>
    <hyperlink ref="T392" r:id="rId1564" xr:uid="{00000000-0004-0000-0100-00001B060000}"/>
    <hyperlink ref="Q393" r:id="rId1565" xr:uid="{00000000-0004-0000-0100-00001C060000}"/>
    <hyperlink ref="R393" r:id="rId1566" xr:uid="{00000000-0004-0000-0100-00001D060000}"/>
    <hyperlink ref="S393" r:id="rId1567" xr:uid="{00000000-0004-0000-0100-00001E060000}"/>
    <hyperlink ref="T393" r:id="rId1568" xr:uid="{00000000-0004-0000-0100-00001F060000}"/>
    <hyperlink ref="Q394" r:id="rId1569" xr:uid="{00000000-0004-0000-0100-000020060000}"/>
    <hyperlink ref="R394" r:id="rId1570" xr:uid="{00000000-0004-0000-0100-000021060000}"/>
    <hyperlink ref="S394" r:id="rId1571" xr:uid="{00000000-0004-0000-0100-000022060000}"/>
    <hyperlink ref="T394" r:id="rId1572" xr:uid="{00000000-0004-0000-0100-000023060000}"/>
    <hyperlink ref="Q395" r:id="rId1573" xr:uid="{00000000-0004-0000-0100-000024060000}"/>
    <hyperlink ref="R395" r:id="rId1574" xr:uid="{00000000-0004-0000-0100-000025060000}"/>
    <hyperlink ref="S395" r:id="rId1575" xr:uid="{00000000-0004-0000-0100-000026060000}"/>
    <hyperlink ref="T395" r:id="rId1576" xr:uid="{00000000-0004-0000-0100-000027060000}"/>
    <hyperlink ref="Q396" r:id="rId1577" xr:uid="{00000000-0004-0000-0100-000028060000}"/>
    <hyperlink ref="R396" r:id="rId1578" xr:uid="{00000000-0004-0000-0100-000029060000}"/>
    <hyperlink ref="S396" r:id="rId1579" xr:uid="{00000000-0004-0000-0100-00002A060000}"/>
    <hyperlink ref="T396" r:id="rId1580" xr:uid="{00000000-0004-0000-0100-00002B060000}"/>
    <hyperlink ref="Q397" r:id="rId1581" xr:uid="{00000000-0004-0000-0100-00002C060000}"/>
    <hyperlink ref="R397" r:id="rId1582" xr:uid="{00000000-0004-0000-0100-00002D060000}"/>
    <hyperlink ref="S397" r:id="rId1583" xr:uid="{00000000-0004-0000-0100-00002E060000}"/>
    <hyperlink ref="T397" r:id="rId1584" xr:uid="{00000000-0004-0000-0100-00002F060000}"/>
    <hyperlink ref="Q398" r:id="rId1585" xr:uid="{00000000-0004-0000-0100-000030060000}"/>
    <hyperlink ref="R398" r:id="rId1586" xr:uid="{00000000-0004-0000-0100-000031060000}"/>
    <hyperlink ref="S398" r:id="rId1587" xr:uid="{00000000-0004-0000-0100-000032060000}"/>
    <hyperlink ref="T398" r:id="rId1588" xr:uid="{00000000-0004-0000-0100-000033060000}"/>
    <hyperlink ref="Q399" r:id="rId1589" xr:uid="{00000000-0004-0000-0100-000034060000}"/>
    <hyperlink ref="R399" r:id="rId1590" xr:uid="{00000000-0004-0000-0100-000035060000}"/>
    <hyperlink ref="S399" r:id="rId1591" xr:uid="{00000000-0004-0000-0100-000036060000}"/>
    <hyperlink ref="T399" r:id="rId1592" xr:uid="{00000000-0004-0000-0100-000037060000}"/>
    <hyperlink ref="Q400" r:id="rId1593" xr:uid="{00000000-0004-0000-0100-000038060000}"/>
    <hyperlink ref="R400" r:id="rId1594" xr:uid="{00000000-0004-0000-0100-000039060000}"/>
    <hyperlink ref="S400" r:id="rId1595" xr:uid="{00000000-0004-0000-0100-00003A060000}"/>
    <hyperlink ref="T400" r:id="rId1596" xr:uid="{00000000-0004-0000-0100-00003B060000}"/>
    <hyperlink ref="Q401" r:id="rId1597" xr:uid="{00000000-0004-0000-0100-00003C060000}"/>
    <hyperlink ref="R401" r:id="rId1598" xr:uid="{00000000-0004-0000-0100-00003D060000}"/>
    <hyperlink ref="S401" r:id="rId1599" xr:uid="{00000000-0004-0000-0100-00003E060000}"/>
    <hyperlink ref="T401" r:id="rId1600" xr:uid="{00000000-0004-0000-0100-00003F060000}"/>
    <hyperlink ref="Q402" r:id="rId1601" xr:uid="{00000000-0004-0000-0100-000040060000}"/>
    <hyperlink ref="R402" r:id="rId1602" xr:uid="{00000000-0004-0000-0100-000041060000}"/>
    <hyperlink ref="S402" r:id="rId1603" xr:uid="{00000000-0004-0000-0100-000042060000}"/>
    <hyperlink ref="T402" r:id="rId1604" xr:uid="{00000000-0004-0000-0100-000043060000}"/>
    <hyperlink ref="Q403" r:id="rId1605" xr:uid="{00000000-0004-0000-0100-000044060000}"/>
    <hyperlink ref="R403" r:id="rId1606" xr:uid="{00000000-0004-0000-0100-000045060000}"/>
    <hyperlink ref="S403" r:id="rId1607" xr:uid="{00000000-0004-0000-0100-000046060000}"/>
    <hyperlink ref="T403" r:id="rId1608" xr:uid="{00000000-0004-0000-0100-000047060000}"/>
    <hyperlink ref="Q404" r:id="rId1609" xr:uid="{00000000-0004-0000-0100-000048060000}"/>
    <hyperlink ref="R404" r:id="rId1610" xr:uid="{00000000-0004-0000-0100-000049060000}"/>
    <hyperlink ref="S404" r:id="rId1611" xr:uid="{00000000-0004-0000-0100-00004A060000}"/>
    <hyperlink ref="T404" r:id="rId1612" xr:uid="{00000000-0004-0000-0100-00004B060000}"/>
    <hyperlink ref="Q405" r:id="rId1613" xr:uid="{00000000-0004-0000-0100-00004C060000}"/>
    <hyperlink ref="R405" r:id="rId1614" xr:uid="{00000000-0004-0000-0100-00004D060000}"/>
    <hyperlink ref="S405" r:id="rId1615" xr:uid="{00000000-0004-0000-0100-00004E060000}"/>
    <hyperlink ref="T405" r:id="rId1616" xr:uid="{00000000-0004-0000-0100-00004F060000}"/>
    <hyperlink ref="Q406" r:id="rId1617" xr:uid="{00000000-0004-0000-0100-000050060000}"/>
    <hyperlink ref="R406" r:id="rId1618" xr:uid="{00000000-0004-0000-0100-000051060000}"/>
    <hyperlink ref="S406" r:id="rId1619" xr:uid="{00000000-0004-0000-0100-000052060000}"/>
    <hyperlink ref="T406" r:id="rId1620" xr:uid="{00000000-0004-0000-0100-000053060000}"/>
    <hyperlink ref="Q407" r:id="rId1621" xr:uid="{00000000-0004-0000-0100-000054060000}"/>
    <hyperlink ref="R407" r:id="rId1622" xr:uid="{00000000-0004-0000-0100-000055060000}"/>
    <hyperlink ref="S407" r:id="rId1623" xr:uid="{00000000-0004-0000-0100-000056060000}"/>
    <hyperlink ref="T407" r:id="rId1624" xr:uid="{00000000-0004-0000-0100-000057060000}"/>
    <hyperlink ref="Q408" r:id="rId1625" xr:uid="{00000000-0004-0000-0100-000058060000}"/>
    <hyperlink ref="R408" r:id="rId1626" xr:uid="{00000000-0004-0000-0100-000059060000}"/>
    <hyperlink ref="S408" r:id="rId1627" xr:uid="{00000000-0004-0000-0100-00005A060000}"/>
    <hyperlink ref="T408" r:id="rId1628" xr:uid="{00000000-0004-0000-0100-00005B060000}"/>
    <hyperlink ref="Q409" r:id="rId1629" xr:uid="{00000000-0004-0000-0100-00005C060000}"/>
    <hyperlink ref="R409" r:id="rId1630" xr:uid="{00000000-0004-0000-0100-00005D060000}"/>
    <hyperlink ref="S409" r:id="rId1631" xr:uid="{00000000-0004-0000-0100-00005E060000}"/>
    <hyperlink ref="T409" r:id="rId1632" xr:uid="{00000000-0004-0000-0100-00005F060000}"/>
    <hyperlink ref="Q410" r:id="rId1633" xr:uid="{00000000-0004-0000-0100-000060060000}"/>
    <hyperlink ref="R410" r:id="rId1634" xr:uid="{00000000-0004-0000-0100-000061060000}"/>
    <hyperlink ref="S410" r:id="rId1635" xr:uid="{00000000-0004-0000-0100-000062060000}"/>
    <hyperlink ref="T410" r:id="rId1636" xr:uid="{00000000-0004-0000-0100-000063060000}"/>
    <hyperlink ref="Q411" r:id="rId1637" xr:uid="{00000000-0004-0000-0100-000064060000}"/>
    <hyperlink ref="R411" r:id="rId1638" xr:uid="{00000000-0004-0000-0100-000065060000}"/>
    <hyperlink ref="S411" r:id="rId1639" xr:uid="{00000000-0004-0000-0100-000066060000}"/>
    <hyperlink ref="T411" r:id="rId1640" xr:uid="{00000000-0004-0000-0100-000067060000}"/>
    <hyperlink ref="Q412" r:id="rId1641" xr:uid="{00000000-0004-0000-0100-000068060000}"/>
    <hyperlink ref="R412" r:id="rId1642" xr:uid="{00000000-0004-0000-0100-000069060000}"/>
    <hyperlink ref="S412" r:id="rId1643" xr:uid="{00000000-0004-0000-0100-00006A060000}"/>
    <hyperlink ref="T412" r:id="rId1644" xr:uid="{00000000-0004-0000-0100-00006B060000}"/>
    <hyperlink ref="Q413" r:id="rId1645" xr:uid="{00000000-0004-0000-0100-00006C060000}"/>
    <hyperlink ref="R413" r:id="rId1646" xr:uid="{00000000-0004-0000-0100-00006D060000}"/>
    <hyperlink ref="S413" r:id="rId1647" xr:uid="{00000000-0004-0000-0100-00006E060000}"/>
    <hyperlink ref="T413" r:id="rId1648" xr:uid="{00000000-0004-0000-0100-00006F060000}"/>
    <hyperlink ref="Q414" r:id="rId1649" xr:uid="{00000000-0004-0000-0100-000070060000}"/>
    <hyperlink ref="R414" r:id="rId1650" xr:uid="{00000000-0004-0000-0100-000071060000}"/>
    <hyperlink ref="S414" r:id="rId1651" xr:uid="{00000000-0004-0000-0100-000072060000}"/>
    <hyperlink ref="T414" r:id="rId1652" xr:uid="{00000000-0004-0000-0100-000073060000}"/>
    <hyperlink ref="Q415" r:id="rId1653" xr:uid="{00000000-0004-0000-0100-000074060000}"/>
    <hyperlink ref="R415" r:id="rId1654" xr:uid="{00000000-0004-0000-0100-000075060000}"/>
    <hyperlink ref="S415" r:id="rId1655" xr:uid="{00000000-0004-0000-0100-000076060000}"/>
    <hyperlink ref="T415" r:id="rId1656" xr:uid="{00000000-0004-0000-0100-000077060000}"/>
    <hyperlink ref="Q416" r:id="rId1657" xr:uid="{00000000-0004-0000-0100-000078060000}"/>
    <hyperlink ref="R416" r:id="rId1658" xr:uid="{00000000-0004-0000-0100-000079060000}"/>
    <hyperlink ref="S416" r:id="rId1659" xr:uid="{00000000-0004-0000-0100-00007A060000}"/>
    <hyperlink ref="T416" r:id="rId1660" xr:uid="{00000000-0004-0000-0100-00007B060000}"/>
    <hyperlink ref="Q417" r:id="rId1661" xr:uid="{00000000-0004-0000-0100-00007C060000}"/>
    <hyperlink ref="R417" r:id="rId1662" xr:uid="{00000000-0004-0000-0100-00007D060000}"/>
    <hyperlink ref="S417" r:id="rId1663" xr:uid="{00000000-0004-0000-0100-00007E060000}"/>
    <hyperlink ref="T417" r:id="rId1664" xr:uid="{00000000-0004-0000-0100-00007F060000}"/>
    <hyperlink ref="Q418" r:id="rId1665" xr:uid="{00000000-0004-0000-0100-000080060000}"/>
    <hyperlink ref="R418" r:id="rId1666" xr:uid="{00000000-0004-0000-0100-000081060000}"/>
    <hyperlink ref="S418" r:id="rId1667" xr:uid="{00000000-0004-0000-0100-000082060000}"/>
    <hyperlink ref="T418" r:id="rId1668" xr:uid="{00000000-0004-0000-0100-000083060000}"/>
    <hyperlink ref="Q419" r:id="rId1669" xr:uid="{00000000-0004-0000-0100-000084060000}"/>
    <hyperlink ref="R419" r:id="rId1670" xr:uid="{00000000-0004-0000-0100-000085060000}"/>
    <hyperlink ref="S419" r:id="rId1671" xr:uid="{00000000-0004-0000-0100-000086060000}"/>
    <hyperlink ref="T419" r:id="rId1672" xr:uid="{00000000-0004-0000-0100-000087060000}"/>
    <hyperlink ref="Q420" r:id="rId1673" xr:uid="{00000000-0004-0000-0100-000088060000}"/>
    <hyperlink ref="R420" r:id="rId1674" xr:uid="{00000000-0004-0000-0100-000089060000}"/>
    <hyperlink ref="S420" r:id="rId1675" xr:uid="{00000000-0004-0000-0100-00008A060000}"/>
    <hyperlink ref="T420" r:id="rId1676" xr:uid="{00000000-0004-0000-0100-00008B060000}"/>
    <hyperlink ref="Q421" r:id="rId1677" xr:uid="{00000000-0004-0000-0100-00008C060000}"/>
    <hyperlink ref="R421" r:id="rId1678" xr:uid="{00000000-0004-0000-0100-00008D060000}"/>
    <hyperlink ref="S421" r:id="rId1679" xr:uid="{00000000-0004-0000-0100-00008E060000}"/>
    <hyperlink ref="T421" r:id="rId1680" xr:uid="{00000000-0004-0000-0100-00008F060000}"/>
    <hyperlink ref="Q422" r:id="rId1681" xr:uid="{00000000-0004-0000-0100-000090060000}"/>
    <hyperlink ref="R422" r:id="rId1682" xr:uid="{00000000-0004-0000-0100-000091060000}"/>
    <hyperlink ref="S422" r:id="rId1683" xr:uid="{00000000-0004-0000-0100-000092060000}"/>
    <hyperlink ref="T422" r:id="rId1684" xr:uid="{00000000-0004-0000-0100-000093060000}"/>
    <hyperlink ref="Q423" r:id="rId1685" xr:uid="{00000000-0004-0000-0100-000094060000}"/>
    <hyperlink ref="R423" r:id="rId1686" xr:uid="{00000000-0004-0000-0100-000095060000}"/>
    <hyperlink ref="S423" r:id="rId1687" xr:uid="{00000000-0004-0000-0100-000096060000}"/>
    <hyperlink ref="T423" r:id="rId1688" xr:uid="{00000000-0004-0000-0100-000097060000}"/>
    <hyperlink ref="Q424" r:id="rId1689" xr:uid="{00000000-0004-0000-0100-000098060000}"/>
    <hyperlink ref="R424" r:id="rId1690" xr:uid="{00000000-0004-0000-0100-000099060000}"/>
    <hyperlink ref="S424" r:id="rId1691" xr:uid="{00000000-0004-0000-0100-00009A060000}"/>
    <hyperlink ref="T424" r:id="rId1692" xr:uid="{00000000-0004-0000-0100-00009B060000}"/>
    <hyperlink ref="Q425" r:id="rId1693" xr:uid="{00000000-0004-0000-0100-00009C060000}"/>
    <hyperlink ref="R425" r:id="rId1694" xr:uid="{00000000-0004-0000-0100-00009D060000}"/>
    <hyperlink ref="S425" r:id="rId1695" xr:uid="{00000000-0004-0000-0100-00009E060000}"/>
    <hyperlink ref="T425" r:id="rId1696" xr:uid="{00000000-0004-0000-0100-00009F060000}"/>
    <hyperlink ref="Q426" r:id="rId1697" xr:uid="{00000000-0004-0000-0100-0000A0060000}"/>
    <hyperlink ref="R426" r:id="rId1698" xr:uid="{00000000-0004-0000-0100-0000A1060000}"/>
    <hyperlink ref="S426" r:id="rId1699" xr:uid="{00000000-0004-0000-0100-0000A2060000}"/>
    <hyperlink ref="T426" r:id="rId1700" xr:uid="{00000000-0004-0000-0100-0000A3060000}"/>
    <hyperlink ref="Q427" r:id="rId1701" xr:uid="{00000000-0004-0000-0100-0000A4060000}"/>
    <hyperlink ref="R427" r:id="rId1702" xr:uid="{00000000-0004-0000-0100-0000A5060000}"/>
    <hyperlink ref="S427" r:id="rId1703" xr:uid="{00000000-0004-0000-0100-0000A6060000}"/>
    <hyperlink ref="T427" r:id="rId1704" xr:uid="{00000000-0004-0000-0100-0000A7060000}"/>
    <hyperlink ref="Q428" r:id="rId1705" xr:uid="{00000000-0004-0000-0100-0000A8060000}"/>
    <hyperlink ref="R428" r:id="rId1706" xr:uid="{00000000-0004-0000-0100-0000A9060000}"/>
    <hyperlink ref="S428" r:id="rId1707" xr:uid="{00000000-0004-0000-0100-0000AA060000}"/>
    <hyperlink ref="T428" r:id="rId1708" xr:uid="{00000000-0004-0000-0100-0000AB060000}"/>
    <hyperlink ref="Q429" r:id="rId1709" xr:uid="{00000000-0004-0000-0100-0000AC060000}"/>
    <hyperlink ref="R429" r:id="rId1710" xr:uid="{00000000-0004-0000-0100-0000AD060000}"/>
    <hyperlink ref="S429" r:id="rId1711" xr:uid="{00000000-0004-0000-0100-0000AE060000}"/>
    <hyperlink ref="T429" r:id="rId1712" xr:uid="{00000000-0004-0000-0100-0000AF060000}"/>
    <hyperlink ref="Q430" r:id="rId1713" xr:uid="{00000000-0004-0000-0100-0000B0060000}"/>
    <hyperlink ref="R430" r:id="rId1714" xr:uid="{00000000-0004-0000-0100-0000B1060000}"/>
    <hyperlink ref="S430" r:id="rId1715" xr:uid="{00000000-0004-0000-0100-0000B2060000}"/>
    <hyperlink ref="T430" r:id="rId1716" xr:uid="{00000000-0004-0000-0100-0000B3060000}"/>
    <hyperlink ref="Q431" r:id="rId1717" xr:uid="{00000000-0004-0000-0100-0000B4060000}"/>
    <hyperlink ref="R431" r:id="rId1718" xr:uid="{00000000-0004-0000-0100-0000B5060000}"/>
    <hyperlink ref="S431" r:id="rId1719" xr:uid="{00000000-0004-0000-0100-0000B6060000}"/>
    <hyperlink ref="T431" r:id="rId1720" xr:uid="{00000000-0004-0000-0100-0000B7060000}"/>
    <hyperlink ref="Q432" r:id="rId1721" xr:uid="{00000000-0004-0000-0100-0000B8060000}"/>
    <hyperlink ref="R432" r:id="rId1722" xr:uid="{00000000-0004-0000-0100-0000B9060000}"/>
    <hyperlink ref="S432" r:id="rId1723" xr:uid="{00000000-0004-0000-0100-0000BA060000}"/>
    <hyperlink ref="T432" r:id="rId1724" xr:uid="{00000000-0004-0000-0100-0000BB060000}"/>
    <hyperlink ref="Q433" r:id="rId1725" xr:uid="{00000000-0004-0000-0100-0000BC060000}"/>
    <hyperlink ref="R433" r:id="rId1726" xr:uid="{00000000-0004-0000-0100-0000BD060000}"/>
    <hyperlink ref="S433" r:id="rId1727" xr:uid="{00000000-0004-0000-0100-0000BE060000}"/>
    <hyperlink ref="T433" r:id="rId1728" xr:uid="{00000000-0004-0000-0100-0000BF060000}"/>
    <hyperlink ref="Q434" r:id="rId1729" xr:uid="{00000000-0004-0000-0100-0000C0060000}"/>
    <hyperlink ref="R434" r:id="rId1730" xr:uid="{00000000-0004-0000-0100-0000C1060000}"/>
    <hyperlink ref="S434" r:id="rId1731" xr:uid="{00000000-0004-0000-0100-0000C2060000}"/>
    <hyperlink ref="T434" r:id="rId1732" xr:uid="{00000000-0004-0000-0100-0000C3060000}"/>
    <hyperlink ref="Q435" r:id="rId1733" xr:uid="{00000000-0004-0000-0100-0000C4060000}"/>
    <hyperlink ref="R435" r:id="rId1734" xr:uid="{00000000-0004-0000-0100-0000C5060000}"/>
    <hyperlink ref="S435" r:id="rId1735" xr:uid="{00000000-0004-0000-0100-0000C6060000}"/>
    <hyperlink ref="T435" r:id="rId1736" xr:uid="{00000000-0004-0000-0100-0000C7060000}"/>
    <hyperlink ref="Q436" r:id="rId1737" xr:uid="{00000000-0004-0000-0100-0000C8060000}"/>
    <hyperlink ref="R436" r:id="rId1738" xr:uid="{00000000-0004-0000-0100-0000C9060000}"/>
    <hyperlink ref="S436" r:id="rId1739" xr:uid="{00000000-0004-0000-0100-0000CA060000}"/>
    <hyperlink ref="T436" r:id="rId1740" xr:uid="{00000000-0004-0000-0100-0000CB060000}"/>
    <hyperlink ref="Q437" r:id="rId1741" xr:uid="{00000000-0004-0000-0100-0000CC060000}"/>
    <hyperlink ref="R437" r:id="rId1742" xr:uid="{00000000-0004-0000-0100-0000CD060000}"/>
    <hyperlink ref="S437" r:id="rId1743" xr:uid="{00000000-0004-0000-0100-0000CE060000}"/>
    <hyperlink ref="T437" r:id="rId1744" xr:uid="{00000000-0004-0000-0100-0000CF060000}"/>
    <hyperlink ref="Q438" r:id="rId1745" xr:uid="{00000000-0004-0000-0100-0000D0060000}"/>
    <hyperlink ref="R438" r:id="rId1746" xr:uid="{00000000-0004-0000-0100-0000D1060000}"/>
    <hyperlink ref="S438" r:id="rId1747" xr:uid="{00000000-0004-0000-0100-0000D2060000}"/>
    <hyperlink ref="T438" r:id="rId1748" xr:uid="{00000000-0004-0000-0100-0000D3060000}"/>
    <hyperlink ref="Q439" r:id="rId1749" xr:uid="{00000000-0004-0000-0100-0000D4060000}"/>
    <hyperlink ref="R439" r:id="rId1750" xr:uid="{00000000-0004-0000-0100-0000D5060000}"/>
    <hyperlink ref="S439" r:id="rId1751" xr:uid="{00000000-0004-0000-0100-0000D6060000}"/>
    <hyperlink ref="T439" r:id="rId1752" xr:uid="{00000000-0004-0000-0100-0000D7060000}"/>
    <hyperlink ref="Q440" r:id="rId1753" xr:uid="{00000000-0004-0000-0100-0000D8060000}"/>
    <hyperlink ref="R440" r:id="rId1754" xr:uid="{00000000-0004-0000-0100-0000D9060000}"/>
    <hyperlink ref="S440" r:id="rId1755" xr:uid="{00000000-0004-0000-0100-0000DA060000}"/>
    <hyperlink ref="T440" r:id="rId1756" xr:uid="{00000000-0004-0000-0100-0000DB060000}"/>
    <hyperlink ref="Q441" r:id="rId1757" xr:uid="{00000000-0004-0000-0100-0000DC060000}"/>
    <hyperlink ref="R441" r:id="rId1758" xr:uid="{00000000-0004-0000-0100-0000DD060000}"/>
    <hyperlink ref="S441" r:id="rId1759" xr:uid="{00000000-0004-0000-0100-0000DE060000}"/>
    <hyperlink ref="T441" r:id="rId1760" xr:uid="{00000000-0004-0000-0100-0000DF060000}"/>
    <hyperlink ref="Q442" r:id="rId1761" xr:uid="{00000000-0004-0000-0100-0000E0060000}"/>
    <hyperlink ref="R442" r:id="rId1762" xr:uid="{00000000-0004-0000-0100-0000E1060000}"/>
    <hyperlink ref="S442" r:id="rId1763" xr:uid="{00000000-0004-0000-0100-0000E2060000}"/>
    <hyperlink ref="T442" r:id="rId1764" xr:uid="{00000000-0004-0000-0100-0000E3060000}"/>
    <hyperlink ref="Q443" r:id="rId1765" xr:uid="{00000000-0004-0000-0100-0000E4060000}"/>
    <hyperlink ref="R443" r:id="rId1766" xr:uid="{00000000-0004-0000-0100-0000E5060000}"/>
    <hyperlink ref="S443" r:id="rId1767" xr:uid="{00000000-0004-0000-0100-0000E6060000}"/>
    <hyperlink ref="T443" r:id="rId1768" xr:uid="{00000000-0004-0000-0100-0000E7060000}"/>
    <hyperlink ref="Q444" r:id="rId1769" xr:uid="{00000000-0004-0000-0100-0000E8060000}"/>
    <hyperlink ref="R444" r:id="rId1770" xr:uid="{00000000-0004-0000-0100-0000E9060000}"/>
    <hyperlink ref="S444" r:id="rId1771" xr:uid="{00000000-0004-0000-0100-0000EA060000}"/>
    <hyperlink ref="T444" r:id="rId1772" xr:uid="{00000000-0004-0000-0100-0000EB060000}"/>
    <hyperlink ref="Q445" r:id="rId1773" xr:uid="{00000000-0004-0000-0100-0000EC060000}"/>
    <hyperlink ref="R445" r:id="rId1774" xr:uid="{00000000-0004-0000-0100-0000ED060000}"/>
    <hyperlink ref="S445" r:id="rId1775" xr:uid="{00000000-0004-0000-0100-0000EE060000}"/>
    <hyperlink ref="T445" r:id="rId1776" xr:uid="{00000000-0004-0000-0100-0000EF060000}"/>
    <hyperlink ref="Q446" r:id="rId1777" xr:uid="{00000000-0004-0000-0100-0000F0060000}"/>
    <hyperlink ref="R446" r:id="rId1778" xr:uid="{00000000-0004-0000-0100-0000F1060000}"/>
    <hyperlink ref="S446" r:id="rId1779" xr:uid="{00000000-0004-0000-0100-0000F2060000}"/>
    <hyperlink ref="T446" r:id="rId1780" xr:uid="{00000000-0004-0000-0100-0000F3060000}"/>
    <hyperlink ref="Q447" r:id="rId1781" xr:uid="{00000000-0004-0000-0100-0000F4060000}"/>
    <hyperlink ref="R447" r:id="rId1782" xr:uid="{00000000-0004-0000-0100-0000F5060000}"/>
    <hyperlink ref="S447" r:id="rId1783" xr:uid="{00000000-0004-0000-0100-0000F6060000}"/>
    <hyperlink ref="T447" r:id="rId1784" xr:uid="{00000000-0004-0000-0100-0000F7060000}"/>
    <hyperlink ref="Q448" r:id="rId1785" xr:uid="{00000000-0004-0000-0100-0000F8060000}"/>
    <hyperlink ref="R448" r:id="rId1786" xr:uid="{00000000-0004-0000-0100-0000F9060000}"/>
    <hyperlink ref="S448" r:id="rId1787" xr:uid="{00000000-0004-0000-0100-0000FA060000}"/>
    <hyperlink ref="T448" r:id="rId1788" xr:uid="{00000000-0004-0000-0100-0000FB060000}"/>
    <hyperlink ref="Q449" r:id="rId1789" xr:uid="{00000000-0004-0000-0100-0000FC060000}"/>
    <hyperlink ref="R449" r:id="rId1790" xr:uid="{00000000-0004-0000-0100-0000FD060000}"/>
    <hyperlink ref="S449" r:id="rId1791" xr:uid="{00000000-0004-0000-0100-0000FE060000}"/>
    <hyperlink ref="T449" r:id="rId1792" xr:uid="{00000000-0004-0000-0100-0000FF060000}"/>
    <hyperlink ref="Q450" r:id="rId1793" xr:uid="{00000000-0004-0000-0100-000000070000}"/>
    <hyperlink ref="R450" r:id="rId1794" xr:uid="{00000000-0004-0000-0100-000001070000}"/>
    <hyperlink ref="S450" r:id="rId1795" xr:uid="{00000000-0004-0000-0100-000002070000}"/>
    <hyperlink ref="T450" r:id="rId1796" xr:uid="{00000000-0004-0000-0100-000003070000}"/>
    <hyperlink ref="Q451" r:id="rId1797" xr:uid="{00000000-0004-0000-0100-000004070000}"/>
    <hyperlink ref="R451" r:id="rId1798" xr:uid="{00000000-0004-0000-0100-000005070000}"/>
    <hyperlink ref="S451" r:id="rId1799" xr:uid="{00000000-0004-0000-0100-000006070000}"/>
    <hyperlink ref="T451" r:id="rId1800" xr:uid="{00000000-0004-0000-0100-000007070000}"/>
    <hyperlink ref="Q452" r:id="rId1801" xr:uid="{00000000-0004-0000-0100-000008070000}"/>
    <hyperlink ref="R452" r:id="rId1802" xr:uid="{00000000-0004-0000-0100-000009070000}"/>
    <hyperlink ref="S452" r:id="rId1803" xr:uid="{00000000-0004-0000-0100-00000A070000}"/>
    <hyperlink ref="T452" r:id="rId1804" xr:uid="{00000000-0004-0000-0100-00000B070000}"/>
    <hyperlink ref="Q453" r:id="rId1805" xr:uid="{00000000-0004-0000-0100-00000C070000}"/>
    <hyperlink ref="R453" r:id="rId1806" xr:uid="{00000000-0004-0000-0100-00000D070000}"/>
    <hyperlink ref="S453" r:id="rId1807" xr:uid="{00000000-0004-0000-0100-00000E070000}"/>
    <hyperlink ref="T453" r:id="rId1808" xr:uid="{00000000-0004-0000-0100-00000F070000}"/>
    <hyperlink ref="Q454" r:id="rId1809" xr:uid="{00000000-0004-0000-0100-000010070000}"/>
    <hyperlink ref="R454" r:id="rId1810" xr:uid="{00000000-0004-0000-0100-000011070000}"/>
    <hyperlink ref="S454" r:id="rId1811" xr:uid="{00000000-0004-0000-0100-000012070000}"/>
    <hyperlink ref="T454" r:id="rId1812" xr:uid="{00000000-0004-0000-0100-000013070000}"/>
    <hyperlink ref="Q455" r:id="rId1813" xr:uid="{00000000-0004-0000-0100-000014070000}"/>
    <hyperlink ref="R455" r:id="rId1814" xr:uid="{00000000-0004-0000-0100-000015070000}"/>
    <hyperlink ref="S455" r:id="rId1815" xr:uid="{00000000-0004-0000-0100-000016070000}"/>
    <hyperlink ref="T455" r:id="rId1816" xr:uid="{00000000-0004-0000-0100-000017070000}"/>
    <hyperlink ref="Q456" r:id="rId1817" xr:uid="{00000000-0004-0000-0100-000018070000}"/>
    <hyperlink ref="R456" r:id="rId1818" xr:uid="{00000000-0004-0000-0100-000019070000}"/>
    <hyperlink ref="S456" r:id="rId1819" xr:uid="{00000000-0004-0000-0100-00001A070000}"/>
    <hyperlink ref="T456" r:id="rId1820" xr:uid="{00000000-0004-0000-0100-00001B070000}"/>
    <hyperlink ref="Q457" r:id="rId1821" xr:uid="{00000000-0004-0000-0100-00001C070000}"/>
    <hyperlink ref="R457" r:id="rId1822" xr:uid="{00000000-0004-0000-0100-00001D070000}"/>
    <hyperlink ref="S457" r:id="rId1823" xr:uid="{00000000-0004-0000-0100-00001E070000}"/>
    <hyperlink ref="T457" r:id="rId1824" xr:uid="{00000000-0004-0000-0100-00001F070000}"/>
    <hyperlink ref="Q458" r:id="rId1825" xr:uid="{00000000-0004-0000-0100-000020070000}"/>
    <hyperlink ref="R458" r:id="rId1826" xr:uid="{00000000-0004-0000-0100-000021070000}"/>
    <hyperlink ref="S458" r:id="rId1827" xr:uid="{00000000-0004-0000-0100-000022070000}"/>
    <hyperlink ref="T458" r:id="rId1828" xr:uid="{00000000-0004-0000-0100-000023070000}"/>
    <hyperlink ref="Q459" r:id="rId1829" xr:uid="{00000000-0004-0000-0100-000024070000}"/>
    <hyperlink ref="R459" r:id="rId1830" xr:uid="{00000000-0004-0000-0100-000025070000}"/>
    <hyperlink ref="S459" r:id="rId1831" xr:uid="{00000000-0004-0000-0100-000026070000}"/>
    <hyperlink ref="T459" r:id="rId1832" xr:uid="{00000000-0004-0000-0100-000027070000}"/>
    <hyperlink ref="Q460" r:id="rId1833" xr:uid="{00000000-0004-0000-0100-000028070000}"/>
    <hyperlink ref="R460" r:id="rId1834" xr:uid="{00000000-0004-0000-0100-000029070000}"/>
    <hyperlink ref="S460" r:id="rId1835" xr:uid="{00000000-0004-0000-0100-00002A070000}"/>
    <hyperlink ref="T460" r:id="rId1836" xr:uid="{00000000-0004-0000-0100-00002B070000}"/>
    <hyperlink ref="Q461" r:id="rId1837" xr:uid="{00000000-0004-0000-0100-00002C070000}"/>
    <hyperlink ref="R461" r:id="rId1838" xr:uid="{00000000-0004-0000-0100-00002D070000}"/>
    <hyperlink ref="S461" r:id="rId1839" xr:uid="{00000000-0004-0000-0100-00002E070000}"/>
    <hyperlink ref="T461" r:id="rId1840" xr:uid="{00000000-0004-0000-0100-00002F070000}"/>
    <hyperlink ref="Q462" r:id="rId1841" xr:uid="{00000000-0004-0000-0100-000030070000}"/>
    <hyperlink ref="R462" r:id="rId1842" xr:uid="{00000000-0004-0000-0100-000031070000}"/>
    <hyperlink ref="S462" r:id="rId1843" xr:uid="{00000000-0004-0000-0100-000032070000}"/>
    <hyperlink ref="T462" r:id="rId1844" xr:uid="{00000000-0004-0000-0100-000033070000}"/>
    <hyperlink ref="Q463" r:id="rId1845" xr:uid="{00000000-0004-0000-0100-000034070000}"/>
    <hyperlink ref="R463" r:id="rId1846" xr:uid="{00000000-0004-0000-0100-000035070000}"/>
    <hyperlink ref="S463" r:id="rId1847" xr:uid="{00000000-0004-0000-0100-000036070000}"/>
    <hyperlink ref="T463" r:id="rId1848" xr:uid="{00000000-0004-0000-0100-000037070000}"/>
    <hyperlink ref="Q464" r:id="rId1849" xr:uid="{00000000-0004-0000-0100-000038070000}"/>
    <hyperlink ref="R464" r:id="rId1850" xr:uid="{00000000-0004-0000-0100-000039070000}"/>
    <hyperlink ref="S464" r:id="rId1851" xr:uid="{00000000-0004-0000-0100-00003A070000}"/>
    <hyperlink ref="T464" r:id="rId1852" xr:uid="{00000000-0004-0000-0100-00003B070000}"/>
    <hyperlink ref="Q465" r:id="rId1853" xr:uid="{00000000-0004-0000-0100-00003C070000}"/>
    <hyperlink ref="R465" r:id="rId1854" xr:uid="{00000000-0004-0000-0100-00003D070000}"/>
    <hyperlink ref="S465" r:id="rId1855" xr:uid="{00000000-0004-0000-0100-00003E070000}"/>
    <hyperlink ref="T465" r:id="rId1856" xr:uid="{00000000-0004-0000-0100-00003F070000}"/>
    <hyperlink ref="Q466" r:id="rId1857" xr:uid="{00000000-0004-0000-0100-000040070000}"/>
    <hyperlink ref="R466" r:id="rId1858" xr:uid="{00000000-0004-0000-0100-000041070000}"/>
    <hyperlink ref="S466" r:id="rId1859" xr:uid="{00000000-0004-0000-0100-000042070000}"/>
    <hyperlink ref="T466" r:id="rId1860" xr:uid="{00000000-0004-0000-0100-000043070000}"/>
    <hyperlink ref="Q467" r:id="rId1861" xr:uid="{00000000-0004-0000-0100-000044070000}"/>
    <hyperlink ref="R467" r:id="rId1862" xr:uid="{00000000-0004-0000-0100-000045070000}"/>
    <hyperlink ref="S467" r:id="rId1863" xr:uid="{00000000-0004-0000-0100-000046070000}"/>
    <hyperlink ref="T467" r:id="rId1864" xr:uid="{00000000-0004-0000-0100-000047070000}"/>
    <hyperlink ref="Q468" r:id="rId1865" xr:uid="{00000000-0004-0000-0100-000048070000}"/>
    <hyperlink ref="R468" r:id="rId1866" xr:uid="{00000000-0004-0000-0100-000049070000}"/>
    <hyperlink ref="S468" r:id="rId1867" xr:uid="{00000000-0004-0000-0100-00004A070000}"/>
    <hyperlink ref="T468" r:id="rId1868" xr:uid="{00000000-0004-0000-0100-00004B070000}"/>
    <hyperlink ref="Q469" r:id="rId1869" xr:uid="{00000000-0004-0000-0100-00004C070000}"/>
    <hyperlink ref="R469" r:id="rId1870" xr:uid="{00000000-0004-0000-0100-00004D070000}"/>
    <hyperlink ref="S469" r:id="rId1871" xr:uid="{00000000-0004-0000-0100-00004E070000}"/>
    <hyperlink ref="T469" r:id="rId1872" xr:uid="{00000000-0004-0000-0100-00004F070000}"/>
    <hyperlink ref="Q470" r:id="rId1873" xr:uid="{00000000-0004-0000-0100-000050070000}"/>
    <hyperlink ref="R470" r:id="rId1874" xr:uid="{00000000-0004-0000-0100-000051070000}"/>
    <hyperlink ref="S470" r:id="rId1875" xr:uid="{00000000-0004-0000-0100-000052070000}"/>
    <hyperlink ref="T470" r:id="rId1876" xr:uid="{00000000-0004-0000-0100-000053070000}"/>
    <hyperlink ref="Q471" r:id="rId1877" xr:uid="{00000000-0004-0000-0100-000054070000}"/>
    <hyperlink ref="R471" r:id="rId1878" xr:uid="{00000000-0004-0000-0100-000055070000}"/>
    <hyperlink ref="S471" r:id="rId1879" xr:uid="{00000000-0004-0000-0100-000056070000}"/>
    <hyperlink ref="T471" r:id="rId1880" xr:uid="{00000000-0004-0000-0100-000057070000}"/>
    <hyperlink ref="Q472" r:id="rId1881" xr:uid="{00000000-0004-0000-0100-000058070000}"/>
    <hyperlink ref="R472" r:id="rId1882" xr:uid="{00000000-0004-0000-0100-000059070000}"/>
    <hyperlink ref="S472" r:id="rId1883" xr:uid="{00000000-0004-0000-0100-00005A070000}"/>
    <hyperlink ref="T472" r:id="rId1884" xr:uid="{00000000-0004-0000-0100-00005B070000}"/>
    <hyperlink ref="Q473" r:id="rId1885" xr:uid="{00000000-0004-0000-0100-00005C070000}"/>
    <hyperlink ref="R473" r:id="rId1886" xr:uid="{00000000-0004-0000-0100-00005D070000}"/>
    <hyperlink ref="S473" r:id="rId1887" xr:uid="{00000000-0004-0000-0100-00005E070000}"/>
    <hyperlink ref="T473" r:id="rId1888" xr:uid="{00000000-0004-0000-0100-00005F070000}"/>
    <hyperlink ref="Q474" r:id="rId1889" xr:uid="{00000000-0004-0000-0100-000060070000}"/>
    <hyperlink ref="R474" r:id="rId1890" xr:uid="{00000000-0004-0000-0100-000061070000}"/>
    <hyperlink ref="S474" r:id="rId1891" xr:uid="{00000000-0004-0000-0100-000062070000}"/>
    <hyperlink ref="T474" r:id="rId1892" xr:uid="{00000000-0004-0000-0100-000063070000}"/>
    <hyperlink ref="Q475" r:id="rId1893" xr:uid="{00000000-0004-0000-0100-000064070000}"/>
    <hyperlink ref="R475" r:id="rId1894" xr:uid="{00000000-0004-0000-0100-000065070000}"/>
    <hyperlink ref="S475" r:id="rId1895" xr:uid="{00000000-0004-0000-0100-000066070000}"/>
    <hyperlink ref="T475" r:id="rId1896" xr:uid="{00000000-0004-0000-0100-000067070000}"/>
    <hyperlink ref="Q476" r:id="rId1897" xr:uid="{00000000-0004-0000-0100-000068070000}"/>
    <hyperlink ref="R476" r:id="rId1898" xr:uid="{00000000-0004-0000-0100-000069070000}"/>
    <hyperlink ref="S476" r:id="rId1899" xr:uid="{00000000-0004-0000-0100-00006A070000}"/>
    <hyperlink ref="T476" r:id="rId1900" xr:uid="{00000000-0004-0000-0100-00006B070000}"/>
    <hyperlink ref="Q477" r:id="rId1901" xr:uid="{00000000-0004-0000-0100-00006C070000}"/>
    <hyperlink ref="R477" r:id="rId1902" xr:uid="{00000000-0004-0000-0100-00006D070000}"/>
    <hyperlink ref="S477" r:id="rId1903" xr:uid="{00000000-0004-0000-0100-00006E070000}"/>
    <hyperlink ref="T477" r:id="rId1904" xr:uid="{00000000-0004-0000-0100-00006F070000}"/>
    <hyperlink ref="Q478" r:id="rId1905" xr:uid="{00000000-0004-0000-0100-000070070000}"/>
    <hyperlink ref="R478" r:id="rId1906" xr:uid="{00000000-0004-0000-0100-000071070000}"/>
    <hyperlink ref="S478" r:id="rId1907" xr:uid="{00000000-0004-0000-0100-000072070000}"/>
    <hyperlink ref="T478" r:id="rId1908" xr:uid="{00000000-0004-0000-0100-000073070000}"/>
    <hyperlink ref="Q479" r:id="rId1909" xr:uid="{00000000-0004-0000-0100-000074070000}"/>
    <hyperlink ref="R479" r:id="rId1910" xr:uid="{00000000-0004-0000-0100-000075070000}"/>
    <hyperlink ref="S479" r:id="rId1911" xr:uid="{00000000-0004-0000-0100-000076070000}"/>
    <hyperlink ref="T479" r:id="rId1912" xr:uid="{00000000-0004-0000-0100-000077070000}"/>
    <hyperlink ref="Q480" r:id="rId1913" xr:uid="{00000000-0004-0000-0100-000078070000}"/>
    <hyperlink ref="R480" r:id="rId1914" xr:uid="{00000000-0004-0000-0100-000079070000}"/>
    <hyperlink ref="S480" r:id="rId1915" xr:uid="{00000000-0004-0000-0100-00007A070000}"/>
    <hyperlink ref="T480" r:id="rId1916" xr:uid="{00000000-0004-0000-0100-00007B070000}"/>
    <hyperlink ref="Q481" r:id="rId1917" xr:uid="{00000000-0004-0000-0100-00007C070000}"/>
    <hyperlink ref="R481" r:id="rId1918" xr:uid="{00000000-0004-0000-0100-00007D070000}"/>
    <hyperlink ref="S481" r:id="rId1919" xr:uid="{00000000-0004-0000-0100-00007E070000}"/>
    <hyperlink ref="T481" r:id="rId1920" xr:uid="{00000000-0004-0000-0100-00007F070000}"/>
    <hyperlink ref="Q482" r:id="rId1921" xr:uid="{00000000-0004-0000-0100-000080070000}"/>
    <hyperlink ref="R482" r:id="rId1922" xr:uid="{00000000-0004-0000-0100-000081070000}"/>
    <hyperlink ref="S482" r:id="rId1923" xr:uid="{00000000-0004-0000-0100-000082070000}"/>
    <hyperlink ref="T482" r:id="rId1924" xr:uid="{00000000-0004-0000-0100-000083070000}"/>
    <hyperlink ref="Q483" r:id="rId1925" xr:uid="{00000000-0004-0000-0100-000084070000}"/>
    <hyperlink ref="R483" r:id="rId1926" xr:uid="{00000000-0004-0000-0100-000085070000}"/>
    <hyperlink ref="S483" r:id="rId1927" xr:uid="{00000000-0004-0000-0100-000086070000}"/>
    <hyperlink ref="T483" r:id="rId1928" xr:uid="{00000000-0004-0000-0100-000087070000}"/>
    <hyperlink ref="Q484" r:id="rId1929" xr:uid="{00000000-0004-0000-0100-000088070000}"/>
    <hyperlink ref="R484" r:id="rId1930" xr:uid="{00000000-0004-0000-0100-000089070000}"/>
    <hyperlink ref="S484" r:id="rId1931" xr:uid="{00000000-0004-0000-0100-00008A070000}"/>
    <hyperlink ref="T484" r:id="rId1932" xr:uid="{00000000-0004-0000-0100-00008B070000}"/>
    <hyperlink ref="Q485" r:id="rId1933" xr:uid="{00000000-0004-0000-0100-00008C070000}"/>
    <hyperlink ref="R485" r:id="rId1934" xr:uid="{00000000-0004-0000-0100-00008D070000}"/>
    <hyperlink ref="S485" r:id="rId1935" xr:uid="{00000000-0004-0000-0100-00008E070000}"/>
    <hyperlink ref="T485" r:id="rId1936" xr:uid="{00000000-0004-0000-0100-00008F070000}"/>
    <hyperlink ref="Q486" r:id="rId1937" xr:uid="{00000000-0004-0000-0100-000090070000}"/>
    <hyperlink ref="R486" r:id="rId1938" xr:uid="{00000000-0004-0000-0100-000091070000}"/>
    <hyperlink ref="S486" r:id="rId1939" xr:uid="{00000000-0004-0000-0100-000092070000}"/>
    <hyperlink ref="T486" r:id="rId1940" xr:uid="{00000000-0004-0000-0100-000093070000}"/>
    <hyperlink ref="Q487" r:id="rId1941" xr:uid="{00000000-0004-0000-0100-000094070000}"/>
    <hyperlink ref="R487" r:id="rId1942" xr:uid="{00000000-0004-0000-0100-000095070000}"/>
    <hyperlink ref="S487" r:id="rId1943" xr:uid="{00000000-0004-0000-0100-000096070000}"/>
    <hyperlink ref="T487" r:id="rId1944" xr:uid="{00000000-0004-0000-0100-000097070000}"/>
    <hyperlink ref="Q488" r:id="rId1945" xr:uid="{00000000-0004-0000-0100-000098070000}"/>
    <hyperlink ref="R488" r:id="rId1946" xr:uid="{00000000-0004-0000-0100-000099070000}"/>
    <hyperlink ref="S488" r:id="rId1947" xr:uid="{00000000-0004-0000-0100-00009A070000}"/>
    <hyperlink ref="T488" r:id="rId1948" xr:uid="{00000000-0004-0000-0100-00009B070000}"/>
    <hyperlink ref="Q489" r:id="rId1949" xr:uid="{00000000-0004-0000-0100-00009C070000}"/>
    <hyperlink ref="R489" r:id="rId1950" xr:uid="{00000000-0004-0000-0100-00009D070000}"/>
    <hyperlink ref="S489" r:id="rId1951" xr:uid="{00000000-0004-0000-0100-00009E070000}"/>
    <hyperlink ref="T489" r:id="rId1952" xr:uid="{00000000-0004-0000-0100-00009F070000}"/>
    <hyperlink ref="Q490" r:id="rId1953" xr:uid="{00000000-0004-0000-0100-0000A0070000}"/>
    <hyperlink ref="R490" r:id="rId1954" xr:uid="{00000000-0004-0000-0100-0000A1070000}"/>
    <hyperlink ref="S490" r:id="rId1955" xr:uid="{00000000-0004-0000-0100-0000A2070000}"/>
    <hyperlink ref="T490" r:id="rId1956" xr:uid="{00000000-0004-0000-0100-0000A3070000}"/>
    <hyperlink ref="Q491" r:id="rId1957" xr:uid="{00000000-0004-0000-0100-0000A4070000}"/>
    <hyperlink ref="R491" r:id="rId1958" xr:uid="{00000000-0004-0000-0100-0000A5070000}"/>
    <hyperlink ref="S491" r:id="rId1959" xr:uid="{00000000-0004-0000-0100-0000A6070000}"/>
    <hyperlink ref="T491" r:id="rId1960" xr:uid="{00000000-0004-0000-0100-0000A7070000}"/>
    <hyperlink ref="Q492" r:id="rId1961" xr:uid="{00000000-0004-0000-0100-0000A8070000}"/>
    <hyperlink ref="R492" r:id="rId1962" xr:uid="{00000000-0004-0000-0100-0000A9070000}"/>
    <hyperlink ref="S492" r:id="rId1963" xr:uid="{00000000-0004-0000-0100-0000AA070000}"/>
    <hyperlink ref="T492" r:id="rId1964" xr:uid="{00000000-0004-0000-0100-0000AB070000}"/>
    <hyperlink ref="Q493" r:id="rId1965" xr:uid="{00000000-0004-0000-0100-0000AC070000}"/>
    <hyperlink ref="R493" r:id="rId1966" xr:uid="{00000000-0004-0000-0100-0000AD070000}"/>
    <hyperlink ref="S493" r:id="rId1967" xr:uid="{00000000-0004-0000-0100-0000AE070000}"/>
    <hyperlink ref="T493" r:id="rId1968" xr:uid="{00000000-0004-0000-0100-0000AF070000}"/>
    <hyperlink ref="Q494" r:id="rId1969" xr:uid="{00000000-0004-0000-0100-0000B0070000}"/>
    <hyperlink ref="R494" r:id="rId1970" xr:uid="{00000000-0004-0000-0100-0000B1070000}"/>
    <hyperlink ref="S494" r:id="rId1971" xr:uid="{00000000-0004-0000-0100-0000B2070000}"/>
    <hyperlink ref="T494" r:id="rId1972" xr:uid="{00000000-0004-0000-0100-0000B3070000}"/>
    <hyperlink ref="Q495" r:id="rId1973" xr:uid="{00000000-0004-0000-0100-0000B4070000}"/>
    <hyperlink ref="R495" r:id="rId1974" xr:uid="{00000000-0004-0000-0100-0000B5070000}"/>
    <hyperlink ref="S495" r:id="rId1975" xr:uid="{00000000-0004-0000-0100-0000B6070000}"/>
    <hyperlink ref="T495" r:id="rId1976" xr:uid="{00000000-0004-0000-0100-0000B7070000}"/>
    <hyperlink ref="Q496" r:id="rId1977" xr:uid="{00000000-0004-0000-0100-0000B8070000}"/>
    <hyperlink ref="R496" r:id="rId1978" xr:uid="{00000000-0004-0000-0100-0000B9070000}"/>
    <hyperlink ref="S496" r:id="rId1979" xr:uid="{00000000-0004-0000-0100-0000BA070000}"/>
    <hyperlink ref="T496" r:id="rId1980" xr:uid="{00000000-0004-0000-0100-0000BB070000}"/>
    <hyperlink ref="Q497" r:id="rId1981" xr:uid="{00000000-0004-0000-0100-0000BC070000}"/>
    <hyperlink ref="R497" r:id="rId1982" xr:uid="{00000000-0004-0000-0100-0000BD070000}"/>
    <hyperlink ref="S497" r:id="rId1983" xr:uid="{00000000-0004-0000-0100-0000BE070000}"/>
    <hyperlink ref="T497" r:id="rId1984" xr:uid="{00000000-0004-0000-0100-0000BF070000}"/>
    <hyperlink ref="Q498" r:id="rId1985" xr:uid="{00000000-0004-0000-0100-0000C0070000}"/>
    <hyperlink ref="R498" r:id="rId1986" xr:uid="{00000000-0004-0000-0100-0000C1070000}"/>
    <hyperlink ref="S498" r:id="rId1987" xr:uid="{00000000-0004-0000-0100-0000C2070000}"/>
    <hyperlink ref="T498" r:id="rId1988" xr:uid="{00000000-0004-0000-0100-0000C3070000}"/>
    <hyperlink ref="Q499" r:id="rId1989" xr:uid="{00000000-0004-0000-0100-0000C4070000}"/>
    <hyperlink ref="R499" r:id="rId1990" xr:uid="{00000000-0004-0000-0100-0000C5070000}"/>
    <hyperlink ref="S499" r:id="rId1991" xr:uid="{00000000-0004-0000-0100-0000C6070000}"/>
    <hyperlink ref="T499" r:id="rId1992" xr:uid="{00000000-0004-0000-0100-0000C7070000}"/>
    <hyperlink ref="Q500" r:id="rId1993" xr:uid="{00000000-0004-0000-0100-0000C8070000}"/>
    <hyperlink ref="R500" r:id="rId1994" xr:uid="{00000000-0004-0000-0100-0000C9070000}"/>
    <hyperlink ref="S500" r:id="rId1995" xr:uid="{00000000-0004-0000-0100-0000CA070000}"/>
    <hyperlink ref="T500" r:id="rId1996" xr:uid="{00000000-0004-0000-0100-0000CB070000}"/>
    <hyperlink ref="Q501" r:id="rId1997" xr:uid="{00000000-0004-0000-0100-0000CC070000}"/>
    <hyperlink ref="R501" r:id="rId1998" xr:uid="{00000000-0004-0000-0100-0000CD070000}"/>
    <hyperlink ref="S501" r:id="rId1999" xr:uid="{00000000-0004-0000-0100-0000CE070000}"/>
    <hyperlink ref="T501" r:id="rId2000" xr:uid="{00000000-0004-0000-0100-0000CF070000}"/>
    <hyperlink ref="Q502" r:id="rId2001" xr:uid="{00000000-0004-0000-0100-0000D0070000}"/>
    <hyperlink ref="R502" r:id="rId2002" xr:uid="{00000000-0004-0000-0100-0000D1070000}"/>
    <hyperlink ref="S502" r:id="rId2003" xr:uid="{00000000-0004-0000-0100-0000D2070000}"/>
    <hyperlink ref="T502" r:id="rId2004" xr:uid="{00000000-0004-0000-0100-0000D3070000}"/>
    <hyperlink ref="Q503" r:id="rId2005" xr:uid="{00000000-0004-0000-0100-0000D4070000}"/>
    <hyperlink ref="R503" r:id="rId2006" xr:uid="{00000000-0004-0000-0100-0000D5070000}"/>
    <hyperlink ref="S503" r:id="rId2007" xr:uid="{00000000-0004-0000-0100-0000D6070000}"/>
    <hyperlink ref="T503" r:id="rId2008" xr:uid="{00000000-0004-0000-0100-0000D7070000}"/>
    <hyperlink ref="Q504" r:id="rId2009" xr:uid="{00000000-0004-0000-0100-0000D8070000}"/>
    <hyperlink ref="R504" r:id="rId2010" xr:uid="{00000000-0004-0000-0100-0000D9070000}"/>
    <hyperlink ref="S504" r:id="rId2011" xr:uid="{00000000-0004-0000-0100-0000DA070000}"/>
    <hyperlink ref="T504" r:id="rId2012" xr:uid="{00000000-0004-0000-0100-0000DB070000}"/>
    <hyperlink ref="Q505" r:id="rId2013" xr:uid="{00000000-0004-0000-0100-0000DC070000}"/>
    <hyperlink ref="R505" r:id="rId2014" xr:uid="{00000000-0004-0000-0100-0000DD070000}"/>
    <hyperlink ref="S505" r:id="rId2015" xr:uid="{00000000-0004-0000-0100-0000DE070000}"/>
    <hyperlink ref="T505" r:id="rId2016" xr:uid="{00000000-0004-0000-0100-0000DF070000}"/>
    <hyperlink ref="Q506" r:id="rId2017" xr:uid="{00000000-0004-0000-0100-0000E0070000}"/>
    <hyperlink ref="R506" r:id="rId2018" xr:uid="{00000000-0004-0000-0100-0000E1070000}"/>
    <hyperlink ref="S506" r:id="rId2019" xr:uid="{00000000-0004-0000-0100-0000E2070000}"/>
    <hyperlink ref="T506" r:id="rId2020" xr:uid="{00000000-0004-0000-0100-0000E3070000}"/>
    <hyperlink ref="Q507" r:id="rId2021" xr:uid="{00000000-0004-0000-0100-0000E4070000}"/>
    <hyperlink ref="R507" r:id="rId2022" xr:uid="{00000000-0004-0000-0100-0000E5070000}"/>
    <hyperlink ref="S507" r:id="rId2023" xr:uid="{00000000-0004-0000-0100-0000E6070000}"/>
    <hyperlink ref="T507" r:id="rId2024" xr:uid="{00000000-0004-0000-0100-0000E7070000}"/>
    <hyperlink ref="Q508" r:id="rId2025" xr:uid="{00000000-0004-0000-0100-0000E8070000}"/>
    <hyperlink ref="R508" r:id="rId2026" xr:uid="{00000000-0004-0000-0100-0000E9070000}"/>
    <hyperlink ref="S508" r:id="rId2027" xr:uid="{00000000-0004-0000-0100-0000EA070000}"/>
    <hyperlink ref="T508" r:id="rId2028" xr:uid="{00000000-0004-0000-0100-0000EB070000}"/>
    <hyperlink ref="Q509" r:id="rId2029" xr:uid="{00000000-0004-0000-0100-0000EC070000}"/>
    <hyperlink ref="R509" r:id="rId2030" xr:uid="{00000000-0004-0000-0100-0000ED070000}"/>
    <hyperlink ref="S509" r:id="rId2031" xr:uid="{00000000-0004-0000-0100-0000EE070000}"/>
    <hyperlink ref="T509" r:id="rId2032" xr:uid="{00000000-0004-0000-0100-0000EF070000}"/>
    <hyperlink ref="Q510" r:id="rId2033" xr:uid="{00000000-0004-0000-0100-0000F0070000}"/>
    <hyperlink ref="R510" r:id="rId2034" xr:uid="{00000000-0004-0000-0100-0000F1070000}"/>
    <hyperlink ref="S510" r:id="rId2035" xr:uid="{00000000-0004-0000-0100-0000F2070000}"/>
    <hyperlink ref="T510" r:id="rId2036" xr:uid="{00000000-0004-0000-0100-0000F3070000}"/>
    <hyperlink ref="Q511" r:id="rId2037" xr:uid="{00000000-0004-0000-0100-0000F4070000}"/>
    <hyperlink ref="R511" r:id="rId2038" xr:uid="{00000000-0004-0000-0100-0000F5070000}"/>
    <hyperlink ref="S511" r:id="rId2039" xr:uid="{00000000-0004-0000-0100-0000F6070000}"/>
    <hyperlink ref="T511" r:id="rId2040" xr:uid="{00000000-0004-0000-0100-0000F7070000}"/>
    <hyperlink ref="Q512" r:id="rId2041" xr:uid="{00000000-0004-0000-0100-0000F8070000}"/>
    <hyperlink ref="R512" r:id="rId2042" xr:uid="{00000000-0004-0000-0100-0000F9070000}"/>
    <hyperlink ref="S512" r:id="rId2043" xr:uid="{00000000-0004-0000-0100-0000FA070000}"/>
    <hyperlink ref="T512" r:id="rId2044" xr:uid="{00000000-0004-0000-0100-0000FB070000}"/>
    <hyperlink ref="Q513" r:id="rId2045" xr:uid="{00000000-0004-0000-0100-0000FC070000}"/>
    <hyperlink ref="R513" r:id="rId2046" xr:uid="{00000000-0004-0000-0100-0000FD070000}"/>
    <hyperlink ref="S513" r:id="rId2047" xr:uid="{00000000-0004-0000-0100-0000FE070000}"/>
    <hyperlink ref="T513" r:id="rId2048" xr:uid="{00000000-0004-0000-0100-0000FF070000}"/>
    <hyperlink ref="Q514" r:id="rId2049" xr:uid="{00000000-0004-0000-0100-000000080000}"/>
    <hyperlink ref="R514" r:id="rId2050" xr:uid="{00000000-0004-0000-0100-000001080000}"/>
    <hyperlink ref="S514" r:id="rId2051" xr:uid="{00000000-0004-0000-0100-000002080000}"/>
    <hyperlink ref="T514" r:id="rId2052" xr:uid="{00000000-0004-0000-0100-000003080000}"/>
    <hyperlink ref="Q515" r:id="rId2053" xr:uid="{00000000-0004-0000-0100-000004080000}"/>
    <hyperlink ref="R515" r:id="rId2054" xr:uid="{00000000-0004-0000-0100-000005080000}"/>
    <hyperlink ref="S515" r:id="rId2055" xr:uid="{00000000-0004-0000-0100-000006080000}"/>
    <hyperlink ref="T515" r:id="rId2056" xr:uid="{00000000-0004-0000-0100-000007080000}"/>
    <hyperlink ref="Q516" r:id="rId2057" xr:uid="{00000000-0004-0000-0100-000008080000}"/>
    <hyperlink ref="R516" r:id="rId2058" xr:uid="{00000000-0004-0000-0100-000009080000}"/>
    <hyperlink ref="S516" r:id="rId2059" xr:uid="{00000000-0004-0000-0100-00000A080000}"/>
    <hyperlink ref="T516" r:id="rId2060" xr:uid="{00000000-0004-0000-0100-00000B080000}"/>
    <hyperlink ref="Q517" r:id="rId2061" xr:uid="{00000000-0004-0000-0100-00000C080000}"/>
    <hyperlink ref="R517" r:id="rId2062" xr:uid="{00000000-0004-0000-0100-00000D080000}"/>
    <hyperlink ref="S517" r:id="rId2063" xr:uid="{00000000-0004-0000-0100-00000E080000}"/>
    <hyperlink ref="T517" r:id="rId2064" xr:uid="{00000000-0004-0000-0100-00000F080000}"/>
    <hyperlink ref="Q518" r:id="rId2065" xr:uid="{00000000-0004-0000-0100-000010080000}"/>
    <hyperlink ref="R518" r:id="rId2066" xr:uid="{00000000-0004-0000-0100-000011080000}"/>
    <hyperlink ref="S518" r:id="rId2067" xr:uid="{00000000-0004-0000-0100-000012080000}"/>
    <hyperlink ref="T518" r:id="rId2068" xr:uid="{00000000-0004-0000-0100-000013080000}"/>
    <hyperlink ref="Q519" r:id="rId2069" xr:uid="{00000000-0004-0000-0100-000014080000}"/>
    <hyperlink ref="R519" r:id="rId2070" xr:uid="{00000000-0004-0000-0100-000015080000}"/>
    <hyperlink ref="S519" r:id="rId2071" xr:uid="{00000000-0004-0000-0100-000016080000}"/>
    <hyperlink ref="T519" r:id="rId2072" xr:uid="{00000000-0004-0000-0100-000017080000}"/>
    <hyperlink ref="Q520" r:id="rId2073" xr:uid="{00000000-0004-0000-0100-000018080000}"/>
    <hyperlink ref="R520" r:id="rId2074" xr:uid="{00000000-0004-0000-0100-000019080000}"/>
    <hyperlink ref="S520" r:id="rId2075" xr:uid="{00000000-0004-0000-0100-00001A080000}"/>
    <hyperlink ref="T520" r:id="rId2076" xr:uid="{00000000-0004-0000-0100-00001B080000}"/>
    <hyperlink ref="Q521" r:id="rId2077" xr:uid="{00000000-0004-0000-0100-00001C080000}"/>
    <hyperlink ref="R521" r:id="rId2078" xr:uid="{00000000-0004-0000-0100-00001D080000}"/>
    <hyperlink ref="S521" r:id="rId2079" xr:uid="{00000000-0004-0000-0100-00001E080000}"/>
    <hyperlink ref="T521" r:id="rId2080" xr:uid="{00000000-0004-0000-0100-00001F080000}"/>
    <hyperlink ref="Q522" r:id="rId2081" xr:uid="{00000000-0004-0000-0100-000020080000}"/>
    <hyperlink ref="R522" r:id="rId2082" xr:uid="{00000000-0004-0000-0100-000021080000}"/>
    <hyperlink ref="S522" r:id="rId2083" xr:uid="{00000000-0004-0000-0100-000022080000}"/>
    <hyperlink ref="T522" r:id="rId2084" xr:uid="{00000000-0004-0000-0100-000023080000}"/>
    <hyperlink ref="Q523" r:id="rId2085" xr:uid="{00000000-0004-0000-0100-000024080000}"/>
    <hyperlink ref="R523" r:id="rId2086" xr:uid="{00000000-0004-0000-0100-000025080000}"/>
    <hyperlink ref="S523" r:id="rId2087" xr:uid="{00000000-0004-0000-0100-000026080000}"/>
    <hyperlink ref="T523" r:id="rId2088" xr:uid="{00000000-0004-0000-0100-000027080000}"/>
    <hyperlink ref="Q524" r:id="rId2089" xr:uid="{00000000-0004-0000-0100-000028080000}"/>
    <hyperlink ref="R524" r:id="rId2090" xr:uid="{00000000-0004-0000-0100-000029080000}"/>
    <hyperlink ref="S524" r:id="rId2091" xr:uid="{00000000-0004-0000-0100-00002A080000}"/>
    <hyperlink ref="T524" r:id="rId2092" xr:uid="{00000000-0004-0000-0100-00002B080000}"/>
    <hyperlink ref="Q525" r:id="rId2093" xr:uid="{00000000-0004-0000-0100-00002C080000}"/>
    <hyperlink ref="R525" r:id="rId2094" xr:uid="{00000000-0004-0000-0100-00002D080000}"/>
    <hyperlink ref="S525" r:id="rId2095" xr:uid="{00000000-0004-0000-0100-00002E080000}"/>
    <hyperlink ref="T525" r:id="rId2096" xr:uid="{00000000-0004-0000-0100-00002F080000}"/>
    <hyperlink ref="Q526" r:id="rId2097" xr:uid="{00000000-0004-0000-0100-000030080000}"/>
    <hyperlink ref="R526" r:id="rId2098" xr:uid="{00000000-0004-0000-0100-000031080000}"/>
    <hyperlink ref="S526" r:id="rId2099" xr:uid="{00000000-0004-0000-0100-000032080000}"/>
    <hyperlink ref="T526" r:id="rId2100" xr:uid="{00000000-0004-0000-0100-000033080000}"/>
    <hyperlink ref="Q527" r:id="rId2101" xr:uid="{00000000-0004-0000-0100-000034080000}"/>
    <hyperlink ref="R527" r:id="rId2102" xr:uid="{00000000-0004-0000-0100-000035080000}"/>
    <hyperlink ref="S527" r:id="rId2103" xr:uid="{00000000-0004-0000-0100-000036080000}"/>
    <hyperlink ref="T527" r:id="rId2104" xr:uid="{00000000-0004-0000-0100-000037080000}"/>
    <hyperlink ref="Q528" r:id="rId2105" xr:uid="{00000000-0004-0000-0100-000038080000}"/>
    <hyperlink ref="R528" r:id="rId2106" xr:uid="{00000000-0004-0000-0100-000039080000}"/>
    <hyperlink ref="S528" r:id="rId2107" xr:uid="{00000000-0004-0000-0100-00003A080000}"/>
    <hyperlink ref="T528" r:id="rId2108" xr:uid="{00000000-0004-0000-0100-00003B080000}"/>
    <hyperlink ref="Q529" r:id="rId2109" xr:uid="{00000000-0004-0000-0100-00003C080000}"/>
    <hyperlink ref="R529" r:id="rId2110" xr:uid="{00000000-0004-0000-0100-00003D080000}"/>
    <hyperlink ref="S529" r:id="rId2111" xr:uid="{00000000-0004-0000-0100-00003E080000}"/>
    <hyperlink ref="T529" r:id="rId2112" xr:uid="{00000000-0004-0000-0100-00003F080000}"/>
    <hyperlink ref="Q530" r:id="rId2113" xr:uid="{00000000-0004-0000-0100-000040080000}"/>
    <hyperlink ref="R530" r:id="rId2114" xr:uid="{00000000-0004-0000-0100-000041080000}"/>
    <hyperlink ref="S530" r:id="rId2115" xr:uid="{00000000-0004-0000-0100-000042080000}"/>
    <hyperlink ref="T530" r:id="rId2116" xr:uid="{00000000-0004-0000-0100-000043080000}"/>
    <hyperlink ref="Q531" r:id="rId2117" xr:uid="{00000000-0004-0000-0100-000044080000}"/>
    <hyperlink ref="R531" r:id="rId2118" xr:uid="{00000000-0004-0000-0100-000045080000}"/>
    <hyperlink ref="S531" r:id="rId2119" xr:uid="{00000000-0004-0000-0100-000046080000}"/>
    <hyperlink ref="T531" r:id="rId2120" xr:uid="{00000000-0004-0000-0100-000047080000}"/>
    <hyperlink ref="Q532" r:id="rId2121" xr:uid="{00000000-0004-0000-0100-000048080000}"/>
    <hyperlink ref="R532" r:id="rId2122" xr:uid="{00000000-0004-0000-0100-000049080000}"/>
    <hyperlink ref="S532" r:id="rId2123" xr:uid="{00000000-0004-0000-0100-00004A080000}"/>
    <hyperlink ref="T532" r:id="rId2124" xr:uid="{00000000-0004-0000-0100-00004B080000}"/>
    <hyperlink ref="Q533" r:id="rId2125" xr:uid="{00000000-0004-0000-0100-00004C080000}"/>
    <hyperlink ref="R533" r:id="rId2126" xr:uid="{00000000-0004-0000-0100-00004D080000}"/>
    <hyperlink ref="S533" r:id="rId2127" xr:uid="{00000000-0004-0000-0100-00004E080000}"/>
    <hyperlink ref="T533" r:id="rId2128" xr:uid="{00000000-0004-0000-0100-00004F080000}"/>
    <hyperlink ref="Q534" r:id="rId2129" xr:uid="{00000000-0004-0000-0100-000050080000}"/>
    <hyperlink ref="R534" r:id="rId2130" xr:uid="{00000000-0004-0000-0100-000051080000}"/>
    <hyperlink ref="S534" r:id="rId2131" xr:uid="{00000000-0004-0000-0100-000052080000}"/>
    <hyperlink ref="T534" r:id="rId2132" xr:uid="{00000000-0004-0000-0100-000053080000}"/>
    <hyperlink ref="Q535" r:id="rId2133" xr:uid="{00000000-0004-0000-0100-000054080000}"/>
    <hyperlink ref="R535" r:id="rId2134" xr:uid="{00000000-0004-0000-0100-000055080000}"/>
    <hyperlink ref="S535" r:id="rId2135" xr:uid="{00000000-0004-0000-0100-000056080000}"/>
    <hyperlink ref="T535" r:id="rId2136" xr:uid="{00000000-0004-0000-0100-000057080000}"/>
    <hyperlink ref="Q536" r:id="rId2137" xr:uid="{00000000-0004-0000-0100-000058080000}"/>
    <hyperlink ref="R536" r:id="rId2138" xr:uid="{00000000-0004-0000-0100-000059080000}"/>
    <hyperlink ref="S536" r:id="rId2139" xr:uid="{00000000-0004-0000-0100-00005A080000}"/>
    <hyperlink ref="T536" r:id="rId2140" xr:uid="{00000000-0004-0000-0100-00005B080000}"/>
    <hyperlink ref="Q537" r:id="rId2141" xr:uid="{00000000-0004-0000-0100-00005C080000}"/>
    <hyperlink ref="R537" r:id="rId2142" xr:uid="{00000000-0004-0000-0100-00005D080000}"/>
    <hyperlink ref="S537" r:id="rId2143" xr:uid="{00000000-0004-0000-0100-00005E080000}"/>
    <hyperlink ref="T537" r:id="rId2144" xr:uid="{00000000-0004-0000-0100-00005F080000}"/>
    <hyperlink ref="Q538" r:id="rId2145" xr:uid="{00000000-0004-0000-0100-000060080000}"/>
    <hyperlink ref="R538" r:id="rId2146" xr:uid="{00000000-0004-0000-0100-000061080000}"/>
    <hyperlink ref="S538" r:id="rId2147" xr:uid="{00000000-0004-0000-0100-000062080000}"/>
    <hyperlink ref="T538" r:id="rId2148" xr:uid="{00000000-0004-0000-0100-000063080000}"/>
    <hyperlink ref="Q539" r:id="rId2149" xr:uid="{00000000-0004-0000-0100-000064080000}"/>
    <hyperlink ref="R539" r:id="rId2150" xr:uid="{00000000-0004-0000-0100-000065080000}"/>
    <hyperlink ref="S539" r:id="rId2151" xr:uid="{00000000-0004-0000-0100-000066080000}"/>
    <hyperlink ref="T539" r:id="rId2152" xr:uid="{00000000-0004-0000-0100-000067080000}"/>
    <hyperlink ref="Q540" r:id="rId2153" xr:uid="{00000000-0004-0000-0100-000068080000}"/>
    <hyperlink ref="R540" r:id="rId2154" xr:uid="{00000000-0004-0000-0100-000069080000}"/>
    <hyperlink ref="S540" r:id="rId2155" xr:uid="{00000000-0004-0000-0100-00006A080000}"/>
    <hyperlink ref="T540" r:id="rId2156" xr:uid="{00000000-0004-0000-0100-00006B080000}"/>
    <hyperlink ref="Q541" r:id="rId2157" xr:uid="{00000000-0004-0000-0100-00006C080000}"/>
    <hyperlink ref="R541" r:id="rId2158" xr:uid="{00000000-0004-0000-0100-00006D080000}"/>
    <hyperlink ref="S541" r:id="rId2159" xr:uid="{00000000-0004-0000-0100-00006E080000}"/>
    <hyperlink ref="T541" r:id="rId2160" xr:uid="{00000000-0004-0000-0100-00006F080000}"/>
    <hyperlink ref="Q542" r:id="rId2161" xr:uid="{00000000-0004-0000-0100-000070080000}"/>
    <hyperlink ref="R542" r:id="rId2162" xr:uid="{00000000-0004-0000-0100-000071080000}"/>
    <hyperlink ref="S542" r:id="rId2163" xr:uid="{00000000-0004-0000-0100-000072080000}"/>
    <hyperlink ref="T542" r:id="rId2164" xr:uid="{00000000-0004-0000-0100-000073080000}"/>
    <hyperlink ref="Q543" r:id="rId2165" xr:uid="{00000000-0004-0000-0100-000074080000}"/>
    <hyperlink ref="R543" r:id="rId2166" xr:uid="{00000000-0004-0000-0100-000075080000}"/>
    <hyperlink ref="S543" r:id="rId2167" xr:uid="{00000000-0004-0000-0100-000076080000}"/>
    <hyperlink ref="T543" r:id="rId2168" xr:uid="{00000000-0004-0000-0100-000077080000}"/>
    <hyperlink ref="Q544" r:id="rId2169" xr:uid="{00000000-0004-0000-0100-000078080000}"/>
    <hyperlink ref="R544" r:id="rId2170" xr:uid="{00000000-0004-0000-0100-000079080000}"/>
    <hyperlink ref="S544" r:id="rId2171" xr:uid="{00000000-0004-0000-0100-00007A080000}"/>
    <hyperlink ref="T544" r:id="rId2172" xr:uid="{00000000-0004-0000-0100-00007B080000}"/>
    <hyperlink ref="Q545" r:id="rId2173" xr:uid="{00000000-0004-0000-0100-00007C080000}"/>
    <hyperlink ref="R545" r:id="rId2174" xr:uid="{00000000-0004-0000-0100-00007D080000}"/>
    <hyperlink ref="S545" r:id="rId2175" xr:uid="{00000000-0004-0000-0100-00007E080000}"/>
    <hyperlink ref="T545" r:id="rId2176" xr:uid="{00000000-0004-0000-0100-00007F080000}"/>
    <hyperlink ref="Q546" r:id="rId2177" xr:uid="{00000000-0004-0000-0100-000080080000}"/>
    <hyperlink ref="R546" r:id="rId2178" xr:uid="{00000000-0004-0000-0100-000081080000}"/>
    <hyperlink ref="S546" r:id="rId2179" xr:uid="{00000000-0004-0000-0100-000082080000}"/>
    <hyperlink ref="T546" r:id="rId2180" xr:uid="{00000000-0004-0000-0100-000083080000}"/>
    <hyperlink ref="Q547" r:id="rId2181" xr:uid="{00000000-0004-0000-0100-000084080000}"/>
    <hyperlink ref="R547" r:id="rId2182" xr:uid="{00000000-0004-0000-0100-000085080000}"/>
    <hyperlink ref="S547" r:id="rId2183" xr:uid="{00000000-0004-0000-0100-000086080000}"/>
    <hyperlink ref="T547" r:id="rId2184" xr:uid="{00000000-0004-0000-0100-000087080000}"/>
    <hyperlink ref="Q548" r:id="rId2185" xr:uid="{00000000-0004-0000-0100-000088080000}"/>
    <hyperlink ref="R548" r:id="rId2186" xr:uid="{00000000-0004-0000-0100-000089080000}"/>
    <hyperlink ref="S548" r:id="rId2187" xr:uid="{00000000-0004-0000-0100-00008A080000}"/>
    <hyperlink ref="T548" r:id="rId2188" xr:uid="{00000000-0004-0000-0100-00008B080000}"/>
    <hyperlink ref="Q549" r:id="rId2189" xr:uid="{00000000-0004-0000-0100-00008C080000}"/>
    <hyperlink ref="R549" r:id="rId2190" xr:uid="{00000000-0004-0000-0100-00008D080000}"/>
    <hyperlink ref="S549" r:id="rId2191" xr:uid="{00000000-0004-0000-0100-00008E080000}"/>
    <hyperlink ref="T549" r:id="rId2192" xr:uid="{00000000-0004-0000-0100-00008F080000}"/>
    <hyperlink ref="Q550" r:id="rId2193" xr:uid="{00000000-0004-0000-0100-000090080000}"/>
    <hyperlink ref="R550" r:id="rId2194" xr:uid="{00000000-0004-0000-0100-000091080000}"/>
    <hyperlink ref="S550" r:id="rId2195" xr:uid="{00000000-0004-0000-0100-000092080000}"/>
    <hyperlink ref="T550" r:id="rId2196" xr:uid="{00000000-0004-0000-0100-000093080000}"/>
    <hyperlink ref="Q551" r:id="rId2197" xr:uid="{00000000-0004-0000-0100-000094080000}"/>
    <hyperlink ref="R551" r:id="rId2198" xr:uid="{00000000-0004-0000-0100-000095080000}"/>
    <hyperlink ref="S551" r:id="rId2199" xr:uid="{00000000-0004-0000-0100-000096080000}"/>
    <hyperlink ref="T551" r:id="rId2200" xr:uid="{00000000-0004-0000-0100-000097080000}"/>
    <hyperlink ref="Q552" r:id="rId2201" xr:uid="{00000000-0004-0000-0100-000098080000}"/>
    <hyperlink ref="R552" r:id="rId2202" xr:uid="{00000000-0004-0000-0100-000099080000}"/>
    <hyperlink ref="S552" r:id="rId2203" xr:uid="{00000000-0004-0000-0100-00009A080000}"/>
    <hyperlink ref="T552" r:id="rId2204" xr:uid="{00000000-0004-0000-0100-00009B080000}"/>
    <hyperlink ref="Q553" r:id="rId2205" xr:uid="{00000000-0004-0000-0100-00009C080000}"/>
    <hyperlink ref="R553" r:id="rId2206" xr:uid="{00000000-0004-0000-0100-00009D080000}"/>
    <hyperlink ref="S553" r:id="rId2207" xr:uid="{00000000-0004-0000-0100-00009E080000}"/>
    <hyperlink ref="T553" r:id="rId2208" xr:uid="{00000000-0004-0000-0100-00009F080000}"/>
    <hyperlink ref="Q554" r:id="rId2209" xr:uid="{00000000-0004-0000-0100-0000A0080000}"/>
    <hyperlink ref="R554" r:id="rId2210" xr:uid="{00000000-0004-0000-0100-0000A1080000}"/>
    <hyperlink ref="S554" r:id="rId2211" xr:uid="{00000000-0004-0000-0100-0000A2080000}"/>
    <hyperlink ref="T554" r:id="rId2212" xr:uid="{00000000-0004-0000-0100-0000A3080000}"/>
    <hyperlink ref="Q555" r:id="rId2213" xr:uid="{00000000-0004-0000-0100-0000A4080000}"/>
    <hyperlink ref="R555" r:id="rId2214" xr:uid="{00000000-0004-0000-0100-0000A5080000}"/>
    <hyperlink ref="S555" r:id="rId2215" xr:uid="{00000000-0004-0000-0100-0000A6080000}"/>
    <hyperlink ref="T555" r:id="rId2216" xr:uid="{00000000-0004-0000-0100-0000A7080000}"/>
    <hyperlink ref="Q556" r:id="rId2217" xr:uid="{00000000-0004-0000-0100-0000A8080000}"/>
    <hyperlink ref="R556" r:id="rId2218" xr:uid="{00000000-0004-0000-0100-0000A9080000}"/>
    <hyperlink ref="S556" r:id="rId2219" xr:uid="{00000000-0004-0000-0100-0000AA080000}"/>
    <hyperlink ref="T556" r:id="rId2220" xr:uid="{00000000-0004-0000-0100-0000AB080000}"/>
    <hyperlink ref="Q557" r:id="rId2221" xr:uid="{00000000-0004-0000-0100-0000AC080000}"/>
    <hyperlink ref="R557" r:id="rId2222" xr:uid="{00000000-0004-0000-0100-0000AD080000}"/>
    <hyperlink ref="S557" r:id="rId2223" xr:uid="{00000000-0004-0000-0100-0000AE080000}"/>
    <hyperlink ref="T557" r:id="rId2224" xr:uid="{00000000-0004-0000-0100-0000AF080000}"/>
    <hyperlink ref="Q558" r:id="rId2225" xr:uid="{00000000-0004-0000-0100-0000B0080000}"/>
    <hyperlink ref="R558" r:id="rId2226" xr:uid="{00000000-0004-0000-0100-0000B1080000}"/>
    <hyperlink ref="S558" r:id="rId2227" xr:uid="{00000000-0004-0000-0100-0000B2080000}"/>
    <hyperlink ref="T558" r:id="rId2228" xr:uid="{00000000-0004-0000-0100-0000B3080000}"/>
    <hyperlink ref="Q559" r:id="rId2229" xr:uid="{00000000-0004-0000-0100-0000B4080000}"/>
    <hyperlink ref="R559" r:id="rId2230" xr:uid="{00000000-0004-0000-0100-0000B5080000}"/>
    <hyperlink ref="S559" r:id="rId2231" xr:uid="{00000000-0004-0000-0100-0000B6080000}"/>
    <hyperlink ref="T559" r:id="rId2232" xr:uid="{00000000-0004-0000-0100-0000B7080000}"/>
    <hyperlink ref="Q560" r:id="rId2233" xr:uid="{00000000-0004-0000-0100-0000B8080000}"/>
    <hyperlink ref="R560" r:id="rId2234" xr:uid="{00000000-0004-0000-0100-0000B9080000}"/>
    <hyperlink ref="S560" r:id="rId2235" xr:uid="{00000000-0004-0000-0100-0000BA080000}"/>
    <hyperlink ref="T560" r:id="rId2236" xr:uid="{00000000-0004-0000-0100-0000BB080000}"/>
    <hyperlink ref="Q561" r:id="rId2237" xr:uid="{00000000-0004-0000-0100-0000BC080000}"/>
    <hyperlink ref="R561" r:id="rId2238" xr:uid="{00000000-0004-0000-0100-0000BD080000}"/>
    <hyperlink ref="S561" r:id="rId2239" xr:uid="{00000000-0004-0000-0100-0000BE080000}"/>
    <hyperlink ref="T561" r:id="rId2240" xr:uid="{00000000-0004-0000-0100-0000BF080000}"/>
    <hyperlink ref="Q562" r:id="rId2241" xr:uid="{00000000-0004-0000-0100-0000C0080000}"/>
    <hyperlink ref="R562" r:id="rId2242" xr:uid="{00000000-0004-0000-0100-0000C1080000}"/>
    <hyperlink ref="S562" r:id="rId2243" xr:uid="{00000000-0004-0000-0100-0000C2080000}"/>
    <hyperlink ref="T562" r:id="rId2244" xr:uid="{00000000-0004-0000-0100-0000C3080000}"/>
    <hyperlink ref="Q563" r:id="rId2245" xr:uid="{00000000-0004-0000-0100-0000C4080000}"/>
    <hyperlink ref="R563" r:id="rId2246" xr:uid="{00000000-0004-0000-0100-0000C5080000}"/>
    <hyperlink ref="S563" r:id="rId2247" xr:uid="{00000000-0004-0000-0100-0000C6080000}"/>
    <hyperlink ref="T563" r:id="rId2248" xr:uid="{00000000-0004-0000-0100-0000C7080000}"/>
    <hyperlink ref="Q564" r:id="rId2249" xr:uid="{00000000-0004-0000-0100-0000C8080000}"/>
    <hyperlink ref="R564" r:id="rId2250" xr:uid="{00000000-0004-0000-0100-0000C9080000}"/>
    <hyperlink ref="S564" r:id="rId2251" xr:uid="{00000000-0004-0000-0100-0000CA080000}"/>
    <hyperlink ref="T564" r:id="rId2252" xr:uid="{00000000-0004-0000-0100-0000CB080000}"/>
    <hyperlink ref="Q565" r:id="rId2253" xr:uid="{00000000-0004-0000-0100-0000CC080000}"/>
    <hyperlink ref="R565" r:id="rId2254" xr:uid="{00000000-0004-0000-0100-0000CD080000}"/>
    <hyperlink ref="S565" r:id="rId2255" xr:uid="{00000000-0004-0000-0100-0000CE080000}"/>
    <hyperlink ref="T565" r:id="rId2256" xr:uid="{00000000-0004-0000-0100-0000CF080000}"/>
    <hyperlink ref="Q566" r:id="rId2257" xr:uid="{00000000-0004-0000-0100-0000D0080000}"/>
    <hyperlink ref="R566" r:id="rId2258" xr:uid="{00000000-0004-0000-0100-0000D1080000}"/>
    <hyperlink ref="S566" r:id="rId2259" xr:uid="{00000000-0004-0000-0100-0000D2080000}"/>
    <hyperlink ref="T566" r:id="rId2260" xr:uid="{00000000-0004-0000-0100-0000D3080000}"/>
    <hyperlink ref="Q567" r:id="rId2261" xr:uid="{00000000-0004-0000-0100-0000D4080000}"/>
    <hyperlink ref="R567" r:id="rId2262" xr:uid="{00000000-0004-0000-0100-0000D5080000}"/>
    <hyperlink ref="S567" r:id="rId2263" xr:uid="{00000000-0004-0000-0100-0000D6080000}"/>
    <hyperlink ref="T567" r:id="rId2264" xr:uid="{00000000-0004-0000-0100-0000D7080000}"/>
    <hyperlink ref="Q568" r:id="rId2265" xr:uid="{00000000-0004-0000-0100-0000D8080000}"/>
    <hyperlink ref="R568" r:id="rId2266" xr:uid="{00000000-0004-0000-0100-0000D9080000}"/>
    <hyperlink ref="S568" r:id="rId2267" xr:uid="{00000000-0004-0000-0100-0000DA080000}"/>
    <hyperlink ref="T568" r:id="rId2268" xr:uid="{00000000-0004-0000-0100-0000DB080000}"/>
    <hyperlink ref="Q569" r:id="rId2269" xr:uid="{00000000-0004-0000-0100-0000DC080000}"/>
    <hyperlink ref="R569" r:id="rId2270" xr:uid="{00000000-0004-0000-0100-0000DD080000}"/>
    <hyperlink ref="S569" r:id="rId2271" xr:uid="{00000000-0004-0000-0100-0000DE080000}"/>
    <hyperlink ref="T569" r:id="rId2272" xr:uid="{00000000-0004-0000-0100-0000DF080000}"/>
    <hyperlink ref="Q570" r:id="rId2273" xr:uid="{00000000-0004-0000-0100-0000E0080000}"/>
    <hyperlink ref="R570" r:id="rId2274" xr:uid="{00000000-0004-0000-0100-0000E1080000}"/>
    <hyperlink ref="S570" r:id="rId2275" xr:uid="{00000000-0004-0000-0100-0000E2080000}"/>
    <hyperlink ref="T570" r:id="rId2276" xr:uid="{00000000-0004-0000-0100-0000E3080000}"/>
    <hyperlink ref="Q571" r:id="rId2277" xr:uid="{00000000-0004-0000-0100-0000E4080000}"/>
    <hyperlink ref="R571" r:id="rId2278" xr:uid="{00000000-0004-0000-0100-0000E5080000}"/>
    <hyperlink ref="S571" r:id="rId2279" xr:uid="{00000000-0004-0000-0100-0000E6080000}"/>
    <hyperlink ref="T571" r:id="rId2280" xr:uid="{00000000-0004-0000-0100-0000E7080000}"/>
    <hyperlink ref="Q572" r:id="rId2281" xr:uid="{00000000-0004-0000-0100-0000E8080000}"/>
    <hyperlink ref="R572" r:id="rId2282" xr:uid="{00000000-0004-0000-0100-0000E9080000}"/>
    <hyperlink ref="S572" r:id="rId2283" xr:uid="{00000000-0004-0000-0100-0000EA080000}"/>
    <hyperlink ref="T572" r:id="rId2284" xr:uid="{00000000-0004-0000-0100-0000EB080000}"/>
    <hyperlink ref="Q573" r:id="rId2285" xr:uid="{00000000-0004-0000-0100-0000EC080000}"/>
    <hyperlink ref="R573" r:id="rId2286" xr:uid="{00000000-0004-0000-0100-0000ED080000}"/>
    <hyperlink ref="S573" r:id="rId2287" xr:uid="{00000000-0004-0000-0100-0000EE080000}"/>
    <hyperlink ref="T573" r:id="rId2288" xr:uid="{00000000-0004-0000-0100-0000EF080000}"/>
    <hyperlink ref="Q574" r:id="rId2289" xr:uid="{00000000-0004-0000-0100-0000F0080000}"/>
    <hyperlink ref="R574" r:id="rId2290" xr:uid="{00000000-0004-0000-0100-0000F1080000}"/>
    <hyperlink ref="S574" r:id="rId2291" xr:uid="{00000000-0004-0000-0100-0000F2080000}"/>
    <hyperlink ref="T574" r:id="rId2292" xr:uid="{00000000-0004-0000-0100-0000F3080000}"/>
    <hyperlink ref="Q575" r:id="rId2293" xr:uid="{00000000-0004-0000-0100-0000F4080000}"/>
    <hyperlink ref="R575" r:id="rId2294" xr:uid="{00000000-0004-0000-0100-0000F5080000}"/>
    <hyperlink ref="S575" r:id="rId2295" xr:uid="{00000000-0004-0000-0100-0000F6080000}"/>
    <hyperlink ref="T575" r:id="rId2296" xr:uid="{00000000-0004-0000-0100-0000F7080000}"/>
    <hyperlink ref="Q576" r:id="rId2297" xr:uid="{00000000-0004-0000-0100-0000F8080000}"/>
    <hyperlink ref="R576" r:id="rId2298" xr:uid="{00000000-0004-0000-0100-0000F9080000}"/>
    <hyperlink ref="S576" r:id="rId2299" xr:uid="{00000000-0004-0000-0100-0000FA080000}"/>
    <hyperlink ref="T576" r:id="rId2300" xr:uid="{00000000-0004-0000-0100-0000FB080000}"/>
    <hyperlink ref="Q577" r:id="rId2301" xr:uid="{00000000-0004-0000-0100-0000FC080000}"/>
    <hyperlink ref="R577" r:id="rId2302" xr:uid="{00000000-0004-0000-0100-0000FD080000}"/>
    <hyperlink ref="S577" r:id="rId2303" xr:uid="{00000000-0004-0000-0100-0000FE080000}"/>
    <hyperlink ref="T577" r:id="rId2304" xr:uid="{00000000-0004-0000-0100-0000FF080000}"/>
    <hyperlink ref="Q578" r:id="rId2305" xr:uid="{00000000-0004-0000-0100-000000090000}"/>
    <hyperlink ref="R578" r:id="rId2306" xr:uid="{00000000-0004-0000-0100-000001090000}"/>
    <hyperlink ref="S578" r:id="rId2307" xr:uid="{00000000-0004-0000-0100-000002090000}"/>
    <hyperlink ref="T578" r:id="rId2308" xr:uid="{00000000-0004-0000-0100-000003090000}"/>
    <hyperlink ref="Q579" r:id="rId2309" xr:uid="{00000000-0004-0000-0100-000004090000}"/>
    <hyperlink ref="R579" r:id="rId2310" xr:uid="{00000000-0004-0000-0100-000005090000}"/>
    <hyperlink ref="S579" r:id="rId2311" xr:uid="{00000000-0004-0000-0100-000006090000}"/>
    <hyperlink ref="T579" r:id="rId2312" xr:uid="{00000000-0004-0000-0100-000007090000}"/>
    <hyperlink ref="Q580" r:id="rId2313" xr:uid="{00000000-0004-0000-0100-000008090000}"/>
    <hyperlink ref="R580" r:id="rId2314" xr:uid="{00000000-0004-0000-0100-000009090000}"/>
    <hyperlink ref="S580" r:id="rId2315" xr:uid="{00000000-0004-0000-0100-00000A090000}"/>
    <hyperlink ref="T580" r:id="rId2316" xr:uid="{00000000-0004-0000-0100-00000B090000}"/>
    <hyperlink ref="Q581" r:id="rId2317" xr:uid="{00000000-0004-0000-0100-00000C090000}"/>
    <hyperlink ref="R581" r:id="rId2318" xr:uid="{00000000-0004-0000-0100-00000D090000}"/>
    <hyperlink ref="S581" r:id="rId2319" xr:uid="{00000000-0004-0000-0100-00000E090000}"/>
    <hyperlink ref="T581" r:id="rId2320" xr:uid="{00000000-0004-0000-0100-00000F090000}"/>
    <hyperlink ref="Q582" r:id="rId2321" xr:uid="{00000000-0004-0000-0100-000010090000}"/>
    <hyperlink ref="R582" r:id="rId2322" xr:uid="{00000000-0004-0000-0100-000011090000}"/>
    <hyperlink ref="S582" r:id="rId2323" xr:uid="{00000000-0004-0000-0100-000012090000}"/>
    <hyperlink ref="T582" r:id="rId2324" xr:uid="{00000000-0004-0000-0100-000013090000}"/>
    <hyperlink ref="Q583" r:id="rId2325" xr:uid="{00000000-0004-0000-0100-000014090000}"/>
    <hyperlink ref="R583" r:id="rId2326" xr:uid="{00000000-0004-0000-0100-000015090000}"/>
    <hyperlink ref="S583" r:id="rId2327" xr:uid="{00000000-0004-0000-0100-000016090000}"/>
    <hyperlink ref="T583" r:id="rId2328" xr:uid="{00000000-0004-0000-0100-000017090000}"/>
    <hyperlink ref="Q584" r:id="rId2329" xr:uid="{00000000-0004-0000-0100-000018090000}"/>
    <hyperlink ref="R584" r:id="rId2330" xr:uid="{00000000-0004-0000-0100-000019090000}"/>
    <hyperlink ref="S584" r:id="rId2331" xr:uid="{00000000-0004-0000-0100-00001A090000}"/>
    <hyperlink ref="T584" r:id="rId2332" xr:uid="{00000000-0004-0000-0100-00001B090000}"/>
    <hyperlink ref="Q585" r:id="rId2333" xr:uid="{00000000-0004-0000-0100-00001C090000}"/>
    <hyperlink ref="R585" r:id="rId2334" xr:uid="{00000000-0004-0000-0100-00001D090000}"/>
    <hyperlink ref="S585" r:id="rId2335" xr:uid="{00000000-0004-0000-0100-00001E090000}"/>
    <hyperlink ref="T585" r:id="rId2336" xr:uid="{00000000-0004-0000-0100-00001F090000}"/>
    <hyperlink ref="Q586" r:id="rId2337" xr:uid="{00000000-0004-0000-0100-000020090000}"/>
    <hyperlink ref="R586" r:id="rId2338" xr:uid="{00000000-0004-0000-0100-000021090000}"/>
    <hyperlink ref="S586" r:id="rId2339" xr:uid="{00000000-0004-0000-0100-000022090000}"/>
    <hyperlink ref="T586" r:id="rId2340" xr:uid="{00000000-0004-0000-0100-000023090000}"/>
    <hyperlink ref="Q587" r:id="rId2341" xr:uid="{00000000-0004-0000-0100-000024090000}"/>
    <hyperlink ref="R587" r:id="rId2342" xr:uid="{00000000-0004-0000-0100-000025090000}"/>
    <hyperlink ref="S587" r:id="rId2343" xr:uid="{00000000-0004-0000-0100-000026090000}"/>
    <hyperlink ref="T587" r:id="rId2344" xr:uid="{00000000-0004-0000-0100-000027090000}"/>
    <hyperlink ref="Q588" r:id="rId2345" xr:uid="{00000000-0004-0000-0100-000028090000}"/>
    <hyperlink ref="R588" r:id="rId2346" xr:uid="{00000000-0004-0000-0100-000029090000}"/>
    <hyperlink ref="S588" r:id="rId2347" xr:uid="{00000000-0004-0000-0100-00002A090000}"/>
    <hyperlink ref="T588" r:id="rId2348" xr:uid="{00000000-0004-0000-0100-00002B090000}"/>
    <hyperlink ref="Q589" r:id="rId2349" xr:uid="{00000000-0004-0000-0100-00002C090000}"/>
    <hyperlink ref="R589" r:id="rId2350" xr:uid="{00000000-0004-0000-0100-00002D090000}"/>
    <hyperlink ref="S589" r:id="rId2351" xr:uid="{00000000-0004-0000-0100-00002E090000}"/>
    <hyperlink ref="T589" r:id="rId2352" xr:uid="{00000000-0004-0000-0100-00002F090000}"/>
    <hyperlink ref="Q590" r:id="rId2353" xr:uid="{00000000-0004-0000-0100-000030090000}"/>
    <hyperlink ref="R590" r:id="rId2354" xr:uid="{00000000-0004-0000-0100-000031090000}"/>
    <hyperlink ref="S590" r:id="rId2355" xr:uid="{00000000-0004-0000-0100-000032090000}"/>
    <hyperlink ref="T590" r:id="rId2356" xr:uid="{00000000-0004-0000-0100-000033090000}"/>
    <hyperlink ref="Q591" r:id="rId2357" xr:uid="{00000000-0004-0000-0100-000034090000}"/>
    <hyperlink ref="R591" r:id="rId2358" xr:uid="{00000000-0004-0000-0100-000035090000}"/>
    <hyperlink ref="S591" r:id="rId2359" xr:uid="{00000000-0004-0000-0100-000036090000}"/>
    <hyperlink ref="T591" r:id="rId2360" xr:uid="{00000000-0004-0000-0100-000037090000}"/>
    <hyperlink ref="Q592" r:id="rId2361" xr:uid="{00000000-0004-0000-0100-000038090000}"/>
    <hyperlink ref="R592" r:id="rId2362" xr:uid="{00000000-0004-0000-0100-000039090000}"/>
    <hyperlink ref="S592" r:id="rId2363" xr:uid="{00000000-0004-0000-0100-00003A090000}"/>
    <hyperlink ref="T592" r:id="rId2364" xr:uid="{00000000-0004-0000-0100-00003B090000}"/>
    <hyperlink ref="Q593" r:id="rId2365" xr:uid="{00000000-0004-0000-0100-00003C090000}"/>
    <hyperlink ref="R593" r:id="rId2366" xr:uid="{00000000-0004-0000-0100-00003D090000}"/>
    <hyperlink ref="S593" r:id="rId2367" xr:uid="{00000000-0004-0000-0100-00003E090000}"/>
    <hyperlink ref="T593" r:id="rId2368" xr:uid="{00000000-0004-0000-0100-00003F090000}"/>
    <hyperlink ref="Q594" r:id="rId2369" xr:uid="{00000000-0004-0000-0100-000040090000}"/>
    <hyperlink ref="R594" r:id="rId2370" xr:uid="{00000000-0004-0000-0100-000041090000}"/>
    <hyperlink ref="S594" r:id="rId2371" xr:uid="{00000000-0004-0000-0100-000042090000}"/>
    <hyperlink ref="T594" r:id="rId2372" xr:uid="{00000000-0004-0000-0100-000043090000}"/>
    <hyperlink ref="Q595" r:id="rId2373" xr:uid="{00000000-0004-0000-0100-000044090000}"/>
    <hyperlink ref="R595" r:id="rId2374" xr:uid="{00000000-0004-0000-0100-000045090000}"/>
    <hyperlink ref="S595" r:id="rId2375" xr:uid="{00000000-0004-0000-0100-000046090000}"/>
    <hyperlink ref="T595" r:id="rId2376" xr:uid="{00000000-0004-0000-0100-000047090000}"/>
    <hyperlink ref="Q596" r:id="rId2377" xr:uid="{00000000-0004-0000-0100-000048090000}"/>
    <hyperlink ref="R596" r:id="rId2378" xr:uid="{00000000-0004-0000-0100-000049090000}"/>
    <hyperlink ref="S596" r:id="rId2379" xr:uid="{00000000-0004-0000-0100-00004A090000}"/>
    <hyperlink ref="T596" r:id="rId2380" xr:uid="{00000000-0004-0000-0100-00004B090000}"/>
    <hyperlink ref="Q597" r:id="rId2381" xr:uid="{00000000-0004-0000-0100-00004C090000}"/>
    <hyperlink ref="R597" r:id="rId2382" xr:uid="{00000000-0004-0000-0100-00004D090000}"/>
    <hyperlink ref="S597" r:id="rId2383" xr:uid="{00000000-0004-0000-0100-00004E090000}"/>
    <hyperlink ref="T597" r:id="rId2384" xr:uid="{00000000-0004-0000-0100-00004F090000}"/>
    <hyperlink ref="Q598" r:id="rId2385" xr:uid="{00000000-0004-0000-0100-000050090000}"/>
    <hyperlink ref="R598" r:id="rId2386" xr:uid="{00000000-0004-0000-0100-000051090000}"/>
    <hyperlink ref="S598" r:id="rId2387" xr:uid="{00000000-0004-0000-0100-000052090000}"/>
    <hyperlink ref="T598" r:id="rId2388" xr:uid="{00000000-0004-0000-0100-000053090000}"/>
    <hyperlink ref="Q599" r:id="rId2389" xr:uid="{00000000-0004-0000-0100-000054090000}"/>
    <hyperlink ref="R599" r:id="rId2390" xr:uid="{00000000-0004-0000-0100-000055090000}"/>
    <hyperlink ref="S599" r:id="rId2391" xr:uid="{00000000-0004-0000-0100-000056090000}"/>
    <hyperlink ref="T599" r:id="rId2392" xr:uid="{00000000-0004-0000-0100-000057090000}"/>
    <hyperlink ref="Q600" r:id="rId2393" xr:uid="{00000000-0004-0000-0100-000058090000}"/>
    <hyperlink ref="R600" r:id="rId2394" xr:uid="{00000000-0004-0000-0100-000059090000}"/>
    <hyperlink ref="S600" r:id="rId2395" xr:uid="{00000000-0004-0000-0100-00005A090000}"/>
    <hyperlink ref="T600" r:id="rId2396" xr:uid="{00000000-0004-0000-0100-00005B090000}"/>
    <hyperlink ref="Q601" r:id="rId2397" xr:uid="{00000000-0004-0000-0100-00005C090000}"/>
    <hyperlink ref="R601" r:id="rId2398" xr:uid="{00000000-0004-0000-0100-00005D090000}"/>
    <hyperlink ref="S601" r:id="rId2399" xr:uid="{00000000-0004-0000-0100-00005E090000}"/>
    <hyperlink ref="T601" r:id="rId2400" xr:uid="{00000000-0004-0000-0100-00005F090000}"/>
    <hyperlink ref="Q602" r:id="rId2401" xr:uid="{00000000-0004-0000-0100-000060090000}"/>
    <hyperlink ref="R602" r:id="rId2402" xr:uid="{00000000-0004-0000-0100-000061090000}"/>
    <hyperlink ref="S602" r:id="rId2403" xr:uid="{00000000-0004-0000-0100-000062090000}"/>
    <hyperlink ref="T602" r:id="rId2404" xr:uid="{00000000-0004-0000-0100-000063090000}"/>
    <hyperlink ref="Q603" r:id="rId2405" xr:uid="{00000000-0004-0000-0100-000064090000}"/>
    <hyperlink ref="R603" r:id="rId2406" xr:uid="{00000000-0004-0000-0100-000065090000}"/>
    <hyperlink ref="S603" r:id="rId2407" xr:uid="{00000000-0004-0000-0100-000066090000}"/>
    <hyperlink ref="T603" r:id="rId2408" xr:uid="{00000000-0004-0000-0100-000067090000}"/>
    <hyperlink ref="Q604" r:id="rId2409" xr:uid="{00000000-0004-0000-0100-000068090000}"/>
    <hyperlink ref="R604" r:id="rId2410" xr:uid="{00000000-0004-0000-0100-000069090000}"/>
    <hyperlink ref="S604" r:id="rId2411" xr:uid="{00000000-0004-0000-0100-00006A090000}"/>
    <hyperlink ref="T604" r:id="rId2412" xr:uid="{00000000-0004-0000-0100-00006B090000}"/>
    <hyperlink ref="Q605" r:id="rId2413" xr:uid="{00000000-0004-0000-0100-00006C090000}"/>
    <hyperlink ref="R605" r:id="rId2414" xr:uid="{00000000-0004-0000-0100-00006D090000}"/>
    <hyperlink ref="S605" r:id="rId2415" xr:uid="{00000000-0004-0000-0100-00006E090000}"/>
    <hyperlink ref="T605" r:id="rId2416" xr:uid="{00000000-0004-0000-0100-00006F090000}"/>
    <hyperlink ref="Q606" r:id="rId2417" xr:uid="{00000000-0004-0000-0100-000070090000}"/>
    <hyperlink ref="R606" r:id="rId2418" xr:uid="{00000000-0004-0000-0100-000071090000}"/>
    <hyperlink ref="S606" r:id="rId2419" xr:uid="{00000000-0004-0000-0100-000072090000}"/>
    <hyperlink ref="T606" r:id="rId2420" xr:uid="{00000000-0004-0000-0100-000073090000}"/>
    <hyperlink ref="Q607" r:id="rId2421" xr:uid="{00000000-0004-0000-0100-000074090000}"/>
    <hyperlink ref="R607" r:id="rId2422" xr:uid="{00000000-0004-0000-0100-000075090000}"/>
    <hyperlink ref="S607" r:id="rId2423" xr:uid="{00000000-0004-0000-0100-000076090000}"/>
    <hyperlink ref="T607" r:id="rId2424" xr:uid="{00000000-0004-0000-0100-000077090000}"/>
    <hyperlink ref="Q608" r:id="rId2425" xr:uid="{00000000-0004-0000-0100-000078090000}"/>
    <hyperlink ref="R608" r:id="rId2426" xr:uid="{00000000-0004-0000-0100-000079090000}"/>
    <hyperlink ref="S608" r:id="rId2427" xr:uid="{00000000-0004-0000-0100-00007A090000}"/>
    <hyperlink ref="T608" r:id="rId2428" xr:uid="{00000000-0004-0000-0100-00007B090000}"/>
    <hyperlink ref="Q609" r:id="rId2429" xr:uid="{00000000-0004-0000-0100-00007C090000}"/>
    <hyperlink ref="R609" r:id="rId2430" xr:uid="{00000000-0004-0000-0100-00007D090000}"/>
    <hyperlink ref="S609" r:id="rId2431" xr:uid="{00000000-0004-0000-0100-00007E090000}"/>
    <hyperlink ref="T609" r:id="rId2432" xr:uid="{00000000-0004-0000-0100-00007F090000}"/>
    <hyperlink ref="Q610" r:id="rId2433" xr:uid="{00000000-0004-0000-0100-000080090000}"/>
    <hyperlink ref="R610" r:id="rId2434" xr:uid="{00000000-0004-0000-0100-000081090000}"/>
    <hyperlink ref="S610" r:id="rId2435" xr:uid="{00000000-0004-0000-0100-000082090000}"/>
    <hyperlink ref="T610" r:id="rId2436" xr:uid="{00000000-0004-0000-0100-000083090000}"/>
    <hyperlink ref="Q611" r:id="rId2437" xr:uid="{00000000-0004-0000-0100-000084090000}"/>
    <hyperlink ref="R611" r:id="rId2438" xr:uid="{00000000-0004-0000-0100-000085090000}"/>
    <hyperlink ref="S611" r:id="rId2439" xr:uid="{00000000-0004-0000-0100-000086090000}"/>
    <hyperlink ref="T611" r:id="rId2440" xr:uid="{00000000-0004-0000-0100-000087090000}"/>
    <hyperlink ref="Q612" r:id="rId2441" xr:uid="{00000000-0004-0000-0100-000088090000}"/>
    <hyperlink ref="R612" r:id="rId2442" xr:uid="{00000000-0004-0000-0100-000089090000}"/>
    <hyperlink ref="S612" r:id="rId2443" xr:uid="{00000000-0004-0000-0100-00008A090000}"/>
    <hyperlink ref="T612" r:id="rId2444" xr:uid="{00000000-0004-0000-0100-00008B090000}"/>
    <hyperlink ref="Q613" r:id="rId2445" xr:uid="{00000000-0004-0000-0100-00008C090000}"/>
    <hyperlink ref="R613" r:id="rId2446" xr:uid="{00000000-0004-0000-0100-00008D090000}"/>
    <hyperlink ref="S613" r:id="rId2447" xr:uid="{00000000-0004-0000-0100-00008E090000}"/>
    <hyperlink ref="T613" r:id="rId2448" xr:uid="{00000000-0004-0000-0100-00008F090000}"/>
    <hyperlink ref="Q614" r:id="rId2449" xr:uid="{00000000-0004-0000-0100-000090090000}"/>
    <hyperlink ref="R614" r:id="rId2450" xr:uid="{00000000-0004-0000-0100-000091090000}"/>
    <hyperlink ref="S614" r:id="rId2451" xr:uid="{00000000-0004-0000-0100-000092090000}"/>
    <hyperlink ref="T614" r:id="rId2452" xr:uid="{00000000-0004-0000-0100-000093090000}"/>
    <hyperlink ref="Q615" r:id="rId2453" xr:uid="{00000000-0004-0000-0100-000094090000}"/>
    <hyperlink ref="R615" r:id="rId2454" xr:uid="{00000000-0004-0000-0100-000095090000}"/>
    <hyperlink ref="S615" r:id="rId2455" xr:uid="{00000000-0004-0000-0100-000096090000}"/>
    <hyperlink ref="T615" r:id="rId2456" xr:uid="{00000000-0004-0000-0100-000097090000}"/>
    <hyperlink ref="Q616" r:id="rId2457" xr:uid="{00000000-0004-0000-0100-000098090000}"/>
    <hyperlink ref="R616" r:id="rId2458" xr:uid="{00000000-0004-0000-0100-000099090000}"/>
    <hyperlink ref="S616" r:id="rId2459" xr:uid="{00000000-0004-0000-0100-00009A090000}"/>
    <hyperlink ref="T616" r:id="rId2460" xr:uid="{00000000-0004-0000-0100-00009B090000}"/>
    <hyperlink ref="Q617" r:id="rId2461" xr:uid="{00000000-0004-0000-0100-00009C090000}"/>
    <hyperlink ref="R617" r:id="rId2462" xr:uid="{00000000-0004-0000-0100-00009D090000}"/>
    <hyperlink ref="S617" r:id="rId2463" xr:uid="{00000000-0004-0000-0100-00009E090000}"/>
    <hyperlink ref="T617" r:id="rId2464" xr:uid="{00000000-0004-0000-0100-00009F090000}"/>
    <hyperlink ref="Q618" r:id="rId2465" xr:uid="{00000000-0004-0000-0100-0000A0090000}"/>
    <hyperlink ref="R618" r:id="rId2466" xr:uid="{00000000-0004-0000-0100-0000A1090000}"/>
    <hyperlink ref="S618" r:id="rId2467" xr:uid="{00000000-0004-0000-0100-0000A2090000}"/>
    <hyperlink ref="T618" r:id="rId2468" xr:uid="{00000000-0004-0000-0100-0000A3090000}"/>
    <hyperlink ref="Q619" r:id="rId2469" xr:uid="{00000000-0004-0000-0100-0000A4090000}"/>
    <hyperlink ref="R619" r:id="rId2470" xr:uid="{00000000-0004-0000-0100-0000A5090000}"/>
    <hyperlink ref="S619" r:id="rId2471" xr:uid="{00000000-0004-0000-0100-0000A6090000}"/>
    <hyperlink ref="T619" r:id="rId2472" xr:uid="{00000000-0004-0000-0100-0000A7090000}"/>
    <hyperlink ref="Q620" r:id="rId2473" xr:uid="{00000000-0004-0000-0100-0000A8090000}"/>
    <hyperlink ref="R620" r:id="rId2474" xr:uid="{00000000-0004-0000-0100-0000A9090000}"/>
    <hyperlink ref="S620" r:id="rId2475" xr:uid="{00000000-0004-0000-0100-0000AA090000}"/>
    <hyperlink ref="T620" r:id="rId2476" xr:uid="{00000000-0004-0000-0100-0000AB090000}"/>
    <hyperlink ref="Q621" r:id="rId2477" xr:uid="{00000000-0004-0000-0100-0000AC090000}"/>
    <hyperlink ref="R621" r:id="rId2478" xr:uid="{00000000-0004-0000-0100-0000AD090000}"/>
    <hyperlink ref="S621" r:id="rId2479" xr:uid="{00000000-0004-0000-0100-0000AE090000}"/>
    <hyperlink ref="T621" r:id="rId2480" xr:uid="{00000000-0004-0000-0100-0000AF090000}"/>
    <hyperlink ref="Q622" r:id="rId2481" xr:uid="{00000000-0004-0000-0100-0000B0090000}"/>
    <hyperlink ref="R622" r:id="rId2482" xr:uid="{00000000-0004-0000-0100-0000B1090000}"/>
    <hyperlink ref="S622" r:id="rId2483" xr:uid="{00000000-0004-0000-0100-0000B2090000}"/>
    <hyperlink ref="T622" r:id="rId2484" xr:uid="{00000000-0004-0000-0100-0000B3090000}"/>
    <hyperlink ref="Q623" r:id="rId2485" xr:uid="{00000000-0004-0000-0100-0000B4090000}"/>
    <hyperlink ref="R623" r:id="rId2486" xr:uid="{00000000-0004-0000-0100-0000B5090000}"/>
    <hyperlink ref="S623" r:id="rId2487" xr:uid="{00000000-0004-0000-0100-0000B6090000}"/>
    <hyperlink ref="T623" r:id="rId2488" xr:uid="{00000000-0004-0000-0100-0000B7090000}"/>
    <hyperlink ref="Q624" r:id="rId2489" xr:uid="{00000000-0004-0000-0100-0000B8090000}"/>
    <hyperlink ref="R624" r:id="rId2490" xr:uid="{00000000-0004-0000-0100-0000B9090000}"/>
    <hyperlink ref="S624" r:id="rId2491" xr:uid="{00000000-0004-0000-0100-0000BA090000}"/>
    <hyperlink ref="T624" r:id="rId2492" xr:uid="{00000000-0004-0000-0100-0000BB090000}"/>
    <hyperlink ref="Q625" r:id="rId2493" xr:uid="{00000000-0004-0000-0100-0000BC090000}"/>
    <hyperlink ref="R625" r:id="rId2494" xr:uid="{00000000-0004-0000-0100-0000BD090000}"/>
    <hyperlink ref="S625" r:id="rId2495" xr:uid="{00000000-0004-0000-0100-0000BE090000}"/>
    <hyperlink ref="T625" r:id="rId2496" xr:uid="{00000000-0004-0000-0100-0000BF090000}"/>
    <hyperlink ref="Q626" r:id="rId2497" xr:uid="{00000000-0004-0000-0100-0000C0090000}"/>
    <hyperlink ref="R626" r:id="rId2498" xr:uid="{00000000-0004-0000-0100-0000C1090000}"/>
    <hyperlink ref="S626" r:id="rId2499" xr:uid="{00000000-0004-0000-0100-0000C2090000}"/>
    <hyperlink ref="T626" r:id="rId2500" xr:uid="{00000000-0004-0000-0100-0000C3090000}"/>
    <hyperlink ref="Q627" r:id="rId2501" xr:uid="{00000000-0004-0000-0100-0000C4090000}"/>
    <hyperlink ref="R627" r:id="rId2502" xr:uid="{00000000-0004-0000-0100-0000C5090000}"/>
    <hyperlink ref="S627" r:id="rId2503" xr:uid="{00000000-0004-0000-0100-0000C6090000}"/>
    <hyperlink ref="T627" r:id="rId2504" xr:uid="{00000000-0004-0000-0100-0000C7090000}"/>
    <hyperlink ref="Q628" r:id="rId2505" xr:uid="{00000000-0004-0000-0100-0000C8090000}"/>
    <hyperlink ref="R628" r:id="rId2506" xr:uid="{00000000-0004-0000-0100-0000C9090000}"/>
    <hyperlink ref="S628" r:id="rId2507" xr:uid="{00000000-0004-0000-0100-0000CA090000}"/>
    <hyperlink ref="T628" r:id="rId2508" xr:uid="{00000000-0004-0000-0100-0000CB090000}"/>
    <hyperlink ref="Q629" r:id="rId2509" xr:uid="{00000000-0004-0000-0100-0000CC090000}"/>
    <hyperlink ref="R629" r:id="rId2510" xr:uid="{00000000-0004-0000-0100-0000CD090000}"/>
    <hyperlink ref="S629" r:id="rId2511" xr:uid="{00000000-0004-0000-0100-0000CE090000}"/>
    <hyperlink ref="T629" r:id="rId2512" xr:uid="{00000000-0004-0000-0100-0000CF090000}"/>
    <hyperlink ref="Q630" r:id="rId2513" xr:uid="{00000000-0004-0000-0100-0000D0090000}"/>
    <hyperlink ref="R630" r:id="rId2514" xr:uid="{00000000-0004-0000-0100-0000D1090000}"/>
    <hyperlink ref="S630" r:id="rId2515" xr:uid="{00000000-0004-0000-0100-0000D2090000}"/>
    <hyperlink ref="T630" r:id="rId2516" xr:uid="{00000000-0004-0000-0100-0000D3090000}"/>
    <hyperlink ref="Q631" r:id="rId2517" xr:uid="{00000000-0004-0000-0100-0000D4090000}"/>
    <hyperlink ref="R631" r:id="rId2518" xr:uid="{00000000-0004-0000-0100-0000D5090000}"/>
    <hyperlink ref="S631" r:id="rId2519" xr:uid="{00000000-0004-0000-0100-0000D6090000}"/>
    <hyperlink ref="T631" r:id="rId2520" xr:uid="{00000000-0004-0000-0100-0000D7090000}"/>
    <hyperlink ref="Q632" r:id="rId2521" xr:uid="{00000000-0004-0000-0100-0000D8090000}"/>
    <hyperlink ref="R632" r:id="rId2522" xr:uid="{00000000-0004-0000-0100-0000D9090000}"/>
    <hyperlink ref="S632" r:id="rId2523" xr:uid="{00000000-0004-0000-0100-0000DA090000}"/>
    <hyperlink ref="T632" r:id="rId2524" xr:uid="{00000000-0004-0000-0100-0000DB090000}"/>
    <hyperlink ref="Q633" r:id="rId2525" xr:uid="{00000000-0004-0000-0100-0000DC090000}"/>
    <hyperlink ref="R633" r:id="rId2526" xr:uid="{00000000-0004-0000-0100-0000DD090000}"/>
    <hyperlink ref="S633" r:id="rId2527" xr:uid="{00000000-0004-0000-0100-0000DE090000}"/>
    <hyperlink ref="T633" r:id="rId2528" xr:uid="{00000000-0004-0000-0100-0000DF090000}"/>
    <hyperlink ref="Q634" r:id="rId2529" xr:uid="{00000000-0004-0000-0100-0000E0090000}"/>
    <hyperlink ref="R634" r:id="rId2530" xr:uid="{00000000-0004-0000-0100-0000E1090000}"/>
    <hyperlink ref="S634" r:id="rId2531" xr:uid="{00000000-0004-0000-0100-0000E2090000}"/>
    <hyperlink ref="T634" r:id="rId2532" xr:uid="{00000000-0004-0000-0100-0000E3090000}"/>
    <hyperlink ref="Q635" r:id="rId2533" xr:uid="{00000000-0004-0000-0100-0000E4090000}"/>
    <hyperlink ref="R635" r:id="rId2534" xr:uid="{00000000-0004-0000-0100-0000E5090000}"/>
    <hyperlink ref="S635" r:id="rId2535" xr:uid="{00000000-0004-0000-0100-0000E6090000}"/>
    <hyperlink ref="T635" r:id="rId2536" xr:uid="{00000000-0004-0000-0100-0000E7090000}"/>
    <hyperlink ref="Q636" r:id="rId2537" xr:uid="{00000000-0004-0000-0100-0000E8090000}"/>
    <hyperlink ref="R636" r:id="rId2538" xr:uid="{00000000-0004-0000-0100-0000E9090000}"/>
    <hyperlink ref="S636" r:id="rId2539" xr:uid="{00000000-0004-0000-0100-0000EA090000}"/>
    <hyperlink ref="T636" r:id="rId2540" xr:uid="{00000000-0004-0000-0100-0000EB090000}"/>
    <hyperlink ref="Q637" r:id="rId2541" xr:uid="{00000000-0004-0000-0100-0000EC090000}"/>
    <hyperlink ref="R637" r:id="rId2542" xr:uid="{00000000-0004-0000-0100-0000ED090000}"/>
    <hyperlink ref="S637" r:id="rId2543" xr:uid="{00000000-0004-0000-0100-0000EE090000}"/>
    <hyperlink ref="T637" r:id="rId2544" xr:uid="{00000000-0004-0000-0100-0000EF090000}"/>
    <hyperlink ref="Q638" r:id="rId2545" xr:uid="{00000000-0004-0000-0100-0000F0090000}"/>
    <hyperlink ref="R638" r:id="rId2546" xr:uid="{00000000-0004-0000-0100-0000F1090000}"/>
    <hyperlink ref="S638" r:id="rId2547" xr:uid="{00000000-0004-0000-0100-0000F2090000}"/>
    <hyperlink ref="T638" r:id="rId2548" xr:uid="{00000000-0004-0000-0100-0000F3090000}"/>
    <hyperlink ref="Q639" r:id="rId2549" xr:uid="{00000000-0004-0000-0100-0000F4090000}"/>
    <hyperlink ref="R639" r:id="rId2550" xr:uid="{00000000-0004-0000-0100-0000F5090000}"/>
    <hyperlink ref="S639" r:id="rId2551" xr:uid="{00000000-0004-0000-0100-0000F6090000}"/>
    <hyperlink ref="T639" r:id="rId2552" xr:uid="{00000000-0004-0000-0100-0000F7090000}"/>
    <hyperlink ref="Q640" r:id="rId2553" xr:uid="{00000000-0004-0000-0100-0000F8090000}"/>
    <hyperlink ref="R640" r:id="rId2554" xr:uid="{00000000-0004-0000-0100-0000F9090000}"/>
    <hyperlink ref="S640" r:id="rId2555" xr:uid="{00000000-0004-0000-0100-0000FA090000}"/>
    <hyperlink ref="T640" r:id="rId2556" xr:uid="{00000000-0004-0000-0100-0000FB090000}"/>
    <hyperlink ref="Q641" r:id="rId2557" xr:uid="{00000000-0004-0000-0100-0000FC090000}"/>
    <hyperlink ref="R641" r:id="rId2558" xr:uid="{00000000-0004-0000-0100-0000FD090000}"/>
    <hyperlink ref="S641" r:id="rId2559" xr:uid="{00000000-0004-0000-0100-0000FE090000}"/>
    <hyperlink ref="T641" r:id="rId2560" xr:uid="{00000000-0004-0000-0100-0000FF090000}"/>
    <hyperlink ref="Q642" r:id="rId2561" xr:uid="{00000000-0004-0000-0100-0000000A0000}"/>
    <hyperlink ref="R642" r:id="rId2562" xr:uid="{00000000-0004-0000-0100-0000010A0000}"/>
    <hyperlink ref="S642" r:id="rId2563" xr:uid="{00000000-0004-0000-0100-0000020A0000}"/>
    <hyperlink ref="T642" r:id="rId2564" xr:uid="{00000000-0004-0000-0100-0000030A0000}"/>
    <hyperlink ref="Q643" r:id="rId2565" xr:uid="{00000000-0004-0000-0100-0000040A0000}"/>
    <hyperlink ref="R643" r:id="rId2566" xr:uid="{00000000-0004-0000-0100-0000050A0000}"/>
    <hyperlink ref="S643" r:id="rId2567" xr:uid="{00000000-0004-0000-0100-0000060A0000}"/>
    <hyperlink ref="T643" r:id="rId2568" xr:uid="{00000000-0004-0000-0100-0000070A0000}"/>
    <hyperlink ref="Q644" r:id="rId2569" xr:uid="{00000000-0004-0000-0100-0000080A0000}"/>
    <hyperlink ref="R644" r:id="rId2570" xr:uid="{00000000-0004-0000-0100-0000090A0000}"/>
    <hyperlink ref="S644" r:id="rId2571" xr:uid="{00000000-0004-0000-0100-00000A0A0000}"/>
    <hyperlink ref="T644" r:id="rId2572" xr:uid="{00000000-0004-0000-0100-00000B0A0000}"/>
    <hyperlink ref="Q645" r:id="rId2573" xr:uid="{00000000-0004-0000-0100-00000C0A0000}"/>
    <hyperlink ref="R645" r:id="rId2574" xr:uid="{00000000-0004-0000-0100-00000D0A0000}"/>
    <hyperlink ref="S645" r:id="rId2575" xr:uid="{00000000-0004-0000-0100-00000E0A0000}"/>
    <hyperlink ref="T645" r:id="rId2576" xr:uid="{00000000-0004-0000-0100-00000F0A0000}"/>
    <hyperlink ref="Q646" r:id="rId2577" xr:uid="{00000000-0004-0000-0100-0000100A0000}"/>
    <hyperlink ref="R646" r:id="rId2578" xr:uid="{00000000-0004-0000-0100-0000110A0000}"/>
    <hyperlink ref="S646" r:id="rId2579" xr:uid="{00000000-0004-0000-0100-0000120A0000}"/>
    <hyperlink ref="T646" r:id="rId2580" xr:uid="{00000000-0004-0000-0100-0000130A0000}"/>
    <hyperlink ref="Q647" r:id="rId2581" xr:uid="{00000000-0004-0000-0100-0000140A0000}"/>
    <hyperlink ref="R647" r:id="rId2582" xr:uid="{00000000-0004-0000-0100-0000150A0000}"/>
    <hyperlink ref="S647" r:id="rId2583" xr:uid="{00000000-0004-0000-0100-0000160A0000}"/>
    <hyperlink ref="T647" r:id="rId2584" xr:uid="{00000000-0004-0000-0100-0000170A0000}"/>
    <hyperlink ref="Q648" r:id="rId2585" xr:uid="{00000000-0004-0000-0100-0000180A0000}"/>
    <hyperlink ref="R648" r:id="rId2586" xr:uid="{00000000-0004-0000-0100-0000190A0000}"/>
    <hyperlink ref="S648" r:id="rId2587" xr:uid="{00000000-0004-0000-0100-00001A0A0000}"/>
    <hyperlink ref="T648" r:id="rId2588" xr:uid="{00000000-0004-0000-0100-00001B0A0000}"/>
    <hyperlink ref="Q649" r:id="rId2589" xr:uid="{00000000-0004-0000-0100-00001C0A0000}"/>
    <hyperlink ref="R649" r:id="rId2590" xr:uid="{00000000-0004-0000-0100-00001D0A0000}"/>
    <hyperlink ref="S649" r:id="rId2591" xr:uid="{00000000-0004-0000-0100-00001E0A0000}"/>
    <hyperlink ref="T649" r:id="rId2592" xr:uid="{00000000-0004-0000-0100-00001F0A0000}"/>
    <hyperlink ref="Q650" r:id="rId2593" xr:uid="{00000000-0004-0000-0100-0000200A0000}"/>
    <hyperlink ref="R650" r:id="rId2594" xr:uid="{00000000-0004-0000-0100-0000210A0000}"/>
    <hyperlink ref="S650" r:id="rId2595" xr:uid="{00000000-0004-0000-0100-0000220A0000}"/>
    <hyperlink ref="T650" r:id="rId2596" xr:uid="{00000000-0004-0000-0100-0000230A0000}"/>
    <hyperlink ref="Q651" r:id="rId2597" xr:uid="{00000000-0004-0000-0100-0000240A0000}"/>
    <hyperlink ref="R651" r:id="rId2598" xr:uid="{00000000-0004-0000-0100-0000250A0000}"/>
    <hyperlink ref="S651" r:id="rId2599" xr:uid="{00000000-0004-0000-0100-0000260A0000}"/>
    <hyperlink ref="T651" r:id="rId2600" xr:uid="{00000000-0004-0000-0100-0000270A0000}"/>
    <hyperlink ref="Q652" r:id="rId2601" xr:uid="{00000000-0004-0000-0100-0000280A0000}"/>
    <hyperlink ref="R652" r:id="rId2602" xr:uid="{00000000-0004-0000-0100-0000290A0000}"/>
    <hyperlink ref="S652" r:id="rId2603" xr:uid="{00000000-0004-0000-0100-00002A0A0000}"/>
    <hyperlink ref="T652" r:id="rId2604" xr:uid="{00000000-0004-0000-0100-00002B0A0000}"/>
    <hyperlink ref="Q653" r:id="rId2605" xr:uid="{00000000-0004-0000-0100-00002C0A0000}"/>
    <hyperlink ref="R653" r:id="rId2606" xr:uid="{00000000-0004-0000-0100-00002D0A0000}"/>
    <hyperlink ref="S653" r:id="rId2607" xr:uid="{00000000-0004-0000-0100-00002E0A0000}"/>
    <hyperlink ref="T653" r:id="rId2608" xr:uid="{00000000-0004-0000-0100-00002F0A0000}"/>
    <hyperlink ref="Q654" r:id="rId2609" xr:uid="{00000000-0004-0000-0100-0000300A0000}"/>
    <hyperlink ref="R654" r:id="rId2610" xr:uid="{00000000-0004-0000-0100-0000310A0000}"/>
    <hyperlink ref="S654" r:id="rId2611" xr:uid="{00000000-0004-0000-0100-0000320A0000}"/>
    <hyperlink ref="T654" r:id="rId2612" xr:uid="{00000000-0004-0000-0100-0000330A0000}"/>
    <hyperlink ref="Q655" r:id="rId2613" xr:uid="{00000000-0004-0000-0100-0000340A0000}"/>
    <hyperlink ref="R655" r:id="rId2614" xr:uid="{00000000-0004-0000-0100-0000350A0000}"/>
    <hyperlink ref="S655" r:id="rId2615" xr:uid="{00000000-0004-0000-0100-0000360A0000}"/>
    <hyperlink ref="T655" r:id="rId2616" xr:uid="{00000000-0004-0000-0100-0000370A0000}"/>
    <hyperlink ref="Q656" r:id="rId2617" xr:uid="{00000000-0004-0000-0100-0000380A0000}"/>
    <hyperlink ref="R656" r:id="rId2618" xr:uid="{00000000-0004-0000-0100-0000390A0000}"/>
    <hyperlink ref="S656" r:id="rId2619" xr:uid="{00000000-0004-0000-0100-00003A0A0000}"/>
    <hyperlink ref="T656" r:id="rId2620" xr:uid="{00000000-0004-0000-0100-00003B0A0000}"/>
    <hyperlink ref="Q657" r:id="rId2621" xr:uid="{00000000-0004-0000-0100-00003C0A0000}"/>
    <hyperlink ref="R657" r:id="rId2622" xr:uid="{00000000-0004-0000-0100-00003D0A0000}"/>
    <hyperlink ref="S657" r:id="rId2623" xr:uid="{00000000-0004-0000-0100-00003E0A0000}"/>
    <hyperlink ref="T657" r:id="rId2624" xr:uid="{00000000-0004-0000-0100-00003F0A0000}"/>
    <hyperlink ref="Q658" r:id="rId2625" xr:uid="{00000000-0004-0000-0100-0000400A0000}"/>
    <hyperlink ref="R658" r:id="rId2626" xr:uid="{00000000-0004-0000-0100-0000410A0000}"/>
    <hyperlink ref="S658" r:id="rId2627" xr:uid="{00000000-0004-0000-0100-0000420A0000}"/>
    <hyperlink ref="T658" r:id="rId2628" xr:uid="{00000000-0004-0000-0100-0000430A0000}"/>
    <hyperlink ref="Q659" r:id="rId2629" xr:uid="{00000000-0004-0000-0100-0000440A0000}"/>
    <hyperlink ref="R659" r:id="rId2630" xr:uid="{00000000-0004-0000-0100-0000450A0000}"/>
    <hyperlink ref="S659" r:id="rId2631" xr:uid="{00000000-0004-0000-0100-0000460A0000}"/>
    <hyperlink ref="T659" r:id="rId2632" xr:uid="{00000000-0004-0000-0100-0000470A0000}"/>
    <hyperlink ref="Q660" r:id="rId2633" xr:uid="{00000000-0004-0000-0100-0000480A0000}"/>
    <hyperlink ref="R660" r:id="rId2634" xr:uid="{00000000-0004-0000-0100-0000490A0000}"/>
    <hyperlink ref="S660" r:id="rId2635" xr:uid="{00000000-0004-0000-0100-00004A0A0000}"/>
    <hyperlink ref="T660" r:id="rId2636" xr:uid="{00000000-0004-0000-0100-00004B0A0000}"/>
    <hyperlink ref="Q661" r:id="rId2637" xr:uid="{00000000-0004-0000-0100-00004C0A0000}"/>
    <hyperlink ref="R661" r:id="rId2638" xr:uid="{00000000-0004-0000-0100-00004D0A0000}"/>
    <hyperlink ref="S661" r:id="rId2639" xr:uid="{00000000-0004-0000-0100-00004E0A0000}"/>
    <hyperlink ref="T661" r:id="rId2640" xr:uid="{00000000-0004-0000-0100-00004F0A0000}"/>
    <hyperlink ref="Q662" r:id="rId2641" xr:uid="{00000000-0004-0000-0100-0000500A0000}"/>
    <hyperlink ref="R662" r:id="rId2642" xr:uid="{00000000-0004-0000-0100-0000510A0000}"/>
    <hyperlink ref="S662" r:id="rId2643" xr:uid="{00000000-0004-0000-0100-0000520A0000}"/>
    <hyperlink ref="T662" r:id="rId2644" xr:uid="{00000000-0004-0000-0100-0000530A0000}"/>
    <hyperlink ref="Q663" r:id="rId2645" xr:uid="{00000000-0004-0000-0100-0000540A0000}"/>
    <hyperlink ref="R663" r:id="rId2646" xr:uid="{00000000-0004-0000-0100-0000550A0000}"/>
    <hyperlink ref="S663" r:id="rId2647" xr:uid="{00000000-0004-0000-0100-0000560A0000}"/>
    <hyperlink ref="T663" r:id="rId2648" xr:uid="{00000000-0004-0000-0100-0000570A0000}"/>
    <hyperlink ref="Q664" r:id="rId2649" xr:uid="{00000000-0004-0000-0100-0000580A0000}"/>
    <hyperlink ref="R664" r:id="rId2650" xr:uid="{00000000-0004-0000-0100-0000590A0000}"/>
    <hyperlink ref="S664" r:id="rId2651" xr:uid="{00000000-0004-0000-0100-00005A0A0000}"/>
    <hyperlink ref="T664" r:id="rId2652" xr:uid="{00000000-0004-0000-0100-00005B0A0000}"/>
    <hyperlink ref="Q665" r:id="rId2653" xr:uid="{00000000-0004-0000-0100-00005C0A0000}"/>
    <hyperlink ref="R665" r:id="rId2654" xr:uid="{00000000-0004-0000-0100-00005D0A0000}"/>
    <hyperlink ref="S665" r:id="rId2655" xr:uid="{00000000-0004-0000-0100-00005E0A0000}"/>
    <hyperlink ref="T665" r:id="rId2656" xr:uid="{00000000-0004-0000-0100-00005F0A0000}"/>
    <hyperlink ref="Q666" r:id="rId2657" xr:uid="{00000000-0004-0000-0100-0000600A0000}"/>
    <hyperlink ref="R666" r:id="rId2658" xr:uid="{00000000-0004-0000-0100-0000610A0000}"/>
    <hyperlink ref="S666" r:id="rId2659" xr:uid="{00000000-0004-0000-0100-0000620A0000}"/>
    <hyperlink ref="T666" r:id="rId2660" xr:uid="{00000000-0004-0000-0100-0000630A0000}"/>
    <hyperlink ref="Q667" r:id="rId2661" xr:uid="{00000000-0004-0000-0100-0000640A0000}"/>
    <hyperlink ref="R667" r:id="rId2662" xr:uid="{00000000-0004-0000-0100-0000650A0000}"/>
    <hyperlink ref="S667" r:id="rId2663" xr:uid="{00000000-0004-0000-0100-0000660A0000}"/>
    <hyperlink ref="T667" r:id="rId2664" xr:uid="{00000000-0004-0000-0100-0000670A0000}"/>
    <hyperlink ref="Q668" r:id="rId2665" xr:uid="{00000000-0004-0000-0100-0000680A0000}"/>
    <hyperlink ref="R668" r:id="rId2666" xr:uid="{00000000-0004-0000-0100-0000690A0000}"/>
    <hyperlink ref="S668" r:id="rId2667" xr:uid="{00000000-0004-0000-0100-00006A0A0000}"/>
    <hyperlink ref="T668" r:id="rId2668" xr:uid="{00000000-0004-0000-0100-00006B0A0000}"/>
    <hyperlink ref="Q669" r:id="rId2669" xr:uid="{00000000-0004-0000-0100-00006C0A0000}"/>
    <hyperlink ref="R669" r:id="rId2670" xr:uid="{00000000-0004-0000-0100-00006D0A0000}"/>
    <hyperlink ref="S669" r:id="rId2671" xr:uid="{00000000-0004-0000-0100-00006E0A0000}"/>
    <hyperlink ref="T669" r:id="rId2672" xr:uid="{00000000-0004-0000-0100-00006F0A0000}"/>
    <hyperlink ref="Q670" r:id="rId2673" xr:uid="{00000000-0004-0000-0100-0000700A0000}"/>
    <hyperlink ref="R670" r:id="rId2674" xr:uid="{00000000-0004-0000-0100-0000710A0000}"/>
    <hyperlink ref="S670" r:id="rId2675" xr:uid="{00000000-0004-0000-0100-0000720A0000}"/>
    <hyperlink ref="T670" r:id="rId2676" xr:uid="{00000000-0004-0000-0100-0000730A0000}"/>
    <hyperlink ref="Q671" r:id="rId2677" xr:uid="{00000000-0004-0000-0100-0000740A0000}"/>
    <hyperlink ref="R671" r:id="rId2678" xr:uid="{00000000-0004-0000-0100-0000750A0000}"/>
    <hyperlink ref="S671" r:id="rId2679" xr:uid="{00000000-0004-0000-0100-0000760A0000}"/>
    <hyperlink ref="T671" r:id="rId2680" xr:uid="{00000000-0004-0000-0100-0000770A0000}"/>
    <hyperlink ref="Q672" r:id="rId2681" xr:uid="{00000000-0004-0000-0100-0000780A0000}"/>
    <hyperlink ref="R672" r:id="rId2682" xr:uid="{00000000-0004-0000-0100-0000790A0000}"/>
    <hyperlink ref="S672" r:id="rId2683" xr:uid="{00000000-0004-0000-0100-00007A0A0000}"/>
    <hyperlink ref="T672" r:id="rId2684" xr:uid="{00000000-0004-0000-0100-00007B0A0000}"/>
    <hyperlink ref="Q673" r:id="rId2685" xr:uid="{00000000-0004-0000-0100-00007C0A0000}"/>
    <hyperlink ref="R673" r:id="rId2686" xr:uid="{00000000-0004-0000-0100-00007D0A0000}"/>
    <hyperlink ref="S673" r:id="rId2687" xr:uid="{00000000-0004-0000-0100-00007E0A0000}"/>
    <hyperlink ref="T673" r:id="rId2688" xr:uid="{00000000-0004-0000-0100-00007F0A0000}"/>
    <hyperlink ref="Q674" r:id="rId2689" xr:uid="{00000000-0004-0000-0100-0000800A0000}"/>
    <hyperlink ref="R674" r:id="rId2690" xr:uid="{00000000-0004-0000-0100-0000810A0000}"/>
    <hyperlink ref="S674" r:id="rId2691" xr:uid="{00000000-0004-0000-0100-0000820A0000}"/>
    <hyperlink ref="T674" r:id="rId2692" xr:uid="{00000000-0004-0000-0100-0000830A0000}"/>
    <hyperlink ref="Q675" r:id="rId2693" xr:uid="{00000000-0004-0000-0100-0000840A0000}"/>
    <hyperlink ref="R675" r:id="rId2694" xr:uid="{00000000-0004-0000-0100-0000850A0000}"/>
    <hyperlink ref="S675" r:id="rId2695" xr:uid="{00000000-0004-0000-0100-0000860A0000}"/>
    <hyperlink ref="T675" r:id="rId2696" xr:uid="{00000000-0004-0000-0100-0000870A0000}"/>
    <hyperlink ref="Q676" r:id="rId2697" xr:uid="{00000000-0004-0000-0100-0000880A0000}"/>
    <hyperlink ref="R676" r:id="rId2698" xr:uid="{00000000-0004-0000-0100-0000890A0000}"/>
    <hyperlink ref="S676" r:id="rId2699" xr:uid="{00000000-0004-0000-0100-00008A0A0000}"/>
    <hyperlink ref="T676" r:id="rId2700" xr:uid="{00000000-0004-0000-0100-00008B0A0000}"/>
    <hyperlink ref="Q677" r:id="rId2701" xr:uid="{00000000-0004-0000-0100-00008C0A0000}"/>
    <hyperlink ref="R677" r:id="rId2702" xr:uid="{00000000-0004-0000-0100-00008D0A0000}"/>
    <hyperlink ref="S677" r:id="rId2703" xr:uid="{00000000-0004-0000-0100-00008E0A0000}"/>
    <hyperlink ref="T677" r:id="rId2704" xr:uid="{00000000-0004-0000-0100-00008F0A0000}"/>
    <hyperlink ref="Q678" r:id="rId2705" xr:uid="{00000000-0004-0000-0100-0000900A0000}"/>
    <hyperlink ref="R678" r:id="rId2706" xr:uid="{00000000-0004-0000-0100-0000910A0000}"/>
    <hyperlink ref="S678" r:id="rId2707" xr:uid="{00000000-0004-0000-0100-0000920A0000}"/>
    <hyperlink ref="T678" r:id="rId2708" xr:uid="{00000000-0004-0000-0100-0000930A0000}"/>
    <hyperlink ref="Q679" r:id="rId2709" xr:uid="{00000000-0004-0000-0100-0000940A0000}"/>
    <hyperlink ref="R679" r:id="rId2710" xr:uid="{00000000-0004-0000-0100-0000950A0000}"/>
    <hyperlink ref="S679" r:id="rId2711" xr:uid="{00000000-0004-0000-0100-0000960A0000}"/>
    <hyperlink ref="T679" r:id="rId2712" xr:uid="{00000000-0004-0000-0100-0000970A0000}"/>
    <hyperlink ref="Q680" r:id="rId2713" xr:uid="{00000000-0004-0000-0100-0000980A0000}"/>
    <hyperlink ref="R680" r:id="rId2714" xr:uid="{00000000-0004-0000-0100-0000990A0000}"/>
    <hyperlink ref="S680" r:id="rId2715" xr:uid="{00000000-0004-0000-0100-00009A0A0000}"/>
    <hyperlink ref="T680" r:id="rId2716" xr:uid="{00000000-0004-0000-0100-00009B0A0000}"/>
    <hyperlink ref="Q681" r:id="rId2717" xr:uid="{00000000-0004-0000-0100-00009C0A0000}"/>
    <hyperlink ref="R681" r:id="rId2718" xr:uid="{00000000-0004-0000-0100-00009D0A0000}"/>
    <hyperlink ref="S681" r:id="rId2719" xr:uid="{00000000-0004-0000-0100-00009E0A0000}"/>
    <hyperlink ref="T681" r:id="rId2720" xr:uid="{00000000-0004-0000-0100-00009F0A0000}"/>
    <hyperlink ref="Q682" r:id="rId2721" xr:uid="{00000000-0004-0000-0100-0000A00A0000}"/>
    <hyperlink ref="R682" r:id="rId2722" xr:uid="{00000000-0004-0000-0100-0000A10A0000}"/>
    <hyperlink ref="S682" r:id="rId2723" xr:uid="{00000000-0004-0000-0100-0000A20A0000}"/>
    <hyperlink ref="T682" r:id="rId2724" xr:uid="{00000000-0004-0000-0100-0000A30A0000}"/>
    <hyperlink ref="Q683" r:id="rId2725" xr:uid="{00000000-0004-0000-0100-0000A40A0000}"/>
    <hyperlink ref="R683" r:id="rId2726" xr:uid="{00000000-0004-0000-0100-0000A50A0000}"/>
    <hyperlink ref="S683" r:id="rId2727" xr:uid="{00000000-0004-0000-0100-0000A60A0000}"/>
    <hyperlink ref="T683" r:id="rId2728" xr:uid="{00000000-0004-0000-0100-0000A70A0000}"/>
    <hyperlink ref="Q684" r:id="rId2729" xr:uid="{00000000-0004-0000-0100-0000A80A0000}"/>
    <hyperlink ref="R684" r:id="rId2730" xr:uid="{00000000-0004-0000-0100-0000A90A0000}"/>
    <hyperlink ref="S684" r:id="rId2731" xr:uid="{00000000-0004-0000-0100-0000AA0A0000}"/>
    <hyperlink ref="T684" r:id="rId2732" xr:uid="{00000000-0004-0000-0100-0000AB0A0000}"/>
    <hyperlink ref="Q685" r:id="rId2733" xr:uid="{00000000-0004-0000-0100-0000AC0A0000}"/>
    <hyperlink ref="R685" r:id="rId2734" xr:uid="{00000000-0004-0000-0100-0000AD0A0000}"/>
    <hyperlink ref="S685" r:id="rId2735" xr:uid="{00000000-0004-0000-0100-0000AE0A0000}"/>
    <hyperlink ref="T685" r:id="rId2736" xr:uid="{00000000-0004-0000-0100-0000AF0A0000}"/>
    <hyperlink ref="Q686" r:id="rId2737" xr:uid="{00000000-0004-0000-0100-0000B00A0000}"/>
    <hyperlink ref="R686" r:id="rId2738" xr:uid="{00000000-0004-0000-0100-0000B10A0000}"/>
    <hyperlink ref="S686" r:id="rId2739" xr:uid="{00000000-0004-0000-0100-0000B20A0000}"/>
    <hyperlink ref="T686" r:id="rId2740" xr:uid="{00000000-0004-0000-0100-0000B30A0000}"/>
    <hyperlink ref="Q687" r:id="rId2741" xr:uid="{00000000-0004-0000-0100-0000B40A0000}"/>
    <hyperlink ref="R687" r:id="rId2742" xr:uid="{00000000-0004-0000-0100-0000B50A0000}"/>
    <hyperlink ref="S687" r:id="rId2743" xr:uid="{00000000-0004-0000-0100-0000B60A0000}"/>
    <hyperlink ref="T687" r:id="rId2744" xr:uid="{00000000-0004-0000-0100-0000B70A0000}"/>
    <hyperlink ref="Q688" r:id="rId2745" xr:uid="{00000000-0004-0000-0100-0000B80A0000}"/>
    <hyperlink ref="R688" r:id="rId2746" xr:uid="{00000000-0004-0000-0100-0000B90A0000}"/>
    <hyperlink ref="S688" r:id="rId2747" xr:uid="{00000000-0004-0000-0100-0000BA0A0000}"/>
    <hyperlink ref="T688" r:id="rId2748" xr:uid="{00000000-0004-0000-0100-0000BB0A0000}"/>
    <hyperlink ref="Q689" r:id="rId2749" xr:uid="{00000000-0004-0000-0100-0000BC0A0000}"/>
    <hyperlink ref="R689" r:id="rId2750" xr:uid="{00000000-0004-0000-0100-0000BD0A0000}"/>
    <hyperlink ref="S689" r:id="rId2751" xr:uid="{00000000-0004-0000-0100-0000BE0A0000}"/>
    <hyperlink ref="T689" r:id="rId2752" xr:uid="{00000000-0004-0000-0100-0000BF0A0000}"/>
    <hyperlink ref="Q690" r:id="rId2753" xr:uid="{00000000-0004-0000-0100-0000C00A0000}"/>
    <hyperlink ref="R690" r:id="rId2754" xr:uid="{00000000-0004-0000-0100-0000C10A0000}"/>
    <hyperlink ref="S690" r:id="rId2755" xr:uid="{00000000-0004-0000-0100-0000C20A0000}"/>
    <hyperlink ref="T690" r:id="rId2756" xr:uid="{00000000-0004-0000-0100-0000C30A0000}"/>
    <hyperlink ref="Q691" r:id="rId2757" xr:uid="{00000000-0004-0000-0100-0000C40A0000}"/>
    <hyperlink ref="R691" r:id="rId2758" xr:uid="{00000000-0004-0000-0100-0000C50A0000}"/>
    <hyperlink ref="S691" r:id="rId2759" xr:uid="{00000000-0004-0000-0100-0000C60A0000}"/>
    <hyperlink ref="T691" r:id="rId2760" xr:uid="{00000000-0004-0000-0100-0000C70A0000}"/>
    <hyperlink ref="Q692" r:id="rId2761" xr:uid="{00000000-0004-0000-0100-0000C80A0000}"/>
    <hyperlink ref="R692" r:id="rId2762" xr:uid="{00000000-0004-0000-0100-0000C90A0000}"/>
    <hyperlink ref="S692" r:id="rId2763" xr:uid="{00000000-0004-0000-0100-0000CA0A0000}"/>
    <hyperlink ref="T692" r:id="rId2764" xr:uid="{00000000-0004-0000-0100-0000CB0A0000}"/>
    <hyperlink ref="Q693" r:id="rId2765" xr:uid="{00000000-0004-0000-0100-0000CC0A0000}"/>
    <hyperlink ref="R693" r:id="rId2766" xr:uid="{00000000-0004-0000-0100-0000CD0A0000}"/>
    <hyperlink ref="S693" r:id="rId2767" xr:uid="{00000000-0004-0000-0100-0000CE0A0000}"/>
    <hyperlink ref="T693" r:id="rId2768" xr:uid="{00000000-0004-0000-0100-0000CF0A0000}"/>
    <hyperlink ref="Q694" r:id="rId2769" xr:uid="{00000000-0004-0000-0100-0000D00A0000}"/>
    <hyperlink ref="R694" r:id="rId2770" xr:uid="{00000000-0004-0000-0100-0000D10A0000}"/>
    <hyperlink ref="S694" r:id="rId2771" xr:uid="{00000000-0004-0000-0100-0000D20A0000}"/>
    <hyperlink ref="T694" r:id="rId2772" xr:uid="{00000000-0004-0000-0100-0000D30A0000}"/>
    <hyperlink ref="Q695" r:id="rId2773" xr:uid="{00000000-0004-0000-0100-0000D40A0000}"/>
    <hyperlink ref="R695" r:id="rId2774" xr:uid="{00000000-0004-0000-0100-0000D50A0000}"/>
    <hyperlink ref="S695" r:id="rId2775" xr:uid="{00000000-0004-0000-0100-0000D60A0000}"/>
    <hyperlink ref="T695" r:id="rId2776" xr:uid="{00000000-0004-0000-0100-0000D70A0000}"/>
    <hyperlink ref="Q696" r:id="rId2777" xr:uid="{00000000-0004-0000-0100-0000D80A0000}"/>
    <hyperlink ref="R696" r:id="rId2778" xr:uid="{00000000-0004-0000-0100-0000D90A0000}"/>
    <hyperlink ref="S696" r:id="rId2779" xr:uid="{00000000-0004-0000-0100-0000DA0A0000}"/>
    <hyperlink ref="T696" r:id="rId2780" xr:uid="{00000000-0004-0000-0100-0000DB0A0000}"/>
    <hyperlink ref="Q697" r:id="rId2781" xr:uid="{00000000-0004-0000-0100-0000DC0A0000}"/>
    <hyperlink ref="R697" r:id="rId2782" xr:uid="{00000000-0004-0000-0100-0000DD0A0000}"/>
    <hyperlink ref="S697" r:id="rId2783" xr:uid="{00000000-0004-0000-0100-0000DE0A0000}"/>
    <hyperlink ref="T697" r:id="rId2784" xr:uid="{00000000-0004-0000-0100-0000DF0A0000}"/>
    <hyperlink ref="Q698" r:id="rId2785" xr:uid="{00000000-0004-0000-0100-0000E00A0000}"/>
    <hyperlink ref="R698" r:id="rId2786" xr:uid="{00000000-0004-0000-0100-0000E10A0000}"/>
    <hyperlink ref="S698" r:id="rId2787" xr:uid="{00000000-0004-0000-0100-0000E20A0000}"/>
    <hyperlink ref="T698" r:id="rId2788" xr:uid="{00000000-0004-0000-0100-0000E30A0000}"/>
    <hyperlink ref="Q699" r:id="rId2789" xr:uid="{00000000-0004-0000-0100-0000E40A0000}"/>
    <hyperlink ref="R699" r:id="rId2790" xr:uid="{00000000-0004-0000-0100-0000E50A0000}"/>
    <hyperlink ref="S699" r:id="rId2791" xr:uid="{00000000-0004-0000-0100-0000E60A0000}"/>
    <hyperlink ref="T699" r:id="rId2792" xr:uid="{00000000-0004-0000-0100-0000E70A0000}"/>
    <hyperlink ref="Q700" r:id="rId2793" xr:uid="{00000000-0004-0000-0100-0000E80A0000}"/>
    <hyperlink ref="R700" r:id="rId2794" xr:uid="{00000000-0004-0000-0100-0000E90A0000}"/>
    <hyperlink ref="S700" r:id="rId2795" xr:uid="{00000000-0004-0000-0100-0000EA0A0000}"/>
    <hyperlink ref="T700" r:id="rId2796" xr:uid="{00000000-0004-0000-0100-0000EB0A0000}"/>
    <hyperlink ref="Q701" r:id="rId2797" xr:uid="{00000000-0004-0000-0100-0000EC0A0000}"/>
    <hyperlink ref="R701" r:id="rId2798" xr:uid="{00000000-0004-0000-0100-0000ED0A0000}"/>
    <hyperlink ref="S701" r:id="rId2799" xr:uid="{00000000-0004-0000-0100-0000EE0A0000}"/>
    <hyperlink ref="T701" r:id="rId2800" xr:uid="{00000000-0004-0000-0100-0000EF0A0000}"/>
    <hyperlink ref="Q702" r:id="rId2801" xr:uid="{00000000-0004-0000-0100-0000F00A0000}"/>
    <hyperlink ref="R702" r:id="rId2802" xr:uid="{00000000-0004-0000-0100-0000F10A0000}"/>
    <hyperlink ref="S702" r:id="rId2803" xr:uid="{00000000-0004-0000-0100-0000F20A0000}"/>
    <hyperlink ref="T702" r:id="rId2804" xr:uid="{00000000-0004-0000-0100-0000F30A0000}"/>
    <hyperlink ref="Q703" r:id="rId2805" xr:uid="{00000000-0004-0000-0100-0000F40A0000}"/>
    <hyperlink ref="R703" r:id="rId2806" xr:uid="{00000000-0004-0000-0100-0000F50A0000}"/>
    <hyperlink ref="S703" r:id="rId2807" xr:uid="{00000000-0004-0000-0100-0000F60A0000}"/>
    <hyperlink ref="T703" r:id="rId2808" xr:uid="{00000000-0004-0000-0100-0000F70A0000}"/>
    <hyperlink ref="Q704" r:id="rId2809" xr:uid="{00000000-0004-0000-0100-0000F80A0000}"/>
    <hyperlink ref="R704" r:id="rId2810" xr:uid="{00000000-0004-0000-0100-0000F90A0000}"/>
    <hyperlink ref="S704" r:id="rId2811" xr:uid="{00000000-0004-0000-0100-0000FA0A0000}"/>
    <hyperlink ref="T704" r:id="rId2812" xr:uid="{00000000-0004-0000-0100-0000FB0A0000}"/>
    <hyperlink ref="Q705" r:id="rId2813" xr:uid="{00000000-0004-0000-0100-0000FC0A0000}"/>
    <hyperlink ref="R705" r:id="rId2814" xr:uid="{00000000-0004-0000-0100-0000FD0A0000}"/>
    <hyperlink ref="S705" r:id="rId2815" xr:uid="{00000000-0004-0000-0100-0000FE0A0000}"/>
    <hyperlink ref="T705" r:id="rId2816" xr:uid="{00000000-0004-0000-0100-0000FF0A0000}"/>
    <hyperlink ref="Q706" r:id="rId2817" xr:uid="{00000000-0004-0000-0100-0000000B0000}"/>
    <hyperlink ref="R706" r:id="rId2818" xr:uid="{00000000-0004-0000-0100-0000010B0000}"/>
    <hyperlink ref="S706" r:id="rId2819" xr:uid="{00000000-0004-0000-0100-0000020B0000}"/>
    <hyperlink ref="T706" r:id="rId2820" xr:uid="{00000000-0004-0000-0100-0000030B0000}"/>
    <hyperlink ref="Q707" r:id="rId2821" xr:uid="{00000000-0004-0000-0100-0000040B0000}"/>
    <hyperlink ref="R707" r:id="rId2822" xr:uid="{00000000-0004-0000-0100-0000050B0000}"/>
    <hyperlink ref="S707" r:id="rId2823" xr:uid="{00000000-0004-0000-0100-0000060B0000}"/>
    <hyperlink ref="T707" r:id="rId2824" xr:uid="{00000000-0004-0000-0100-0000070B0000}"/>
    <hyperlink ref="Q708" r:id="rId2825" xr:uid="{00000000-0004-0000-0100-0000080B0000}"/>
    <hyperlink ref="R708" r:id="rId2826" xr:uid="{00000000-0004-0000-0100-0000090B0000}"/>
    <hyperlink ref="S708" r:id="rId2827" xr:uid="{00000000-0004-0000-0100-00000A0B0000}"/>
    <hyperlink ref="T708" r:id="rId2828" xr:uid="{00000000-0004-0000-0100-00000B0B0000}"/>
    <hyperlink ref="Q709" r:id="rId2829" xr:uid="{00000000-0004-0000-0100-00000C0B0000}"/>
    <hyperlink ref="R709" r:id="rId2830" xr:uid="{00000000-0004-0000-0100-00000D0B0000}"/>
    <hyperlink ref="S709" r:id="rId2831" xr:uid="{00000000-0004-0000-0100-00000E0B0000}"/>
    <hyperlink ref="T709" r:id="rId2832" xr:uid="{00000000-0004-0000-0100-00000F0B0000}"/>
    <hyperlink ref="Q710" r:id="rId2833" xr:uid="{00000000-0004-0000-0100-0000100B0000}"/>
    <hyperlink ref="R710" r:id="rId2834" xr:uid="{00000000-0004-0000-0100-0000110B0000}"/>
    <hyperlink ref="S710" r:id="rId2835" xr:uid="{00000000-0004-0000-0100-0000120B0000}"/>
    <hyperlink ref="T710" r:id="rId2836" xr:uid="{00000000-0004-0000-0100-0000130B0000}"/>
    <hyperlink ref="Q711" r:id="rId2837" xr:uid="{00000000-0004-0000-0100-0000140B0000}"/>
    <hyperlink ref="R711" r:id="rId2838" xr:uid="{00000000-0004-0000-0100-0000150B0000}"/>
    <hyperlink ref="S711" r:id="rId2839" xr:uid="{00000000-0004-0000-0100-0000160B0000}"/>
    <hyperlink ref="T711" r:id="rId2840" xr:uid="{00000000-0004-0000-0100-0000170B0000}"/>
    <hyperlink ref="Q712" r:id="rId2841" xr:uid="{00000000-0004-0000-0100-0000180B0000}"/>
    <hyperlink ref="R712" r:id="rId2842" xr:uid="{00000000-0004-0000-0100-0000190B0000}"/>
    <hyperlink ref="S712" r:id="rId2843" xr:uid="{00000000-0004-0000-0100-00001A0B0000}"/>
    <hyperlink ref="T712" r:id="rId2844" xr:uid="{00000000-0004-0000-0100-00001B0B0000}"/>
    <hyperlink ref="Q713" r:id="rId2845" xr:uid="{00000000-0004-0000-0100-00001C0B0000}"/>
    <hyperlink ref="R713" r:id="rId2846" xr:uid="{00000000-0004-0000-0100-00001D0B0000}"/>
    <hyperlink ref="S713" r:id="rId2847" xr:uid="{00000000-0004-0000-0100-00001E0B0000}"/>
    <hyperlink ref="T713" r:id="rId2848" xr:uid="{00000000-0004-0000-0100-00001F0B0000}"/>
    <hyperlink ref="Q714" r:id="rId2849" xr:uid="{00000000-0004-0000-0100-0000200B0000}"/>
    <hyperlink ref="R714" r:id="rId2850" xr:uid="{00000000-0004-0000-0100-0000210B0000}"/>
    <hyperlink ref="S714" r:id="rId2851" xr:uid="{00000000-0004-0000-0100-0000220B0000}"/>
    <hyperlink ref="T714" r:id="rId2852" xr:uid="{00000000-0004-0000-0100-0000230B0000}"/>
    <hyperlink ref="Q715" r:id="rId2853" xr:uid="{00000000-0004-0000-0100-0000240B0000}"/>
    <hyperlink ref="R715" r:id="rId2854" xr:uid="{00000000-0004-0000-0100-0000250B0000}"/>
    <hyperlink ref="S715" r:id="rId2855" xr:uid="{00000000-0004-0000-0100-0000260B0000}"/>
    <hyperlink ref="T715" r:id="rId2856" xr:uid="{00000000-0004-0000-0100-0000270B0000}"/>
    <hyperlink ref="Q716" r:id="rId2857" xr:uid="{00000000-0004-0000-0100-0000280B0000}"/>
    <hyperlink ref="R716" r:id="rId2858" xr:uid="{00000000-0004-0000-0100-0000290B0000}"/>
    <hyperlink ref="S716" r:id="rId2859" xr:uid="{00000000-0004-0000-0100-00002A0B0000}"/>
    <hyperlink ref="T716" r:id="rId2860" xr:uid="{00000000-0004-0000-0100-00002B0B0000}"/>
    <hyperlink ref="Q717" r:id="rId2861" xr:uid="{00000000-0004-0000-0100-00002C0B0000}"/>
    <hyperlink ref="R717" r:id="rId2862" xr:uid="{00000000-0004-0000-0100-00002D0B0000}"/>
    <hyperlink ref="S717" r:id="rId2863" xr:uid="{00000000-0004-0000-0100-00002E0B0000}"/>
    <hyperlink ref="T717" r:id="rId2864" xr:uid="{00000000-0004-0000-0100-00002F0B0000}"/>
    <hyperlink ref="Q718" r:id="rId2865" xr:uid="{00000000-0004-0000-0100-0000300B0000}"/>
    <hyperlink ref="R718" r:id="rId2866" xr:uid="{00000000-0004-0000-0100-0000310B0000}"/>
    <hyperlink ref="S718" r:id="rId2867" xr:uid="{00000000-0004-0000-0100-0000320B0000}"/>
    <hyperlink ref="T718" r:id="rId2868" xr:uid="{00000000-0004-0000-0100-0000330B0000}"/>
    <hyperlink ref="Q719" r:id="rId2869" xr:uid="{00000000-0004-0000-0100-0000340B0000}"/>
    <hyperlink ref="R719" r:id="rId2870" xr:uid="{00000000-0004-0000-0100-0000350B0000}"/>
    <hyperlink ref="S719" r:id="rId2871" xr:uid="{00000000-0004-0000-0100-0000360B0000}"/>
    <hyperlink ref="T719" r:id="rId2872" xr:uid="{00000000-0004-0000-0100-0000370B0000}"/>
    <hyperlink ref="Q720" r:id="rId2873" xr:uid="{00000000-0004-0000-0100-0000380B0000}"/>
    <hyperlink ref="R720" r:id="rId2874" xr:uid="{00000000-0004-0000-0100-0000390B0000}"/>
    <hyperlink ref="S720" r:id="rId2875" xr:uid="{00000000-0004-0000-0100-00003A0B0000}"/>
    <hyperlink ref="T720" r:id="rId2876" xr:uid="{00000000-0004-0000-0100-00003B0B0000}"/>
    <hyperlink ref="Q721" r:id="rId2877" xr:uid="{00000000-0004-0000-0100-00003C0B0000}"/>
    <hyperlink ref="R721" r:id="rId2878" xr:uid="{00000000-0004-0000-0100-00003D0B0000}"/>
    <hyperlink ref="S721" r:id="rId2879" xr:uid="{00000000-0004-0000-0100-00003E0B0000}"/>
    <hyperlink ref="T721" r:id="rId2880" xr:uid="{00000000-0004-0000-0100-00003F0B0000}"/>
    <hyperlink ref="Q722" r:id="rId2881" xr:uid="{00000000-0004-0000-0100-0000400B0000}"/>
    <hyperlink ref="R722" r:id="rId2882" xr:uid="{00000000-0004-0000-0100-0000410B0000}"/>
    <hyperlink ref="S722" r:id="rId2883" xr:uid="{00000000-0004-0000-0100-0000420B0000}"/>
    <hyperlink ref="T722" r:id="rId2884" xr:uid="{00000000-0004-0000-0100-0000430B0000}"/>
    <hyperlink ref="Q723" r:id="rId2885" xr:uid="{00000000-0004-0000-0100-0000440B0000}"/>
    <hyperlink ref="R723" r:id="rId2886" xr:uid="{00000000-0004-0000-0100-0000450B0000}"/>
    <hyperlink ref="S723" r:id="rId2887" xr:uid="{00000000-0004-0000-0100-0000460B0000}"/>
    <hyperlink ref="T723" r:id="rId2888" xr:uid="{00000000-0004-0000-0100-0000470B0000}"/>
    <hyperlink ref="Q724" r:id="rId2889" xr:uid="{00000000-0004-0000-0100-0000480B0000}"/>
    <hyperlink ref="R724" r:id="rId2890" xr:uid="{00000000-0004-0000-0100-0000490B0000}"/>
    <hyperlink ref="S724" r:id="rId2891" xr:uid="{00000000-0004-0000-0100-00004A0B0000}"/>
    <hyperlink ref="T724" r:id="rId2892" xr:uid="{00000000-0004-0000-0100-00004B0B0000}"/>
    <hyperlink ref="Q725" r:id="rId2893" xr:uid="{00000000-0004-0000-0100-00004C0B0000}"/>
    <hyperlink ref="R725" r:id="rId2894" xr:uid="{00000000-0004-0000-0100-00004D0B0000}"/>
    <hyperlink ref="S725" r:id="rId2895" xr:uid="{00000000-0004-0000-0100-00004E0B0000}"/>
    <hyperlink ref="T725" r:id="rId2896" xr:uid="{00000000-0004-0000-0100-00004F0B0000}"/>
    <hyperlink ref="Q726" r:id="rId2897" xr:uid="{00000000-0004-0000-0100-0000500B0000}"/>
    <hyperlink ref="R726" r:id="rId2898" xr:uid="{00000000-0004-0000-0100-0000510B0000}"/>
    <hyperlink ref="S726" r:id="rId2899" xr:uid="{00000000-0004-0000-0100-0000520B0000}"/>
    <hyperlink ref="T726" r:id="rId2900" xr:uid="{00000000-0004-0000-0100-0000530B0000}"/>
    <hyperlink ref="Q727" r:id="rId2901" xr:uid="{00000000-0004-0000-0100-0000540B0000}"/>
    <hyperlink ref="R727" r:id="rId2902" xr:uid="{00000000-0004-0000-0100-0000550B0000}"/>
    <hyperlink ref="S727" r:id="rId2903" xr:uid="{00000000-0004-0000-0100-0000560B0000}"/>
    <hyperlink ref="T727" r:id="rId2904" xr:uid="{00000000-0004-0000-0100-0000570B0000}"/>
    <hyperlink ref="Q728" r:id="rId2905" xr:uid="{00000000-0004-0000-0100-0000580B0000}"/>
    <hyperlink ref="R728" r:id="rId2906" xr:uid="{00000000-0004-0000-0100-0000590B0000}"/>
    <hyperlink ref="S728" r:id="rId2907" xr:uid="{00000000-0004-0000-0100-00005A0B0000}"/>
    <hyperlink ref="T728" r:id="rId2908" xr:uid="{00000000-0004-0000-0100-00005B0B0000}"/>
    <hyperlink ref="Q729" r:id="rId2909" xr:uid="{00000000-0004-0000-0100-00005C0B0000}"/>
    <hyperlink ref="R729" r:id="rId2910" xr:uid="{00000000-0004-0000-0100-00005D0B0000}"/>
    <hyperlink ref="S729" r:id="rId2911" xr:uid="{00000000-0004-0000-0100-00005E0B0000}"/>
    <hyperlink ref="T729" r:id="rId2912" xr:uid="{00000000-0004-0000-0100-00005F0B0000}"/>
    <hyperlink ref="Q730" r:id="rId2913" xr:uid="{00000000-0004-0000-0100-0000600B0000}"/>
    <hyperlink ref="R730" r:id="rId2914" xr:uid="{00000000-0004-0000-0100-0000610B0000}"/>
    <hyperlink ref="S730" r:id="rId2915" xr:uid="{00000000-0004-0000-0100-0000620B0000}"/>
    <hyperlink ref="T730" r:id="rId2916" xr:uid="{00000000-0004-0000-0100-0000630B0000}"/>
    <hyperlink ref="Q731" r:id="rId2917" xr:uid="{00000000-0004-0000-0100-0000640B0000}"/>
    <hyperlink ref="R731" r:id="rId2918" xr:uid="{00000000-0004-0000-0100-0000650B0000}"/>
    <hyperlink ref="S731" r:id="rId2919" xr:uid="{00000000-0004-0000-0100-0000660B0000}"/>
    <hyperlink ref="T731" r:id="rId2920" xr:uid="{00000000-0004-0000-0100-0000670B0000}"/>
    <hyperlink ref="Q732" r:id="rId2921" xr:uid="{00000000-0004-0000-0100-0000680B0000}"/>
    <hyperlink ref="R732" r:id="rId2922" xr:uid="{00000000-0004-0000-0100-0000690B0000}"/>
    <hyperlink ref="S732" r:id="rId2923" xr:uid="{00000000-0004-0000-0100-00006A0B0000}"/>
    <hyperlink ref="T732" r:id="rId2924" xr:uid="{00000000-0004-0000-0100-00006B0B0000}"/>
    <hyperlink ref="Q733" r:id="rId2925" xr:uid="{00000000-0004-0000-0100-00006C0B0000}"/>
    <hyperlink ref="R733" r:id="rId2926" xr:uid="{00000000-0004-0000-0100-00006D0B0000}"/>
    <hyperlink ref="S733" r:id="rId2927" xr:uid="{00000000-0004-0000-0100-00006E0B0000}"/>
    <hyperlink ref="T733" r:id="rId2928" xr:uid="{00000000-0004-0000-0100-00006F0B0000}"/>
    <hyperlink ref="Q734" r:id="rId2929" xr:uid="{00000000-0004-0000-0100-0000700B0000}"/>
    <hyperlink ref="R734" r:id="rId2930" xr:uid="{00000000-0004-0000-0100-0000710B0000}"/>
    <hyperlink ref="S734" r:id="rId2931" xr:uid="{00000000-0004-0000-0100-0000720B0000}"/>
    <hyperlink ref="T734" r:id="rId2932" xr:uid="{00000000-0004-0000-0100-0000730B0000}"/>
    <hyperlink ref="Q735" r:id="rId2933" xr:uid="{00000000-0004-0000-0100-0000740B0000}"/>
    <hyperlink ref="R735" r:id="rId2934" xr:uid="{00000000-0004-0000-0100-0000750B0000}"/>
    <hyperlink ref="S735" r:id="rId2935" xr:uid="{00000000-0004-0000-0100-0000760B0000}"/>
    <hyperlink ref="T735" r:id="rId2936" xr:uid="{00000000-0004-0000-0100-0000770B0000}"/>
    <hyperlink ref="Q736" r:id="rId2937" xr:uid="{00000000-0004-0000-0100-0000780B0000}"/>
    <hyperlink ref="R736" r:id="rId2938" xr:uid="{00000000-0004-0000-0100-0000790B0000}"/>
    <hyperlink ref="S736" r:id="rId2939" xr:uid="{00000000-0004-0000-0100-00007A0B0000}"/>
    <hyperlink ref="T736" r:id="rId2940" xr:uid="{00000000-0004-0000-0100-00007B0B0000}"/>
    <hyperlink ref="Q737" r:id="rId2941" xr:uid="{00000000-0004-0000-0100-00007C0B0000}"/>
    <hyperlink ref="R737" r:id="rId2942" xr:uid="{00000000-0004-0000-0100-00007D0B0000}"/>
    <hyperlink ref="S737" r:id="rId2943" xr:uid="{00000000-0004-0000-0100-00007E0B0000}"/>
    <hyperlink ref="T737" r:id="rId2944" xr:uid="{00000000-0004-0000-0100-00007F0B0000}"/>
    <hyperlink ref="Q738" r:id="rId2945" xr:uid="{00000000-0004-0000-0100-0000800B0000}"/>
    <hyperlink ref="R738" r:id="rId2946" xr:uid="{00000000-0004-0000-0100-0000810B0000}"/>
    <hyperlink ref="S738" r:id="rId2947" xr:uid="{00000000-0004-0000-0100-0000820B0000}"/>
    <hyperlink ref="T738" r:id="rId2948" xr:uid="{00000000-0004-0000-0100-0000830B0000}"/>
    <hyperlink ref="Q739" r:id="rId2949" xr:uid="{00000000-0004-0000-0100-0000840B0000}"/>
    <hyperlink ref="R739" r:id="rId2950" xr:uid="{00000000-0004-0000-0100-0000850B0000}"/>
    <hyperlink ref="S739" r:id="rId2951" xr:uid="{00000000-0004-0000-0100-0000860B0000}"/>
    <hyperlink ref="T739" r:id="rId2952" xr:uid="{00000000-0004-0000-0100-0000870B0000}"/>
    <hyperlink ref="Q740" r:id="rId2953" xr:uid="{00000000-0004-0000-0100-0000880B0000}"/>
    <hyperlink ref="R740" r:id="rId2954" xr:uid="{00000000-0004-0000-0100-0000890B0000}"/>
    <hyperlink ref="S740" r:id="rId2955" xr:uid="{00000000-0004-0000-0100-00008A0B0000}"/>
    <hyperlink ref="T740" r:id="rId2956" xr:uid="{00000000-0004-0000-0100-00008B0B0000}"/>
    <hyperlink ref="Q741" r:id="rId2957" xr:uid="{00000000-0004-0000-0100-00008C0B0000}"/>
    <hyperlink ref="R741" r:id="rId2958" xr:uid="{00000000-0004-0000-0100-00008D0B0000}"/>
    <hyperlink ref="S741" r:id="rId2959" xr:uid="{00000000-0004-0000-0100-00008E0B0000}"/>
    <hyperlink ref="T741" r:id="rId2960" xr:uid="{00000000-0004-0000-0100-00008F0B0000}"/>
    <hyperlink ref="Q742" r:id="rId2961" xr:uid="{00000000-0004-0000-0100-0000900B0000}"/>
    <hyperlink ref="R742" r:id="rId2962" xr:uid="{00000000-0004-0000-0100-0000910B0000}"/>
    <hyperlink ref="S742" r:id="rId2963" xr:uid="{00000000-0004-0000-0100-0000920B0000}"/>
    <hyperlink ref="T742" r:id="rId2964" xr:uid="{00000000-0004-0000-0100-0000930B0000}"/>
    <hyperlink ref="Q743" r:id="rId2965" xr:uid="{00000000-0004-0000-0100-0000940B0000}"/>
    <hyperlink ref="R743" r:id="rId2966" xr:uid="{00000000-0004-0000-0100-0000950B0000}"/>
    <hyperlink ref="S743" r:id="rId2967" xr:uid="{00000000-0004-0000-0100-0000960B0000}"/>
    <hyperlink ref="T743" r:id="rId2968" xr:uid="{00000000-0004-0000-0100-0000970B0000}"/>
    <hyperlink ref="Q744" r:id="rId2969" xr:uid="{00000000-0004-0000-0100-0000980B0000}"/>
    <hyperlink ref="R744" r:id="rId2970" xr:uid="{00000000-0004-0000-0100-0000990B0000}"/>
    <hyperlink ref="S744" r:id="rId2971" xr:uid="{00000000-0004-0000-0100-00009A0B0000}"/>
    <hyperlink ref="T744" r:id="rId2972" xr:uid="{00000000-0004-0000-0100-00009B0B0000}"/>
    <hyperlink ref="Q745" r:id="rId2973" xr:uid="{00000000-0004-0000-0100-00009C0B0000}"/>
    <hyperlink ref="R745" r:id="rId2974" xr:uid="{00000000-0004-0000-0100-00009D0B0000}"/>
    <hyperlink ref="S745" r:id="rId2975" xr:uid="{00000000-0004-0000-0100-00009E0B0000}"/>
    <hyperlink ref="T745" r:id="rId2976" xr:uid="{00000000-0004-0000-0100-00009F0B0000}"/>
    <hyperlink ref="Q746" r:id="rId2977" xr:uid="{00000000-0004-0000-0100-0000A00B0000}"/>
    <hyperlink ref="R746" r:id="rId2978" xr:uid="{00000000-0004-0000-0100-0000A10B0000}"/>
    <hyperlink ref="S746" r:id="rId2979" xr:uid="{00000000-0004-0000-0100-0000A20B0000}"/>
    <hyperlink ref="T746" r:id="rId2980" xr:uid="{00000000-0004-0000-0100-0000A30B0000}"/>
    <hyperlink ref="Q747" r:id="rId2981" xr:uid="{00000000-0004-0000-0100-0000A40B0000}"/>
    <hyperlink ref="R747" r:id="rId2982" xr:uid="{00000000-0004-0000-0100-0000A50B0000}"/>
    <hyperlink ref="S747" r:id="rId2983" xr:uid="{00000000-0004-0000-0100-0000A60B0000}"/>
    <hyperlink ref="T747" r:id="rId2984" xr:uid="{00000000-0004-0000-0100-0000A70B0000}"/>
    <hyperlink ref="Q748" r:id="rId2985" xr:uid="{00000000-0004-0000-0100-0000A80B0000}"/>
    <hyperlink ref="R748" r:id="rId2986" xr:uid="{00000000-0004-0000-0100-0000A90B0000}"/>
    <hyperlink ref="S748" r:id="rId2987" xr:uid="{00000000-0004-0000-0100-0000AA0B0000}"/>
    <hyperlink ref="T748" r:id="rId2988" xr:uid="{00000000-0004-0000-0100-0000AB0B0000}"/>
    <hyperlink ref="Q749" r:id="rId2989" xr:uid="{00000000-0004-0000-0100-0000AC0B0000}"/>
    <hyperlink ref="R749" r:id="rId2990" xr:uid="{00000000-0004-0000-0100-0000AD0B0000}"/>
    <hyperlink ref="S749" r:id="rId2991" xr:uid="{00000000-0004-0000-0100-0000AE0B0000}"/>
    <hyperlink ref="T749" r:id="rId2992" xr:uid="{00000000-0004-0000-0100-0000AF0B0000}"/>
    <hyperlink ref="Q750" r:id="rId2993" xr:uid="{00000000-0004-0000-0100-0000B00B0000}"/>
    <hyperlink ref="R750" r:id="rId2994" xr:uid="{00000000-0004-0000-0100-0000B10B0000}"/>
    <hyperlink ref="S750" r:id="rId2995" xr:uid="{00000000-0004-0000-0100-0000B20B0000}"/>
    <hyperlink ref="T750" r:id="rId2996" xr:uid="{00000000-0004-0000-0100-0000B30B0000}"/>
    <hyperlink ref="Q751" r:id="rId2997" xr:uid="{00000000-0004-0000-0100-0000B40B0000}"/>
    <hyperlink ref="R751" r:id="rId2998" xr:uid="{00000000-0004-0000-0100-0000B50B0000}"/>
    <hyperlink ref="S751" r:id="rId2999" xr:uid="{00000000-0004-0000-0100-0000B60B0000}"/>
    <hyperlink ref="T751" r:id="rId3000" xr:uid="{00000000-0004-0000-0100-0000B70B0000}"/>
    <hyperlink ref="Q752" r:id="rId3001" xr:uid="{00000000-0004-0000-0100-0000B80B0000}"/>
    <hyperlink ref="R752" r:id="rId3002" xr:uid="{00000000-0004-0000-0100-0000B90B0000}"/>
    <hyperlink ref="S752" r:id="rId3003" xr:uid="{00000000-0004-0000-0100-0000BA0B0000}"/>
    <hyperlink ref="T752" r:id="rId3004" xr:uid="{00000000-0004-0000-0100-0000BB0B0000}"/>
    <hyperlink ref="Q753" r:id="rId3005" xr:uid="{00000000-0004-0000-0100-0000BC0B0000}"/>
    <hyperlink ref="R753" r:id="rId3006" xr:uid="{00000000-0004-0000-0100-0000BD0B0000}"/>
    <hyperlink ref="S753" r:id="rId3007" xr:uid="{00000000-0004-0000-0100-0000BE0B0000}"/>
    <hyperlink ref="T753" r:id="rId3008" xr:uid="{00000000-0004-0000-0100-0000BF0B0000}"/>
    <hyperlink ref="Q754" r:id="rId3009" xr:uid="{00000000-0004-0000-0100-0000C00B0000}"/>
    <hyperlink ref="R754" r:id="rId3010" xr:uid="{00000000-0004-0000-0100-0000C10B0000}"/>
    <hyperlink ref="S754" r:id="rId3011" xr:uid="{00000000-0004-0000-0100-0000C20B0000}"/>
    <hyperlink ref="T754" r:id="rId3012" xr:uid="{00000000-0004-0000-0100-0000C30B0000}"/>
    <hyperlink ref="Q755" r:id="rId3013" xr:uid="{00000000-0004-0000-0100-0000C40B0000}"/>
    <hyperlink ref="R755" r:id="rId3014" xr:uid="{00000000-0004-0000-0100-0000C50B0000}"/>
    <hyperlink ref="S755" r:id="rId3015" xr:uid="{00000000-0004-0000-0100-0000C60B0000}"/>
    <hyperlink ref="T755" r:id="rId3016" xr:uid="{00000000-0004-0000-0100-0000C70B0000}"/>
    <hyperlink ref="Q756" r:id="rId3017" xr:uid="{00000000-0004-0000-0100-0000C80B0000}"/>
    <hyperlink ref="R756" r:id="rId3018" xr:uid="{00000000-0004-0000-0100-0000C90B0000}"/>
    <hyperlink ref="S756" r:id="rId3019" xr:uid="{00000000-0004-0000-0100-0000CA0B0000}"/>
    <hyperlink ref="T756" r:id="rId3020" xr:uid="{00000000-0004-0000-0100-0000CB0B0000}"/>
    <hyperlink ref="Q757" r:id="rId3021" xr:uid="{00000000-0004-0000-0100-0000CC0B0000}"/>
    <hyperlink ref="R757" r:id="rId3022" xr:uid="{00000000-0004-0000-0100-0000CD0B0000}"/>
    <hyperlink ref="S757" r:id="rId3023" xr:uid="{00000000-0004-0000-0100-0000CE0B0000}"/>
    <hyperlink ref="T757" r:id="rId3024" xr:uid="{00000000-0004-0000-0100-0000CF0B0000}"/>
    <hyperlink ref="Q758" r:id="rId3025" xr:uid="{00000000-0004-0000-0100-0000D00B0000}"/>
    <hyperlink ref="R758" r:id="rId3026" xr:uid="{00000000-0004-0000-0100-0000D10B0000}"/>
    <hyperlink ref="S758" r:id="rId3027" xr:uid="{00000000-0004-0000-0100-0000D20B0000}"/>
    <hyperlink ref="T758" r:id="rId3028" xr:uid="{00000000-0004-0000-0100-0000D30B0000}"/>
    <hyperlink ref="Q759" r:id="rId3029" xr:uid="{00000000-0004-0000-0100-0000D40B0000}"/>
    <hyperlink ref="R759" r:id="rId3030" xr:uid="{00000000-0004-0000-0100-0000D50B0000}"/>
    <hyperlink ref="S759" r:id="rId3031" xr:uid="{00000000-0004-0000-0100-0000D60B0000}"/>
    <hyperlink ref="T759" r:id="rId3032" xr:uid="{00000000-0004-0000-0100-0000D70B0000}"/>
    <hyperlink ref="Q760" r:id="rId3033" xr:uid="{00000000-0004-0000-0100-0000D80B0000}"/>
    <hyperlink ref="R760" r:id="rId3034" xr:uid="{00000000-0004-0000-0100-0000D90B0000}"/>
    <hyperlink ref="S760" r:id="rId3035" xr:uid="{00000000-0004-0000-0100-0000DA0B0000}"/>
    <hyperlink ref="T760" r:id="rId3036" xr:uid="{00000000-0004-0000-0100-0000DB0B0000}"/>
    <hyperlink ref="Q761" r:id="rId3037" xr:uid="{00000000-0004-0000-0100-0000DC0B0000}"/>
    <hyperlink ref="R761" r:id="rId3038" xr:uid="{00000000-0004-0000-0100-0000DD0B0000}"/>
    <hyperlink ref="S761" r:id="rId3039" xr:uid="{00000000-0004-0000-0100-0000DE0B0000}"/>
    <hyperlink ref="T761" r:id="rId3040" xr:uid="{00000000-0004-0000-0100-0000DF0B0000}"/>
    <hyperlink ref="Q762" r:id="rId3041" xr:uid="{00000000-0004-0000-0100-0000E00B0000}"/>
    <hyperlink ref="R762" r:id="rId3042" xr:uid="{00000000-0004-0000-0100-0000E10B0000}"/>
    <hyperlink ref="S762" r:id="rId3043" xr:uid="{00000000-0004-0000-0100-0000E20B0000}"/>
    <hyperlink ref="T762" r:id="rId3044" xr:uid="{00000000-0004-0000-0100-0000E30B0000}"/>
    <hyperlink ref="Q763" r:id="rId3045" xr:uid="{00000000-0004-0000-0100-0000E40B0000}"/>
    <hyperlink ref="R763" r:id="rId3046" xr:uid="{00000000-0004-0000-0100-0000E50B0000}"/>
    <hyperlink ref="S763" r:id="rId3047" xr:uid="{00000000-0004-0000-0100-0000E60B0000}"/>
    <hyperlink ref="T763" r:id="rId3048" xr:uid="{00000000-0004-0000-0100-0000E70B0000}"/>
    <hyperlink ref="Q764" r:id="rId3049" xr:uid="{00000000-0004-0000-0100-0000E80B0000}"/>
    <hyperlink ref="R764" r:id="rId3050" xr:uid="{00000000-0004-0000-0100-0000E90B0000}"/>
    <hyperlink ref="S764" r:id="rId3051" xr:uid="{00000000-0004-0000-0100-0000EA0B0000}"/>
    <hyperlink ref="T764" r:id="rId3052" xr:uid="{00000000-0004-0000-0100-0000EB0B0000}"/>
    <hyperlink ref="Q765" r:id="rId3053" xr:uid="{00000000-0004-0000-0100-0000EC0B0000}"/>
    <hyperlink ref="R765" r:id="rId3054" xr:uid="{00000000-0004-0000-0100-0000ED0B0000}"/>
    <hyperlink ref="S765" r:id="rId3055" xr:uid="{00000000-0004-0000-0100-0000EE0B0000}"/>
    <hyperlink ref="T765" r:id="rId3056" xr:uid="{00000000-0004-0000-0100-0000EF0B0000}"/>
    <hyperlink ref="Q766" r:id="rId3057" xr:uid="{00000000-0004-0000-0100-0000F00B0000}"/>
    <hyperlink ref="R766" r:id="rId3058" xr:uid="{00000000-0004-0000-0100-0000F10B0000}"/>
    <hyperlink ref="S766" r:id="rId3059" xr:uid="{00000000-0004-0000-0100-0000F20B0000}"/>
    <hyperlink ref="T766" r:id="rId3060" xr:uid="{00000000-0004-0000-0100-0000F30B0000}"/>
    <hyperlink ref="Q767" r:id="rId3061" xr:uid="{00000000-0004-0000-0100-0000F40B0000}"/>
    <hyperlink ref="R767" r:id="rId3062" xr:uid="{00000000-0004-0000-0100-0000F50B0000}"/>
    <hyperlink ref="S767" r:id="rId3063" xr:uid="{00000000-0004-0000-0100-0000F60B0000}"/>
    <hyperlink ref="T767" r:id="rId3064" xr:uid="{00000000-0004-0000-0100-0000F70B0000}"/>
    <hyperlink ref="Q768" r:id="rId3065" xr:uid="{00000000-0004-0000-0100-0000F80B0000}"/>
    <hyperlink ref="R768" r:id="rId3066" xr:uid="{00000000-0004-0000-0100-0000F90B0000}"/>
    <hyperlink ref="S768" r:id="rId3067" xr:uid="{00000000-0004-0000-0100-0000FA0B0000}"/>
    <hyperlink ref="T768" r:id="rId3068" xr:uid="{00000000-0004-0000-0100-0000FB0B0000}"/>
    <hyperlink ref="Q769" r:id="rId3069" xr:uid="{00000000-0004-0000-0100-0000FC0B0000}"/>
    <hyperlink ref="R769" r:id="rId3070" xr:uid="{00000000-0004-0000-0100-0000FD0B0000}"/>
    <hyperlink ref="S769" r:id="rId3071" xr:uid="{00000000-0004-0000-0100-0000FE0B0000}"/>
    <hyperlink ref="T769" r:id="rId3072" xr:uid="{00000000-0004-0000-0100-0000FF0B0000}"/>
    <hyperlink ref="Q770" r:id="rId3073" xr:uid="{00000000-0004-0000-0100-0000000C0000}"/>
    <hyperlink ref="R770" r:id="rId3074" xr:uid="{00000000-0004-0000-0100-0000010C0000}"/>
    <hyperlink ref="S770" r:id="rId3075" xr:uid="{00000000-0004-0000-0100-0000020C0000}"/>
    <hyperlink ref="T770" r:id="rId3076" xr:uid="{00000000-0004-0000-0100-0000030C0000}"/>
    <hyperlink ref="Q771" r:id="rId3077" xr:uid="{00000000-0004-0000-0100-0000040C0000}"/>
    <hyperlink ref="R771" r:id="rId3078" xr:uid="{00000000-0004-0000-0100-0000050C0000}"/>
    <hyperlink ref="S771" r:id="rId3079" xr:uid="{00000000-0004-0000-0100-0000060C0000}"/>
    <hyperlink ref="T771" r:id="rId3080" xr:uid="{00000000-0004-0000-0100-0000070C0000}"/>
    <hyperlink ref="Q772" r:id="rId3081" xr:uid="{00000000-0004-0000-0100-0000080C0000}"/>
    <hyperlink ref="R772" r:id="rId3082" xr:uid="{00000000-0004-0000-0100-0000090C0000}"/>
    <hyperlink ref="S772" r:id="rId3083" xr:uid="{00000000-0004-0000-0100-00000A0C0000}"/>
    <hyperlink ref="T772" r:id="rId3084" xr:uid="{00000000-0004-0000-0100-00000B0C0000}"/>
    <hyperlink ref="Q773" r:id="rId3085" xr:uid="{00000000-0004-0000-0100-00000C0C0000}"/>
    <hyperlink ref="R773" r:id="rId3086" xr:uid="{00000000-0004-0000-0100-00000D0C0000}"/>
    <hyperlink ref="S773" r:id="rId3087" xr:uid="{00000000-0004-0000-0100-00000E0C0000}"/>
    <hyperlink ref="T773" r:id="rId3088" xr:uid="{00000000-0004-0000-0100-00000F0C0000}"/>
    <hyperlink ref="Q774" r:id="rId3089" xr:uid="{00000000-0004-0000-0100-0000100C0000}"/>
    <hyperlink ref="R774" r:id="rId3090" xr:uid="{00000000-0004-0000-0100-0000110C0000}"/>
    <hyperlink ref="S774" r:id="rId3091" xr:uid="{00000000-0004-0000-0100-0000120C0000}"/>
    <hyperlink ref="T774" r:id="rId3092" xr:uid="{00000000-0004-0000-0100-0000130C0000}"/>
    <hyperlink ref="Q775" r:id="rId3093" xr:uid="{00000000-0004-0000-0100-0000140C0000}"/>
    <hyperlink ref="R775" r:id="rId3094" xr:uid="{00000000-0004-0000-0100-0000150C0000}"/>
    <hyperlink ref="S775" r:id="rId3095" xr:uid="{00000000-0004-0000-0100-0000160C0000}"/>
    <hyperlink ref="T775" r:id="rId3096" xr:uid="{00000000-0004-0000-0100-0000170C0000}"/>
    <hyperlink ref="Q776" r:id="rId3097" xr:uid="{00000000-0004-0000-0100-0000180C0000}"/>
    <hyperlink ref="R776" r:id="rId3098" xr:uid="{00000000-0004-0000-0100-0000190C0000}"/>
    <hyperlink ref="S776" r:id="rId3099" xr:uid="{00000000-0004-0000-0100-00001A0C0000}"/>
    <hyperlink ref="T776" r:id="rId3100" xr:uid="{00000000-0004-0000-0100-00001B0C0000}"/>
    <hyperlink ref="Q777" r:id="rId3101" xr:uid="{00000000-0004-0000-0100-00001C0C0000}"/>
    <hyperlink ref="R777" r:id="rId3102" xr:uid="{00000000-0004-0000-0100-00001D0C0000}"/>
    <hyperlink ref="S777" r:id="rId3103" xr:uid="{00000000-0004-0000-0100-00001E0C0000}"/>
    <hyperlink ref="T777" r:id="rId3104" xr:uid="{00000000-0004-0000-0100-00001F0C0000}"/>
    <hyperlink ref="Q778" r:id="rId3105" xr:uid="{00000000-0004-0000-0100-0000200C0000}"/>
    <hyperlink ref="R778" r:id="rId3106" xr:uid="{00000000-0004-0000-0100-0000210C0000}"/>
    <hyperlink ref="S778" r:id="rId3107" xr:uid="{00000000-0004-0000-0100-0000220C0000}"/>
    <hyperlink ref="T778" r:id="rId3108" xr:uid="{00000000-0004-0000-0100-0000230C0000}"/>
    <hyperlink ref="Q779" r:id="rId3109" xr:uid="{00000000-0004-0000-0100-0000240C0000}"/>
    <hyperlink ref="R779" r:id="rId3110" xr:uid="{00000000-0004-0000-0100-0000250C0000}"/>
    <hyperlink ref="S779" r:id="rId3111" xr:uid="{00000000-0004-0000-0100-0000260C0000}"/>
    <hyperlink ref="T779" r:id="rId3112" xr:uid="{00000000-0004-0000-0100-0000270C0000}"/>
    <hyperlink ref="Q780" r:id="rId3113" xr:uid="{00000000-0004-0000-0100-0000280C0000}"/>
    <hyperlink ref="R780" r:id="rId3114" xr:uid="{00000000-0004-0000-0100-0000290C0000}"/>
    <hyperlink ref="S780" r:id="rId3115" xr:uid="{00000000-0004-0000-0100-00002A0C0000}"/>
    <hyperlink ref="T780" r:id="rId3116" xr:uid="{00000000-0004-0000-0100-00002B0C0000}"/>
    <hyperlink ref="Q781" r:id="rId3117" xr:uid="{00000000-0004-0000-0100-00002C0C0000}"/>
    <hyperlink ref="R781" r:id="rId3118" xr:uid="{00000000-0004-0000-0100-00002D0C0000}"/>
    <hyperlink ref="S781" r:id="rId3119" xr:uid="{00000000-0004-0000-0100-00002E0C0000}"/>
    <hyperlink ref="T781" r:id="rId3120" xr:uid="{00000000-0004-0000-0100-00002F0C0000}"/>
    <hyperlink ref="Q782" r:id="rId3121" xr:uid="{00000000-0004-0000-0100-0000300C0000}"/>
    <hyperlink ref="R782" r:id="rId3122" xr:uid="{00000000-0004-0000-0100-0000310C0000}"/>
    <hyperlink ref="S782" r:id="rId3123" xr:uid="{00000000-0004-0000-0100-0000320C0000}"/>
    <hyperlink ref="T782" r:id="rId3124" xr:uid="{00000000-0004-0000-0100-0000330C0000}"/>
    <hyperlink ref="Q783" r:id="rId3125" xr:uid="{00000000-0004-0000-0100-0000340C0000}"/>
    <hyperlink ref="R783" r:id="rId3126" xr:uid="{00000000-0004-0000-0100-0000350C0000}"/>
    <hyperlink ref="S783" r:id="rId3127" xr:uid="{00000000-0004-0000-0100-0000360C0000}"/>
    <hyperlink ref="T783" r:id="rId3128" xr:uid="{00000000-0004-0000-0100-0000370C0000}"/>
    <hyperlink ref="Q784" r:id="rId3129" xr:uid="{00000000-0004-0000-0100-0000380C0000}"/>
    <hyperlink ref="R784" r:id="rId3130" xr:uid="{00000000-0004-0000-0100-0000390C0000}"/>
    <hyperlink ref="S784" r:id="rId3131" xr:uid="{00000000-0004-0000-0100-00003A0C0000}"/>
    <hyperlink ref="T784" r:id="rId3132" xr:uid="{00000000-0004-0000-0100-00003B0C0000}"/>
    <hyperlink ref="Q785" r:id="rId3133" xr:uid="{00000000-0004-0000-0100-00003C0C0000}"/>
    <hyperlink ref="R785" r:id="rId3134" xr:uid="{00000000-0004-0000-0100-00003D0C0000}"/>
    <hyperlink ref="S785" r:id="rId3135" xr:uid="{00000000-0004-0000-0100-00003E0C0000}"/>
    <hyperlink ref="T785" r:id="rId3136" xr:uid="{00000000-0004-0000-0100-00003F0C0000}"/>
    <hyperlink ref="Q786" r:id="rId3137" xr:uid="{00000000-0004-0000-0100-0000400C0000}"/>
    <hyperlink ref="R786" r:id="rId3138" xr:uid="{00000000-0004-0000-0100-0000410C0000}"/>
    <hyperlink ref="S786" r:id="rId3139" xr:uid="{00000000-0004-0000-0100-0000420C0000}"/>
    <hyperlink ref="T786" r:id="rId3140" xr:uid="{00000000-0004-0000-0100-0000430C0000}"/>
    <hyperlink ref="Q787" r:id="rId3141" xr:uid="{00000000-0004-0000-0100-0000440C0000}"/>
    <hyperlink ref="R787" r:id="rId3142" xr:uid="{00000000-0004-0000-0100-0000450C0000}"/>
    <hyperlink ref="S787" r:id="rId3143" xr:uid="{00000000-0004-0000-0100-0000460C0000}"/>
    <hyperlink ref="T787" r:id="rId3144" xr:uid="{00000000-0004-0000-0100-0000470C0000}"/>
    <hyperlink ref="Q788" r:id="rId3145" xr:uid="{00000000-0004-0000-0100-0000480C0000}"/>
    <hyperlink ref="R788" r:id="rId3146" xr:uid="{00000000-0004-0000-0100-0000490C0000}"/>
    <hyperlink ref="S788" r:id="rId3147" xr:uid="{00000000-0004-0000-0100-00004A0C0000}"/>
    <hyperlink ref="T788" r:id="rId3148" xr:uid="{00000000-0004-0000-0100-00004B0C0000}"/>
    <hyperlink ref="Q789" r:id="rId3149" xr:uid="{00000000-0004-0000-0100-00004C0C0000}"/>
    <hyperlink ref="R789" r:id="rId3150" xr:uid="{00000000-0004-0000-0100-00004D0C0000}"/>
    <hyperlink ref="S789" r:id="rId3151" xr:uid="{00000000-0004-0000-0100-00004E0C0000}"/>
    <hyperlink ref="T789" r:id="rId3152" xr:uid="{00000000-0004-0000-0100-00004F0C0000}"/>
    <hyperlink ref="Q790" r:id="rId3153" xr:uid="{00000000-0004-0000-0100-0000500C0000}"/>
    <hyperlink ref="R790" r:id="rId3154" xr:uid="{00000000-0004-0000-0100-0000510C0000}"/>
    <hyperlink ref="S790" r:id="rId3155" xr:uid="{00000000-0004-0000-0100-0000520C0000}"/>
    <hyperlink ref="T790" r:id="rId3156" xr:uid="{00000000-0004-0000-0100-0000530C0000}"/>
    <hyperlink ref="Q791" r:id="rId3157" xr:uid="{00000000-0004-0000-0100-0000540C0000}"/>
    <hyperlink ref="R791" r:id="rId3158" xr:uid="{00000000-0004-0000-0100-0000550C0000}"/>
    <hyperlink ref="S791" r:id="rId3159" xr:uid="{00000000-0004-0000-0100-0000560C0000}"/>
    <hyperlink ref="T791" r:id="rId3160" xr:uid="{00000000-0004-0000-0100-0000570C0000}"/>
    <hyperlink ref="Q792" r:id="rId3161" xr:uid="{00000000-0004-0000-0100-0000580C0000}"/>
    <hyperlink ref="R792" r:id="rId3162" xr:uid="{00000000-0004-0000-0100-0000590C0000}"/>
    <hyperlink ref="S792" r:id="rId3163" xr:uid="{00000000-0004-0000-0100-00005A0C0000}"/>
    <hyperlink ref="T792" r:id="rId3164" xr:uid="{00000000-0004-0000-0100-00005B0C0000}"/>
    <hyperlink ref="Q793" r:id="rId3165" xr:uid="{00000000-0004-0000-0100-00005C0C0000}"/>
    <hyperlink ref="R793" r:id="rId3166" xr:uid="{00000000-0004-0000-0100-00005D0C0000}"/>
    <hyperlink ref="S793" r:id="rId3167" xr:uid="{00000000-0004-0000-0100-00005E0C0000}"/>
    <hyperlink ref="T793" r:id="rId3168" xr:uid="{00000000-0004-0000-0100-00005F0C0000}"/>
    <hyperlink ref="Q794" r:id="rId3169" xr:uid="{00000000-0004-0000-0100-0000600C0000}"/>
    <hyperlink ref="R794" r:id="rId3170" xr:uid="{00000000-0004-0000-0100-0000610C0000}"/>
    <hyperlink ref="S794" r:id="rId3171" xr:uid="{00000000-0004-0000-0100-0000620C0000}"/>
    <hyperlink ref="T794" r:id="rId3172" xr:uid="{00000000-0004-0000-0100-0000630C0000}"/>
    <hyperlink ref="Q795" r:id="rId3173" xr:uid="{00000000-0004-0000-0100-0000640C0000}"/>
    <hyperlink ref="R795" r:id="rId3174" xr:uid="{00000000-0004-0000-0100-0000650C0000}"/>
    <hyperlink ref="S795" r:id="rId3175" xr:uid="{00000000-0004-0000-0100-0000660C0000}"/>
    <hyperlink ref="T795" r:id="rId3176" xr:uid="{00000000-0004-0000-0100-0000670C0000}"/>
    <hyperlink ref="Q796" r:id="rId3177" xr:uid="{00000000-0004-0000-0100-0000680C0000}"/>
    <hyperlink ref="R796" r:id="rId3178" xr:uid="{00000000-0004-0000-0100-0000690C0000}"/>
    <hyperlink ref="S796" r:id="rId3179" xr:uid="{00000000-0004-0000-0100-00006A0C0000}"/>
    <hyperlink ref="T796" r:id="rId3180" xr:uid="{00000000-0004-0000-0100-00006B0C0000}"/>
    <hyperlink ref="Q797" r:id="rId3181" xr:uid="{00000000-0004-0000-0100-00006C0C0000}"/>
    <hyperlink ref="R797" r:id="rId3182" xr:uid="{00000000-0004-0000-0100-00006D0C0000}"/>
    <hyperlink ref="S797" r:id="rId3183" xr:uid="{00000000-0004-0000-0100-00006E0C0000}"/>
    <hyperlink ref="T797" r:id="rId3184" xr:uid="{00000000-0004-0000-0100-00006F0C0000}"/>
    <hyperlink ref="Q798" r:id="rId3185" xr:uid="{00000000-0004-0000-0100-0000700C0000}"/>
    <hyperlink ref="R798" r:id="rId3186" xr:uid="{00000000-0004-0000-0100-0000710C0000}"/>
    <hyperlink ref="S798" r:id="rId3187" xr:uid="{00000000-0004-0000-0100-0000720C0000}"/>
    <hyperlink ref="T798" r:id="rId3188" xr:uid="{00000000-0004-0000-0100-0000730C0000}"/>
    <hyperlink ref="Q799" r:id="rId3189" xr:uid="{00000000-0004-0000-0100-0000740C0000}"/>
    <hyperlink ref="R799" r:id="rId3190" xr:uid="{00000000-0004-0000-0100-0000750C0000}"/>
    <hyperlink ref="S799" r:id="rId3191" xr:uid="{00000000-0004-0000-0100-0000760C0000}"/>
    <hyperlink ref="T799" r:id="rId3192" xr:uid="{00000000-0004-0000-0100-0000770C0000}"/>
    <hyperlink ref="Q800" r:id="rId3193" xr:uid="{00000000-0004-0000-0100-0000780C0000}"/>
    <hyperlink ref="R800" r:id="rId3194" xr:uid="{00000000-0004-0000-0100-0000790C0000}"/>
    <hyperlink ref="S800" r:id="rId3195" xr:uid="{00000000-0004-0000-0100-00007A0C0000}"/>
    <hyperlink ref="T800" r:id="rId3196" xr:uid="{00000000-0004-0000-0100-00007B0C0000}"/>
    <hyperlink ref="Q801" r:id="rId3197" xr:uid="{00000000-0004-0000-0100-00007C0C0000}"/>
    <hyperlink ref="R801" r:id="rId3198" xr:uid="{00000000-0004-0000-0100-00007D0C0000}"/>
    <hyperlink ref="S801" r:id="rId3199" xr:uid="{00000000-0004-0000-0100-00007E0C0000}"/>
    <hyperlink ref="T801" r:id="rId3200" xr:uid="{00000000-0004-0000-0100-00007F0C0000}"/>
    <hyperlink ref="Q802" r:id="rId3201" xr:uid="{00000000-0004-0000-0100-0000800C0000}"/>
    <hyperlink ref="R802" r:id="rId3202" xr:uid="{00000000-0004-0000-0100-0000810C0000}"/>
    <hyperlink ref="S802" r:id="rId3203" xr:uid="{00000000-0004-0000-0100-0000820C0000}"/>
    <hyperlink ref="T802" r:id="rId3204" xr:uid="{00000000-0004-0000-0100-0000830C0000}"/>
    <hyperlink ref="Q803" r:id="rId3205" xr:uid="{00000000-0004-0000-0100-0000840C0000}"/>
    <hyperlink ref="R803" r:id="rId3206" xr:uid="{00000000-0004-0000-0100-0000850C0000}"/>
    <hyperlink ref="S803" r:id="rId3207" xr:uid="{00000000-0004-0000-0100-0000860C0000}"/>
    <hyperlink ref="T803" r:id="rId3208" xr:uid="{00000000-0004-0000-0100-0000870C0000}"/>
    <hyperlink ref="Q804" r:id="rId3209" xr:uid="{00000000-0004-0000-0100-0000880C0000}"/>
    <hyperlink ref="R804" r:id="rId3210" xr:uid="{00000000-0004-0000-0100-0000890C0000}"/>
    <hyperlink ref="S804" r:id="rId3211" xr:uid="{00000000-0004-0000-0100-00008A0C0000}"/>
    <hyperlink ref="T804" r:id="rId3212" xr:uid="{00000000-0004-0000-0100-00008B0C0000}"/>
    <hyperlink ref="Q805" r:id="rId3213" xr:uid="{00000000-0004-0000-0100-00008C0C0000}"/>
    <hyperlink ref="R805" r:id="rId3214" xr:uid="{00000000-0004-0000-0100-00008D0C0000}"/>
    <hyperlink ref="S805" r:id="rId3215" xr:uid="{00000000-0004-0000-0100-00008E0C0000}"/>
    <hyperlink ref="T805" r:id="rId3216" xr:uid="{00000000-0004-0000-0100-00008F0C0000}"/>
    <hyperlink ref="Q806" r:id="rId3217" xr:uid="{00000000-0004-0000-0100-0000900C0000}"/>
    <hyperlink ref="R806" r:id="rId3218" xr:uid="{00000000-0004-0000-0100-0000910C0000}"/>
    <hyperlink ref="S806" r:id="rId3219" xr:uid="{00000000-0004-0000-0100-0000920C0000}"/>
    <hyperlink ref="T806" r:id="rId3220" xr:uid="{00000000-0004-0000-0100-0000930C0000}"/>
    <hyperlink ref="Q807" r:id="rId3221" xr:uid="{00000000-0004-0000-0100-0000940C0000}"/>
    <hyperlink ref="R807" r:id="rId3222" xr:uid="{00000000-0004-0000-0100-0000950C0000}"/>
    <hyperlink ref="S807" r:id="rId3223" xr:uid="{00000000-0004-0000-0100-0000960C0000}"/>
    <hyperlink ref="T807" r:id="rId3224" xr:uid="{00000000-0004-0000-0100-0000970C0000}"/>
    <hyperlink ref="Q808" r:id="rId3225" xr:uid="{00000000-0004-0000-0100-0000980C0000}"/>
    <hyperlink ref="R808" r:id="rId3226" xr:uid="{00000000-0004-0000-0100-0000990C0000}"/>
    <hyperlink ref="S808" r:id="rId3227" xr:uid="{00000000-0004-0000-0100-00009A0C0000}"/>
    <hyperlink ref="T808" r:id="rId3228" xr:uid="{00000000-0004-0000-0100-00009B0C0000}"/>
    <hyperlink ref="Q809" r:id="rId3229" xr:uid="{00000000-0004-0000-0100-00009C0C0000}"/>
    <hyperlink ref="R809" r:id="rId3230" xr:uid="{00000000-0004-0000-0100-00009D0C0000}"/>
    <hyperlink ref="S809" r:id="rId3231" xr:uid="{00000000-0004-0000-0100-00009E0C0000}"/>
    <hyperlink ref="T809" r:id="rId3232" xr:uid="{00000000-0004-0000-0100-00009F0C0000}"/>
    <hyperlink ref="Q810" r:id="rId3233" xr:uid="{00000000-0004-0000-0100-0000A00C0000}"/>
    <hyperlink ref="R810" r:id="rId3234" xr:uid="{00000000-0004-0000-0100-0000A10C0000}"/>
    <hyperlink ref="S810" r:id="rId3235" xr:uid="{00000000-0004-0000-0100-0000A20C0000}"/>
    <hyperlink ref="T810" r:id="rId3236" xr:uid="{00000000-0004-0000-0100-0000A30C0000}"/>
    <hyperlink ref="Q811" r:id="rId3237" xr:uid="{00000000-0004-0000-0100-0000A40C0000}"/>
    <hyperlink ref="R811" r:id="rId3238" xr:uid="{00000000-0004-0000-0100-0000A50C0000}"/>
    <hyperlink ref="S811" r:id="rId3239" xr:uid="{00000000-0004-0000-0100-0000A60C0000}"/>
    <hyperlink ref="T811" r:id="rId3240" xr:uid="{00000000-0004-0000-0100-0000A70C0000}"/>
    <hyperlink ref="Q812" r:id="rId3241" xr:uid="{00000000-0004-0000-0100-0000A80C0000}"/>
    <hyperlink ref="R812" r:id="rId3242" xr:uid="{00000000-0004-0000-0100-0000A90C0000}"/>
    <hyperlink ref="S812" r:id="rId3243" xr:uid="{00000000-0004-0000-0100-0000AA0C0000}"/>
    <hyperlink ref="T812" r:id="rId3244" xr:uid="{00000000-0004-0000-0100-0000AB0C0000}"/>
    <hyperlink ref="Q813" r:id="rId3245" xr:uid="{00000000-0004-0000-0100-0000AC0C0000}"/>
    <hyperlink ref="R813" r:id="rId3246" xr:uid="{00000000-0004-0000-0100-0000AD0C0000}"/>
    <hyperlink ref="S813" r:id="rId3247" xr:uid="{00000000-0004-0000-0100-0000AE0C0000}"/>
    <hyperlink ref="T813" r:id="rId3248" xr:uid="{00000000-0004-0000-0100-0000AF0C0000}"/>
    <hyperlink ref="Q814" r:id="rId3249" xr:uid="{00000000-0004-0000-0100-0000B00C0000}"/>
    <hyperlink ref="R814" r:id="rId3250" xr:uid="{00000000-0004-0000-0100-0000B10C0000}"/>
    <hyperlink ref="S814" r:id="rId3251" xr:uid="{00000000-0004-0000-0100-0000B20C0000}"/>
    <hyperlink ref="T814" r:id="rId3252" xr:uid="{00000000-0004-0000-0100-0000B30C0000}"/>
    <hyperlink ref="Q815" r:id="rId3253" xr:uid="{00000000-0004-0000-0100-0000B40C0000}"/>
    <hyperlink ref="R815" r:id="rId3254" xr:uid="{00000000-0004-0000-0100-0000B50C0000}"/>
    <hyperlink ref="S815" r:id="rId3255" xr:uid="{00000000-0004-0000-0100-0000B60C0000}"/>
    <hyperlink ref="T815" r:id="rId3256" xr:uid="{00000000-0004-0000-0100-0000B70C0000}"/>
    <hyperlink ref="Q816" r:id="rId3257" xr:uid="{00000000-0004-0000-0100-0000B80C0000}"/>
    <hyperlink ref="R816" r:id="rId3258" xr:uid="{00000000-0004-0000-0100-0000B90C0000}"/>
    <hyperlink ref="S816" r:id="rId3259" xr:uid="{00000000-0004-0000-0100-0000BA0C0000}"/>
    <hyperlink ref="T816" r:id="rId3260" xr:uid="{00000000-0004-0000-0100-0000BB0C0000}"/>
    <hyperlink ref="Q817" r:id="rId3261" xr:uid="{00000000-0004-0000-0100-0000BC0C0000}"/>
    <hyperlink ref="R817" r:id="rId3262" xr:uid="{00000000-0004-0000-0100-0000BD0C0000}"/>
    <hyperlink ref="S817" r:id="rId3263" xr:uid="{00000000-0004-0000-0100-0000BE0C0000}"/>
    <hyperlink ref="T817" r:id="rId3264" xr:uid="{00000000-0004-0000-0100-0000BF0C0000}"/>
    <hyperlink ref="Q818" r:id="rId3265" xr:uid="{00000000-0004-0000-0100-0000C00C0000}"/>
    <hyperlink ref="R818" r:id="rId3266" xr:uid="{00000000-0004-0000-0100-0000C10C0000}"/>
    <hyperlink ref="S818" r:id="rId3267" xr:uid="{00000000-0004-0000-0100-0000C20C0000}"/>
    <hyperlink ref="T818" r:id="rId3268" xr:uid="{00000000-0004-0000-0100-0000C30C0000}"/>
    <hyperlink ref="Q819" r:id="rId3269" xr:uid="{00000000-0004-0000-0100-0000C40C0000}"/>
    <hyperlink ref="R819" r:id="rId3270" xr:uid="{00000000-0004-0000-0100-0000C50C0000}"/>
    <hyperlink ref="S819" r:id="rId3271" xr:uid="{00000000-0004-0000-0100-0000C60C0000}"/>
    <hyperlink ref="T819" r:id="rId3272" xr:uid="{00000000-0004-0000-0100-0000C70C0000}"/>
    <hyperlink ref="Q820" r:id="rId3273" xr:uid="{00000000-0004-0000-0100-0000C80C0000}"/>
    <hyperlink ref="R820" r:id="rId3274" xr:uid="{00000000-0004-0000-0100-0000C90C0000}"/>
    <hyperlink ref="S820" r:id="rId3275" xr:uid="{00000000-0004-0000-0100-0000CA0C0000}"/>
    <hyperlink ref="T820" r:id="rId3276" xr:uid="{00000000-0004-0000-0100-0000CB0C0000}"/>
    <hyperlink ref="Q821" r:id="rId3277" xr:uid="{00000000-0004-0000-0100-0000CC0C0000}"/>
    <hyperlink ref="R821" r:id="rId3278" xr:uid="{00000000-0004-0000-0100-0000CD0C0000}"/>
    <hyperlink ref="S821" r:id="rId3279" xr:uid="{00000000-0004-0000-0100-0000CE0C0000}"/>
    <hyperlink ref="T821" r:id="rId3280" xr:uid="{00000000-0004-0000-0100-0000CF0C0000}"/>
    <hyperlink ref="Q822" r:id="rId3281" xr:uid="{00000000-0004-0000-0100-0000D00C0000}"/>
    <hyperlink ref="R822" r:id="rId3282" xr:uid="{00000000-0004-0000-0100-0000D10C0000}"/>
    <hyperlink ref="S822" r:id="rId3283" xr:uid="{00000000-0004-0000-0100-0000D20C0000}"/>
    <hyperlink ref="T822" r:id="rId3284" xr:uid="{00000000-0004-0000-0100-0000D30C0000}"/>
    <hyperlink ref="Q823" r:id="rId3285" xr:uid="{00000000-0004-0000-0100-0000D40C0000}"/>
    <hyperlink ref="R823" r:id="rId3286" xr:uid="{00000000-0004-0000-0100-0000D50C0000}"/>
    <hyperlink ref="S823" r:id="rId3287" xr:uid="{00000000-0004-0000-0100-0000D60C0000}"/>
    <hyperlink ref="T823" r:id="rId3288" xr:uid="{00000000-0004-0000-0100-0000D70C0000}"/>
    <hyperlink ref="Q824" r:id="rId3289" xr:uid="{00000000-0004-0000-0100-0000D80C0000}"/>
    <hyperlink ref="R824" r:id="rId3290" xr:uid="{00000000-0004-0000-0100-0000D90C0000}"/>
    <hyperlink ref="S824" r:id="rId3291" xr:uid="{00000000-0004-0000-0100-0000DA0C0000}"/>
    <hyperlink ref="T824" r:id="rId3292" xr:uid="{00000000-0004-0000-0100-0000DB0C0000}"/>
    <hyperlink ref="Q825" r:id="rId3293" xr:uid="{00000000-0004-0000-0100-0000DC0C0000}"/>
    <hyperlink ref="R825" r:id="rId3294" xr:uid="{00000000-0004-0000-0100-0000DD0C0000}"/>
    <hyperlink ref="S825" r:id="rId3295" xr:uid="{00000000-0004-0000-0100-0000DE0C0000}"/>
    <hyperlink ref="T825" r:id="rId3296" xr:uid="{00000000-0004-0000-0100-0000DF0C0000}"/>
    <hyperlink ref="Q826" r:id="rId3297" xr:uid="{00000000-0004-0000-0100-0000E00C0000}"/>
    <hyperlink ref="R826" r:id="rId3298" xr:uid="{00000000-0004-0000-0100-0000E10C0000}"/>
    <hyperlink ref="S826" r:id="rId3299" xr:uid="{00000000-0004-0000-0100-0000E20C0000}"/>
    <hyperlink ref="T826" r:id="rId3300" xr:uid="{00000000-0004-0000-0100-0000E30C0000}"/>
    <hyperlink ref="Q827" r:id="rId3301" xr:uid="{00000000-0004-0000-0100-0000E40C0000}"/>
    <hyperlink ref="R827" r:id="rId3302" xr:uid="{00000000-0004-0000-0100-0000E50C0000}"/>
    <hyperlink ref="S827" r:id="rId3303" xr:uid="{00000000-0004-0000-0100-0000E60C0000}"/>
    <hyperlink ref="T827" r:id="rId3304" xr:uid="{00000000-0004-0000-0100-0000E70C0000}"/>
    <hyperlink ref="Q828" r:id="rId3305" xr:uid="{00000000-0004-0000-0100-0000E80C0000}"/>
    <hyperlink ref="R828" r:id="rId3306" xr:uid="{00000000-0004-0000-0100-0000E90C0000}"/>
    <hyperlink ref="S828" r:id="rId3307" xr:uid="{00000000-0004-0000-0100-0000EA0C0000}"/>
    <hyperlink ref="T828" r:id="rId3308" xr:uid="{00000000-0004-0000-0100-0000EB0C0000}"/>
    <hyperlink ref="Q829" r:id="rId3309" xr:uid="{00000000-0004-0000-0100-0000EC0C0000}"/>
    <hyperlink ref="R829" r:id="rId3310" xr:uid="{00000000-0004-0000-0100-0000ED0C0000}"/>
    <hyperlink ref="S829" r:id="rId3311" xr:uid="{00000000-0004-0000-0100-0000EE0C0000}"/>
    <hyperlink ref="T829" r:id="rId3312" xr:uid="{00000000-0004-0000-0100-0000EF0C0000}"/>
    <hyperlink ref="Q830" r:id="rId3313" xr:uid="{00000000-0004-0000-0100-0000F00C0000}"/>
    <hyperlink ref="R830" r:id="rId3314" xr:uid="{00000000-0004-0000-0100-0000F10C0000}"/>
    <hyperlink ref="S830" r:id="rId3315" xr:uid="{00000000-0004-0000-0100-0000F20C0000}"/>
    <hyperlink ref="T830" r:id="rId3316" xr:uid="{00000000-0004-0000-0100-0000F30C0000}"/>
    <hyperlink ref="Q831" r:id="rId3317" xr:uid="{00000000-0004-0000-0100-0000F40C0000}"/>
    <hyperlink ref="R831" r:id="rId3318" xr:uid="{00000000-0004-0000-0100-0000F50C0000}"/>
    <hyperlink ref="S831" r:id="rId3319" xr:uid="{00000000-0004-0000-0100-0000F60C0000}"/>
    <hyperlink ref="T831" r:id="rId3320" xr:uid="{00000000-0004-0000-0100-0000F70C0000}"/>
    <hyperlink ref="Q832" r:id="rId3321" xr:uid="{00000000-0004-0000-0100-0000F80C0000}"/>
    <hyperlink ref="R832" r:id="rId3322" xr:uid="{00000000-0004-0000-0100-0000F90C0000}"/>
    <hyperlink ref="S832" r:id="rId3323" xr:uid="{00000000-0004-0000-0100-0000FA0C0000}"/>
    <hyperlink ref="T832" r:id="rId3324" xr:uid="{00000000-0004-0000-0100-0000FB0C0000}"/>
    <hyperlink ref="Q833" r:id="rId3325" xr:uid="{00000000-0004-0000-0100-0000FC0C0000}"/>
    <hyperlink ref="R833" r:id="rId3326" xr:uid="{00000000-0004-0000-0100-0000FD0C0000}"/>
    <hyperlink ref="S833" r:id="rId3327" xr:uid="{00000000-0004-0000-0100-0000FE0C0000}"/>
    <hyperlink ref="T833" r:id="rId3328" xr:uid="{00000000-0004-0000-0100-0000FF0C0000}"/>
    <hyperlink ref="Q834" r:id="rId3329" xr:uid="{00000000-0004-0000-0100-0000000D0000}"/>
    <hyperlink ref="R834" r:id="rId3330" xr:uid="{00000000-0004-0000-0100-0000010D0000}"/>
    <hyperlink ref="S834" r:id="rId3331" xr:uid="{00000000-0004-0000-0100-0000020D0000}"/>
    <hyperlink ref="T834" r:id="rId3332" xr:uid="{00000000-0004-0000-0100-0000030D0000}"/>
    <hyperlink ref="Q835" r:id="rId3333" xr:uid="{00000000-0004-0000-0100-0000040D0000}"/>
    <hyperlink ref="R835" r:id="rId3334" xr:uid="{00000000-0004-0000-0100-0000050D0000}"/>
    <hyperlink ref="S835" r:id="rId3335" xr:uid="{00000000-0004-0000-0100-0000060D0000}"/>
    <hyperlink ref="T835" r:id="rId3336" xr:uid="{00000000-0004-0000-0100-0000070D0000}"/>
    <hyperlink ref="Q836" r:id="rId3337" xr:uid="{00000000-0004-0000-0100-0000080D0000}"/>
    <hyperlink ref="R836" r:id="rId3338" xr:uid="{00000000-0004-0000-0100-0000090D0000}"/>
    <hyperlink ref="S836" r:id="rId3339" xr:uid="{00000000-0004-0000-0100-00000A0D0000}"/>
    <hyperlink ref="T836" r:id="rId3340" xr:uid="{00000000-0004-0000-0100-00000B0D0000}"/>
    <hyperlink ref="Q837" r:id="rId3341" xr:uid="{00000000-0004-0000-0100-00000C0D0000}"/>
    <hyperlink ref="R837" r:id="rId3342" xr:uid="{00000000-0004-0000-0100-00000D0D0000}"/>
    <hyperlink ref="S837" r:id="rId3343" xr:uid="{00000000-0004-0000-0100-00000E0D0000}"/>
    <hyperlink ref="T837" r:id="rId3344" xr:uid="{00000000-0004-0000-0100-00000F0D0000}"/>
    <hyperlink ref="Q838" r:id="rId3345" xr:uid="{00000000-0004-0000-0100-0000100D0000}"/>
    <hyperlink ref="R838" r:id="rId3346" xr:uid="{00000000-0004-0000-0100-0000110D0000}"/>
    <hyperlink ref="S838" r:id="rId3347" xr:uid="{00000000-0004-0000-0100-0000120D0000}"/>
    <hyperlink ref="T838" r:id="rId3348" xr:uid="{00000000-0004-0000-0100-0000130D0000}"/>
    <hyperlink ref="Q839" r:id="rId3349" xr:uid="{00000000-0004-0000-0100-0000140D0000}"/>
    <hyperlink ref="R839" r:id="rId3350" xr:uid="{00000000-0004-0000-0100-0000150D0000}"/>
    <hyperlink ref="S839" r:id="rId3351" xr:uid="{00000000-0004-0000-0100-0000160D0000}"/>
    <hyperlink ref="T839" r:id="rId3352" xr:uid="{00000000-0004-0000-0100-0000170D0000}"/>
    <hyperlink ref="Q840" r:id="rId3353" xr:uid="{00000000-0004-0000-0100-0000180D0000}"/>
    <hyperlink ref="R840" r:id="rId3354" xr:uid="{00000000-0004-0000-0100-0000190D0000}"/>
    <hyperlink ref="S840" r:id="rId3355" xr:uid="{00000000-0004-0000-0100-00001A0D0000}"/>
    <hyperlink ref="T840" r:id="rId3356" xr:uid="{00000000-0004-0000-0100-00001B0D0000}"/>
    <hyperlink ref="Q841" r:id="rId3357" xr:uid="{00000000-0004-0000-0100-00001C0D0000}"/>
    <hyperlink ref="R841" r:id="rId3358" xr:uid="{00000000-0004-0000-0100-00001D0D0000}"/>
    <hyperlink ref="S841" r:id="rId3359" xr:uid="{00000000-0004-0000-0100-00001E0D0000}"/>
    <hyperlink ref="T841" r:id="rId3360" xr:uid="{00000000-0004-0000-0100-00001F0D0000}"/>
    <hyperlink ref="Q842" r:id="rId3361" xr:uid="{00000000-0004-0000-0100-0000200D0000}"/>
    <hyperlink ref="R842" r:id="rId3362" xr:uid="{00000000-0004-0000-0100-0000210D0000}"/>
    <hyperlink ref="S842" r:id="rId3363" xr:uid="{00000000-0004-0000-0100-0000220D0000}"/>
    <hyperlink ref="T842" r:id="rId3364" xr:uid="{00000000-0004-0000-0100-0000230D0000}"/>
    <hyperlink ref="Q843" r:id="rId3365" xr:uid="{00000000-0004-0000-0100-0000240D0000}"/>
    <hyperlink ref="R843" r:id="rId3366" xr:uid="{00000000-0004-0000-0100-0000250D0000}"/>
    <hyperlink ref="S843" r:id="rId3367" xr:uid="{00000000-0004-0000-0100-0000260D0000}"/>
    <hyperlink ref="T843" r:id="rId3368" xr:uid="{00000000-0004-0000-0100-0000270D0000}"/>
    <hyperlink ref="Q844" r:id="rId3369" xr:uid="{00000000-0004-0000-0100-0000280D0000}"/>
    <hyperlink ref="R844" r:id="rId3370" xr:uid="{00000000-0004-0000-0100-0000290D0000}"/>
    <hyperlink ref="S844" r:id="rId3371" xr:uid="{00000000-0004-0000-0100-00002A0D0000}"/>
    <hyperlink ref="T844" r:id="rId3372" xr:uid="{00000000-0004-0000-0100-00002B0D0000}"/>
    <hyperlink ref="Q845" r:id="rId3373" xr:uid="{00000000-0004-0000-0100-00002C0D0000}"/>
    <hyperlink ref="R845" r:id="rId3374" xr:uid="{00000000-0004-0000-0100-00002D0D0000}"/>
    <hyperlink ref="S845" r:id="rId3375" xr:uid="{00000000-0004-0000-0100-00002E0D0000}"/>
    <hyperlink ref="T845" r:id="rId3376" xr:uid="{00000000-0004-0000-0100-00002F0D0000}"/>
    <hyperlink ref="Q846" r:id="rId3377" xr:uid="{00000000-0004-0000-0100-0000300D0000}"/>
    <hyperlink ref="R846" r:id="rId3378" xr:uid="{00000000-0004-0000-0100-0000310D0000}"/>
    <hyperlink ref="S846" r:id="rId3379" xr:uid="{00000000-0004-0000-0100-0000320D0000}"/>
    <hyperlink ref="T846" r:id="rId3380" xr:uid="{00000000-0004-0000-0100-0000330D0000}"/>
    <hyperlink ref="Q847" r:id="rId3381" xr:uid="{00000000-0004-0000-0100-0000340D0000}"/>
    <hyperlink ref="R847" r:id="rId3382" xr:uid="{00000000-0004-0000-0100-0000350D0000}"/>
    <hyperlink ref="S847" r:id="rId3383" xr:uid="{00000000-0004-0000-0100-0000360D0000}"/>
    <hyperlink ref="T847" r:id="rId3384" xr:uid="{00000000-0004-0000-0100-0000370D0000}"/>
    <hyperlink ref="Q848" r:id="rId3385" xr:uid="{00000000-0004-0000-0100-0000380D0000}"/>
    <hyperlink ref="R848" r:id="rId3386" xr:uid="{00000000-0004-0000-0100-0000390D0000}"/>
    <hyperlink ref="S848" r:id="rId3387" xr:uid="{00000000-0004-0000-0100-00003A0D0000}"/>
    <hyperlink ref="T848" r:id="rId3388" xr:uid="{00000000-0004-0000-0100-00003B0D0000}"/>
    <hyperlink ref="Q849" r:id="rId3389" xr:uid="{00000000-0004-0000-0100-00003C0D0000}"/>
    <hyperlink ref="R849" r:id="rId3390" xr:uid="{00000000-0004-0000-0100-00003D0D0000}"/>
    <hyperlink ref="S849" r:id="rId3391" xr:uid="{00000000-0004-0000-0100-00003E0D0000}"/>
    <hyperlink ref="T849" r:id="rId3392" xr:uid="{00000000-0004-0000-0100-00003F0D0000}"/>
    <hyperlink ref="Q850" r:id="rId3393" xr:uid="{00000000-0004-0000-0100-0000400D0000}"/>
    <hyperlink ref="R850" r:id="rId3394" xr:uid="{00000000-0004-0000-0100-0000410D0000}"/>
    <hyperlink ref="S850" r:id="rId3395" xr:uid="{00000000-0004-0000-0100-0000420D0000}"/>
    <hyperlink ref="T850" r:id="rId3396" xr:uid="{00000000-0004-0000-0100-0000430D0000}"/>
    <hyperlink ref="Q851" r:id="rId3397" xr:uid="{00000000-0004-0000-0100-0000440D0000}"/>
    <hyperlink ref="R851" r:id="rId3398" xr:uid="{00000000-0004-0000-0100-0000450D0000}"/>
    <hyperlink ref="S851" r:id="rId3399" xr:uid="{00000000-0004-0000-0100-0000460D0000}"/>
    <hyperlink ref="T851" r:id="rId3400" xr:uid="{00000000-0004-0000-0100-0000470D0000}"/>
    <hyperlink ref="Q852" r:id="rId3401" xr:uid="{00000000-0004-0000-0100-0000480D0000}"/>
    <hyperlink ref="R852" r:id="rId3402" xr:uid="{00000000-0004-0000-0100-0000490D0000}"/>
    <hyperlink ref="S852" r:id="rId3403" xr:uid="{00000000-0004-0000-0100-00004A0D0000}"/>
    <hyperlink ref="T852" r:id="rId3404" xr:uid="{00000000-0004-0000-0100-00004B0D0000}"/>
    <hyperlink ref="Q853" r:id="rId3405" xr:uid="{00000000-0004-0000-0100-00004C0D0000}"/>
    <hyperlink ref="R853" r:id="rId3406" xr:uid="{00000000-0004-0000-0100-00004D0D0000}"/>
    <hyperlink ref="S853" r:id="rId3407" xr:uid="{00000000-0004-0000-0100-00004E0D0000}"/>
    <hyperlink ref="T853" r:id="rId3408" xr:uid="{00000000-0004-0000-0100-00004F0D0000}"/>
    <hyperlink ref="Q854" r:id="rId3409" xr:uid="{00000000-0004-0000-0100-0000500D0000}"/>
    <hyperlink ref="R854" r:id="rId3410" xr:uid="{00000000-0004-0000-0100-0000510D0000}"/>
    <hyperlink ref="S854" r:id="rId3411" xr:uid="{00000000-0004-0000-0100-0000520D0000}"/>
    <hyperlink ref="T854" r:id="rId3412" xr:uid="{00000000-0004-0000-0100-0000530D0000}"/>
    <hyperlink ref="Q855" r:id="rId3413" xr:uid="{00000000-0004-0000-0100-0000540D0000}"/>
    <hyperlink ref="R855" r:id="rId3414" xr:uid="{00000000-0004-0000-0100-0000550D0000}"/>
    <hyperlink ref="S855" r:id="rId3415" xr:uid="{00000000-0004-0000-0100-0000560D0000}"/>
    <hyperlink ref="T855" r:id="rId3416" xr:uid="{00000000-0004-0000-0100-0000570D0000}"/>
    <hyperlink ref="Q856" r:id="rId3417" xr:uid="{00000000-0004-0000-0100-0000580D0000}"/>
    <hyperlink ref="R856" r:id="rId3418" xr:uid="{00000000-0004-0000-0100-0000590D0000}"/>
    <hyperlink ref="S856" r:id="rId3419" xr:uid="{00000000-0004-0000-0100-00005A0D0000}"/>
    <hyperlink ref="T856" r:id="rId3420" xr:uid="{00000000-0004-0000-0100-00005B0D0000}"/>
    <hyperlink ref="Q857" r:id="rId3421" xr:uid="{00000000-0004-0000-0100-00005C0D0000}"/>
    <hyperlink ref="R857" r:id="rId3422" xr:uid="{00000000-0004-0000-0100-00005D0D0000}"/>
    <hyperlink ref="S857" r:id="rId3423" xr:uid="{00000000-0004-0000-0100-00005E0D0000}"/>
    <hyperlink ref="T857" r:id="rId3424" xr:uid="{00000000-0004-0000-0100-00005F0D0000}"/>
    <hyperlink ref="Q858" r:id="rId3425" xr:uid="{00000000-0004-0000-0100-0000600D0000}"/>
    <hyperlink ref="R858" r:id="rId3426" xr:uid="{00000000-0004-0000-0100-0000610D0000}"/>
    <hyperlink ref="S858" r:id="rId3427" xr:uid="{00000000-0004-0000-0100-0000620D0000}"/>
    <hyperlink ref="T858" r:id="rId3428" xr:uid="{00000000-0004-0000-0100-0000630D0000}"/>
    <hyperlink ref="Q859" r:id="rId3429" xr:uid="{00000000-0004-0000-0100-0000640D0000}"/>
    <hyperlink ref="R859" r:id="rId3430" xr:uid="{00000000-0004-0000-0100-0000650D0000}"/>
    <hyperlink ref="S859" r:id="rId3431" xr:uid="{00000000-0004-0000-0100-0000660D0000}"/>
    <hyperlink ref="T859" r:id="rId3432" xr:uid="{00000000-0004-0000-0100-0000670D0000}"/>
    <hyperlink ref="Q860" r:id="rId3433" xr:uid="{00000000-0004-0000-0100-0000680D0000}"/>
    <hyperlink ref="R860" r:id="rId3434" xr:uid="{00000000-0004-0000-0100-0000690D0000}"/>
    <hyperlink ref="S860" r:id="rId3435" xr:uid="{00000000-0004-0000-0100-00006A0D0000}"/>
    <hyperlink ref="T860" r:id="rId3436" xr:uid="{00000000-0004-0000-0100-00006B0D0000}"/>
    <hyperlink ref="Q861" r:id="rId3437" xr:uid="{00000000-0004-0000-0100-00006C0D0000}"/>
    <hyperlink ref="R861" r:id="rId3438" xr:uid="{00000000-0004-0000-0100-00006D0D0000}"/>
    <hyperlink ref="S861" r:id="rId3439" xr:uid="{00000000-0004-0000-0100-00006E0D0000}"/>
    <hyperlink ref="T861" r:id="rId3440" xr:uid="{00000000-0004-0000-0100-00006F0D0000}"/>
    <hyperlink ref="Q862" r:id="rId3441" xr:uid="{00000000-0004-0000-0100-0000700D0000}"/>
    <hyperlink ref="R862" r:id="rId3442" xr:uid="{00000000-0004-0000-0100-0000710D0000}"/>
    <hyperlink ref="S862" r:id="rId3443" xr:uid="{00000000-0004-0000-0100-0000720D0000}"/>
    <hyperlink ref="T862" r:id="rId3444" xr:uid="{00000000-0004-0000-0100-0000730D0000}"/>
    <hyperlink ref="Q863" r:id="rId3445" xr:uid="{00000000-0004-0000-0100-0000740D0000}"/>
    <hyperlink ref="R863" r:id="rId3446" xr:uid="{00000000-0004-0000-0100-0000750D0000}"/>
    <hyperlink ref="S863" r:id="rId3447" xr:uid="{00000000-0004-0000-0100-0000760D0000}"/>
    <hyperlink ref="T863" r:id="rId3448" xr:uid="{00000000-0004-0000-0100-0000770D0000}"/>
    <hyperlink ref="Q864" r:id="rId3449" xr:uid="{00000000-0004-0000-0100-0000780D0000}"/>
    <hyperlink ref="R864" r:id="rId3450" xr:uid="{00000000-0004-0000-0100-0000790D0000}"/>
    <hyperlink ref="S864" r:id="rId3451" xr:uid="{00000000-0004-0000-0100-00007A0D0000}"/>
    <hyperlink ref="T864" r:id="rId3452" xr:uid="{00000000-0004-0000-0100-00007B0D0000}"/>
    <hyperlink ref="Q865" r:id="rId3453" xr:uid="{00000000-0004-0000-0100-00007C0D0000}"/>
    <hyperlink ref="R865" r:id="rId3454" xr:uid="{00000000-0004-0000-0100-00007D0D0000}"/>
    <hyperlink ref="S865" r:id="rId3455" xr:uid="{00000000-0004-0000-0100-00007E0D0000}"/>
    <hyperlink ref="T865" r:id="rId3456" xr:uid="{00000000-0004-0000-0100-00007F0D0000}"/>
    <hyperlink ref="Q866" r:id="rId3457" xr:uid="{00000000-0004-0000-0100-0000800D0000}"/>
    <hyperlink ref="R866" r:id="rId3458" xr:uid="{00000000-0004-0000-0100-0000810D0000}"/>
    <hyperlink ref="S866" r:id="rId3459" xr:uid="{00000000-0004-0000-0100-0000820D0000}"/>
    <hyperlink ref="T866" r:id="rId3460" xr:uid="{00000000-0004-0000-0100-0000830D0000}"/>
    <hyperlink ref="Q867" r:id="rId3461" xr:uid="{00000000-0004-0000-0100-0000840D0000}"/>
    <hyperlink ref="R867" r:id="rId3462" xr:uid="{00000000-0004-0000-0100-0000850D0000}"/>
    <hyperlink ref="S867" r:id="rId3463" xr:uid="{00000000-0004-0000-0100-0000860D0000}"/>
    <hyperlink ref="T867" r:id="rId3464" xr:uid="{00000000-0004-0000-0100-0000870D0000}"/>
    <hyperlink ref="Q868" r:id="rId3465" xr:uid="{00000000-0004-0000-0100-0000880D0000}"/>
    <hyperlink ref="R868" r:id="rId3466" xr:uid="{00000000-0004-0000-0100-0000890D0000}"/>
    <hyperlink ref="S868" r:id="rId3467" xr:uid="{00000000-0004-0000-0100-00008A0D0000}"/>
    <hyperlink ref="T868" r:id="rId3468" xr:uid="{00000000-0004-0000-0100-00008B0D0000}"/>
    <hyperlink ref="Q869" r:id="rId3469" xr:uid="{00000000-0004-0000-0100-00008C0D0000}"/>
    <hyperlink ref="R869" r:id="rId3470" xr:uid="{00000000-0004-0000-0100-00008D0D0000}"/>
    <hyperlink ref="S869" r:id="rId3471" xr:uid="{00000000-0004-0000-0100-00008E0D0000}"/>
    <hyperlink ref="T869" r:id="rId3472" xr:uid="{00000000-0004-0000-0100-00008F0D0000}"/>
    <hyperlink ref="Q870" r:id="rId3473" xr:uid="{00000000-0004-0000-0100-0000900D0000}"/>
    <hyperlink ref="R870" r:id="rId3474" xr:uid="{00000000-0004-0000-0100-0000910D0000}"/>
    <hyperlink ref="S870" r:id="rId3475" xr:uid="{00000000-0004-0000-0100-0000920D0000}"/>
    <hyperlink ref="T870" r:id="rId3476" xr:uid="{00000000-0004-0000-0100-0000930D0000}"/>
    <hyperlink ref="Q871" r:id="rId3477" xr:uid="{00000000-0004-0000-0100-0000940D0000}"/>
    <hyperlink ref="R871" r:id="rId3478" xr:uid="{00000000-0004-0000-0100-0000950D0000}"/>
    <hyperlink ref="S871" r:id="rId3479" xr:uid="{00000000-0004-0000-0100-0000960D0000}"/>
    <hyperlink ref="T871" r:id="rId3480" xr:uid="{00000000-0004-0000-0100-0000970D0000}"/>
    <hyperlink ref="Q872" r:id="rId3481" xr:uid="{00000000-0004-0000-0100-0000980D0000}"/>
    <hyperlink ref="R872" r:id="rId3482" xr:uid="{00000000-0004-0000-0100-0000990D0000}"/>
    <hyperlink ref="S872" r:id="rId3483" xr:uid="{00000000-0004-0000-0100-00009A0D0000}"/>
    <hyperlink ref="T872" r:id="rId3484" xr:uid="{00000000-0004-0000-0100-00009B0D0000}"/>
    <hyperlink ref="Q873" r:id="rId3485" xr:uid="{00000000-0004-0000-0100-00009C0D0000}"/>
    <hyperlink ref="R873" r:id="rId3486" xr:uid="{00000000-0004-0000-0100-00009D0D0000}"/>
    <hyperlink ref="S873" r:id="rId3487" xr:uid="{00000000-0004-0000-0100-00009E0D0000}"/>
    <hyperlink ref="T873" r:id="rId3488" xr:uid="{00000000-0004-0000-0100-00009F0D0000}"/>
    <hyperlink ref="Q874" r:id="rId3489" xr:uid="{00000000-0004-0000-0100-0000A00D0000}"/>
    <hyperlink ref="R874" r:id="rId3490" xr:uid="{00000000-0004-0000-0100-0000A10D0000}"/>
    <hyperlink ref="S874" r:id="rId3491" xr:uid="{00000000-0004-0000-0100-0000A20D0000}"/>
    <hyperlink ref="T874" r:id="rId3492" xr:uid="{00000000-0004-0000-0100-0000A30D0000}"/>
    <hyperlink ref="Q875" r:id="rId3493" xr:uid="{00000000-0004-0000-0100-0000A40D0000}"/>
    <hyperlink ref="R875" r:id="rId3494" xr:uid="{00000000-0004-0000-0100-0000A50D0000}"/>
    <hyperlink ref="S875" r:id="rId3495" xr:uid="{00000000-0004-0000-0100-0000A60D0000}"/>
    <hyperlink ref="T875" r:id="rId3496" xr:uid="{00000000-0004-0000-0100-0000A70D0000}"/>
    <hyperlink ref="Q876" r:id="rId3497" xr:uid="{00000000-0004-0000-0100-0000A80D0000}"/>
    <hyperlink ref="R876" r:id="rId3498" xr:uid="{00000000-0004-0000-0100-0000A90D0000}"/>
    <hyperlink ref="S876" r:id="rId3499" xr:uid="{00000000-0004-0000-0100-0000AA0D0000}"/>
    <hyperlink ref="T876" r:id="rId3500" xr:uid="{00000000-0004-0000-0100-0000AB0D0000}"/>
    <hyperlink ref="Q877" r:id="rId3501" xr:uid="{00000000-0004-0000-0100-0000AC0D0000}"/>
    <hyperlink ref="R877" r:id="rId3502" xr:uid="{00000000-0004-0000-0100-0000AD0D0000}"/>
    <hyperlink ref="S877" r:id="rId3503" xr:uid="{00000000-0004-0000-0100-0000AE0D0000}"/>
    <hyperlink ref="T877" r:id="rId3504" xr:uid="{00000000-0004-0000-0100-0000AF0D0000}"/>
    <hyperlink ref="Q878" r:id="rId3505" xr:uid="{00000000-0004-0000-0100-0000B00D0000}"/>
    <hyperlink ref="R878" r:id="rId3506" xr:uid="{00000000-0004-0000-0100-0000B10D0000}"/>
    <hyperlink ref="S878" r:id="rId3507" xr:uid="{00000000-0004-0000-0100-0000B20D0000}"/>
    <hyperlink ref="T878" r:id="rId3508" xr:uid="{00000000-0004-0000-0100-0000B30D0000}"/>
    <hyperlink ref="Q879" r:id="rId3509" xr:uid="{00000000-0004-0000-0100-0000B40D0000}"/>
    <hyperlink ref="R879" r:id="rId3510" xr:uid="{00000000-0004-0000-0100-0000B50D0000}"/>
    <hyperlink ref="S879" r:id="rId3511" xr:uid="{00000000-0004-0000-0100-0000B60D0000}"/>
    <hyperlink ref="T879" r:id="rId3512" xr:uid="{00000000-0004-0000-0100-0000B70D0000}"/>
    <hyperlink ref="Q880" r:id="rId3513" xr:uid="{00000000-0004-0000-0100-0000B80D0000}"/>
    <hyperlink ref="R880" r:id="rId3514" xr:uid="{00000000-0004-0000-0100-0000B90D0000}"/>
    <hyperlink ref="S880" r:id="rId3515" xr:uid="{00000000-0004-0000-0100-0000BA0D0000}"/>
    <hyperlink ref="T880" r:id="rId3516" xr:uid="{00000000-0004-0000-0100-0000BB0D0000}"/>
    <hyperlink ref="Q881" r:id="rId3517" xr:uid="{00000000-0004-0000-0100-0000BC0D0000}"/>
    <hyperlink ref="R881" r:id="rId3518" xr:uid="{00000000-0004-0000-0100-0000BD0D0000}"/>
    <hyperlink ref="S881" r:id="rId3519" xr:uid="{00000000-0004-0000-0100-0000BE0D0000}"/>
    <hyperlink ref="T881" r:id="rId3520" xr:uid="{00000000-0004-0000-0100-0000BF0D0000}"/>
    <hyperlink ref="Q882" r:id="rId3521" xr:uid="{00000000-0004-0000-0100-0000C00D0000}"/>
    <hyperlink ref="R882" r:id="rId3522" xr:uid="{00000000-0004-0000-0100-0000C10D0000}"/>
    <hyperlink ref="S882" r:id="rId3523" xr:uid="{00000000-0004-0000-0100-0000C20D0000}"/>
    <hyperlink ref="T882" r:id="rId3524" xr:uid="{00000000-0004-0000-0100-0000C30D0000}"/>
    <hyperlink ref="Q883" r:id="rId3525" xr:uid="{00000000-0004-0000-0100-0000C40D0000}"/>
    <hyperlink ref="R883" r:id="rId3526" xr:uid="{00000000-0004-0000-0100-0000C50D0000}"/>
    <hyperlink ref="S883" r:id="rId3527" xr:uid="{00000000-0004-0000-0100-0000C60D0000}"/>
    <hyperlink ref="T883" r:id="rId3528" xr:uid="{00000000-0004-0000-0100-0000C70D0000}"/>
    <hyperlink ref="Q884" r:id="rId3529" xr:uid="{00000000-0004-0000-0100-0000C80D0000}"/>
    <hyperlink ref="R884" r:id="rId3530" xr:uid="{00000000-0004-0000-0100-0000C90D0000}"/>
    <hyperlink ref="S884" r:id="rId3531" xr:uid="{00000000-0004-0000-0100-0000CA0D0000}"/>
    <hyperlink ref="T884" r:id="rId3532" xr:uid="{00000000-0004-0000-0100-0000CB0D0000}"/>
    <hyperlink ref="Q885" r:id="rId3533" xr:uid="{00000000-0004-0000-0100-0000CC0D0000}"/>
    <hyperlink ref="R885" r:id="rId3534" xr:uid="{00000000-0004-0000-0100-0000CD0D0000}"/>
    <hyperlink ref="S885" r:id="rId3535" xr:uid="{00000000-0004-0000-0100-0000CE0D0000}"/>
    <hyperlink ref="T885" r:id="rId3536" xr:uid="{00000000-0004-0000-0100-0000CF0D0000}"/>
    <hyperlink ref="Q886" r:id="rId3537" xr:uid="{00000000-0004-0000-0100-0000D00D0000}"/>
    <hyperlink ref="R886" r:id="rId3538" xr:uid="{00000000-0004-0000-0100-0000D10D0000}"/>
    <hyperlink ref="S886" r:id="rId3539" xr:uid="{00000000-0004-0000-0100-0000D20D0000}"/>
    <hyperlink ref="T886" r:id="rId3540" xr:uid="{00000000-0004-0000-0100-0000D30D0000}"/>
    <hyperlink ref="Q887" r:id="rId3541" xr:uid="{00000000-0004-0000-0100-0000D40D0000}"/>
    <hyperlink ref="R887" r:id="rId3542" xr:uid="{00000000-0004-0000-0100-0000D50D0000}"/>
    <hyperlink ref="S887" r:id="rId3543" xr:uid="{00000000-0004-0000-0100-0000D60D0000}"/>
    <hyperlink ref="T887" r:id="rId3544" xr:uid="{00000000-0004-0000-0100-0000D70D0000}"/>
    <hyperlink ref="Q888" r:id="rId3545" xr:uid="{00000000-0004-0000-0100-0000D80D0000}"/>
    <hyperlink ref="R888" r:id="rId3546" xr:uid="{00000000-0004-0000-0100-0000D90D0000}"/>
    <hyperlink ref="S888" r:id="rId3547" xr:uid="{00000000-0004-0000-0100-0000DA0D0000}"/>
    <hyperlink ref="T888" r:id="rId3548" xr:uid="{00000000-0004-0000-0100-0000DB0D0000}"/>
    <hyperlink ref="Q889" r:id="rId3549" xr:uid="{00000000-0004-0000-0100-0000DC0D0000}"/>
    <hyperlink ref="R889" r:id="rId3550" xr:uid="{00000000-0004-0000-0100-0000DD0D0000}"/>
    <hyperlink ref="S889" r:id="rId3551" xr:uid="{00000000-0004-0000-0100-0000DE0D0000}"/>
    <hyperlink ref="T889" r:id="rId3552" xr:uid="{00000000-0004-0000-0100-0000DF0D0000}"/>
    <hyperlink ref="Q890" r:id="rId3553" xr:uid="{00000000-0004-0000-0100-0000E00D0000}"/>
    <hyperlink ref="R890" r:id="rId3554" xr:uid="{00000000-0004-0000-0100-0000E10D0000}"/>
    <hyperlink ref="S890" r:id="rId3555" xr:uid="{00000000-0004-0000-0100-0000E20D0000}"/>
    <hyperlink ref="T890" r:id="rId3556" xr:uid="{00000000-0004-0000-0100-0000E30D0000}"/>
    <hyperlink ref="Q891" r:id="rId3557" xr:uid="{00000000-0004-0000-0100-0000E40D0000}"/>
    <hyperlink ref="R891" r:id="rId3558" xr:uid="{00000000-0004-0000-0100-0000E50D0000}"/>
    <hyperlink ref="S891" r:id="rId3559" xr:uid="{00000000-0004-0000-0100-0000E60D0000}"/>
    <hyperlink ref="T891" r:id="rId3560" xr:uid="{00000000-0004-0000-0100-0000E70D0000}"/>
    <hyperlink ref="Q892" r:id="rId3561" xr:uid="{00000000-0004-0000-0100-0000E80D0000}"/>
    <hyperlink ref="R892" r:id="rId3562" xr:uid="{00000000-0004-0000-0100-0000E90D0000}"/>
    <hyperlink ref="S892" r:id="rId3563" xr:uid="{00000000-0004-0000-0100-0000EA0D0000}"/>
    <hyperlink ref="T892" r:id="rId3564" xr:uid="{00000000-0004-0000-0100-0000EB0D0000}"/>
    <hyperlink ref="Q893" r:id="rId3565" xr:uid="{00000000-0004-0000-0100-0000EC0D0000}"/>
    <hyperlink ref="R893" r:id="rId3566" xr:uid="{00000000-0004-0000-0100-0000ED0D0000}"/>
    <hyperlink ref="S893" r:id="rId3567" xr:uid="{00000000-0004-0000-0100-0000EE0D0000}"/>
    <hyperlink ref="T893" r:id="rId3568" xr:uid="{00000000-0004-0000-0100-0000EF0D0000}"/>
    <hyperlink ref="Q894" r:id="rId3569" xr:uid="{00000000-0004-0000-0100-0000F00D0000}"/>
    <hyperlink ref="R894" r:id="rId3570" xr:uid="{00000000-0004-0000-0100-0000F10D0000}"/>
    <hyperlink ref="S894" r:id="rId3571" xr:uid="{00000000-0004-0000-0100-0000F20D0000}"/>
    <hyperlink ref="T894" r:id="rId3572" xr:uid="{00000000-0004-0000-0100-0000F30D0000}"/>
    <hyperlink ref="Q895" r:id="rId3573" xr:uid="{00000000-0004-0000-0100-0000F40D0000}"/>
    <hyperlink ref="R895" r:id="rId3574" xr:uid="{00000000-0004-0000-0100-0000F50D0000}"/>
    <hyperlink ref="S895" r:id="rId3575" xr:uid="{00000000-0004-0000-0100-0000F60D0000}"/>
    <hyperlink ref="T895" r:id="rId3576" xr:uid="{00000000-0004-0000-0100-0000F70D0000}"/>
    <hyperlink ref="Q896" r:id="rId3577" xr:uid="{00000000-0004-0000-0100-0000F80D0000}"/>
    <hyperlink ref="R896" r:id="rId3578" xr:uid="{00000000-0004-0000-0100-0000F90D0000}"/>
    <hyperlink ref="S896" r:id="rId3579" xr:uid="{00000000-0004-0000-0100-0000FA0D0000}"/>
    <hyperlink ref="T896" r:id="rId3580" xr:uid="{00000000-0004-0000-0100-0000FB0D0000}"/>
    <hyperlink ref="Q897" r:id="rId3581" xr:uid="{00000000-0004-0000-0100-0000FC0D0000}"/>
    <hyperlink ref="R897" r:id="rId3582" xr:uid="{00000000-0004-0000-0100-0000FD0D0000}"/>
    <hyperlink ref="S897" r:id="rId3583" xr:uid="{00000000-0004-0000-0100-0000FE0D0000}"/>
    <hyperlink ref="T897" r:id="rId3584" xr:uid="{00000000-0004-0000-0100-0000FF0D0000}"/>
    <hyperlink ref="Q898" r:id="rId3585" xr:uid="{00000000-0004-0000-0100-0000000E0000}"/>
    <hyperlink ref="R898" r:id="rId3586" xr:uid="{00000000-0004-0000-0100-0000010E0000}"/>
    <hyperlink ref="S898" r:id="rId3587" xr:uid="{00000000-0004-0000-0100-0000020E0000}"/>
    <hyperlink ref="T898" r:id="rId3588" xr:uid="{00000000-0004-0000-0100-0000030E0000}"/>
    <hyperlink ref="Q899" r:id="rId3589" xr:uid="{00000000-0004-0000-0100-0000040E0000}"/>
    <hyperlink ref="R899" r:id="rId3590" xr:uid="{00000000-0004-0000-0100-0000050E0000}"/>
    <hyperlink ref="S899" r:id="rId3591" xr:uid="{00000000-0004-0000-0100-0000060E0000}"/>
    <hyperlink ref="T899" r:id="rId3592" xr:uid="{00000000-0004-0000-0100-0000070E0000}"/>
    <hyperlink ref="Q900" r:id="rId3593" xr:uid="{00000000-0004-0000-0100-0000080E0000}"/>
    <hyperlink ref="R900" r:id="rId3594" xr:uid="{00000000-0004-0000-0100-0000090E0000}"/>
    <hyperlink ref="S900" r:id="rId3595" xr:uid="{00000000-0004-0000-0100-00000A0E0000}"/>
    <hyperlink ref="T900" r:id="rId3596" xr:uid="{00000000-0004-0000-0100-00000B0E0000}"/>
    <hyperlink ref="Q901" r:id="rId3597" xr:uid="{00000000-0004-0000-0100-00000C0E0000}"/>
    <hyperlink ref="R901" r:id="rId3598" xr:uid="{00000000-0004-0000-0100-00000D0E0000}"/>
    <hyperlink ref="S901" r:id="rId3599" xr:uid="{00000000-0004-0000-0100-00000E0E0000}"/>
    <hyperlink ref="T901" r:id="rId3600" xr:uid="{00000000-0004-0000-0100-00000F0E0000}"/>
    <hyperlink ref="Q902" r:id="rId3601" xr:uid="{00000000-0004-0000-0100-0000100E0000}"/>
    <hyperlink ref="R902" r:id="rId3602" xr:uid="{00000000-0004-0000-0100-0000110E0000}"/>
    <hyperlink ref="S902" r:id="rId3603" xr:uid="{00000000-0004-0000-0100-0000120E0000}"/>
    <hyperlink ref="T902" r:id="rId3604" xr:uid="{00000000-0004-0000-0100-0000130E0000}"/>
    <hyperlink ref="Q903" r:id="rId3605" xr:uid="{00000000-0004-0000-0100-0000140E0000}"/>
    <hyperlink ref="R903" r:id="rId3606" xr:uid="{00000000-0004-0000-0100-0000150E0000}"/>
    <hyperlink ref="S903" r:id="rId3607" xr:uid="{00000000-0004-0000-0100-0000160E0000}"/>
    <hyperlink ref="T903" r:id="rId3608" xr:uid="{00000000-0004-0000-0100-0000170E0000}"/>
    <hyperlink ref="Q904" r:id="rId3609" xr:uid="{00000000-0004-0000-0100-0000180E0000}"/>
    <hyperlink ref="R904" r:id="rId3610" xr:uid="{00000000-0004-0000-0100-0000190E0000}"/>
    <hyperlink ref="S904" r:id="rId3611" xr:uid="{00000000-0004-0000-0100-00001A0E0000}"/>
    <hyperlink ref="T904" r:id="rId3612" xr:uid="{00000000-0004-0000-0100-00001B0E0000}"/>
    <hyperlink ref="Q905" r:id="rId3613" xr:uid="{00000000-0004-0000-0100-00001C0E0000}"/>
    <hyperlink ref="R905" r:id="rId3614" xr:uid="{00000000-0004-0000-0100-00001D0E0000}"/>
    <hyperlink ref="S905" r:id="rId3615" xr:uid="{00000000-0004-0000-0100-00001E0E0000}"/>
    <hyperlink ref="T905" r:id="rId3616" xr:uid="{00000000-0004-0000-0100-00001F0E0000}"/>
    <hyperlink ref="Q906" r:id="rId3617" xr:uid="{00000000-0004-0000-0100-0000200E0000}"/>
    <hyperlink ref="R906" r:id="rId3618" xr:uid="{00000000-0004-0000-0100-0000210E0000}"/>
    <hyperlink ref="S906" r:id="rId3619" xr:uid="{00000000-0004-0000-0100-0000220E0000}"/>
    <hyperlink ref="T906" r:id="rId3620" xr:uid="{00000000-0004-0000-0100-0000230E0000}"/>
    <hyperlink ref="Q907" r:id="rId3621" xr:uid="{00000000-0004-0000-0100-0000240E0000}"/>
    <hyperlink ref="R907" r:id="rId3622" xr:uid="{00000000-0004-0000-0100-0000250E0000}"/>
    <hyperlink ref="S907" r:id="rId3623" xr:uid="{00000000-0004-0000-0100-0000260E0000}"/>
    <hyperlink ref="T907" r:id="rId3624" xr:uid="{00000000-0004-0000-0100-0000270E0000}"/>
    <hyperlink ref="Q908" r:id="rId3625" xr:uid="{00000000-0004-0000-0100-0000280E0000}"/>
    <hyperlink ref="R908" r:id="rId3626" xr:uid="{00000000-0004-0000-0100-0000290E0000}"/>
    <hyperlink ref="S908" r:id="rId3627" xr:uid="{00000000-0004-0000-0100-00002A0E0000}"/>
    <hyperlink ref="T908" r:id="rId3628" xr:uid="{00000000-0004-0000-0100-00002B0E0000}"/>
    <hyperlink ref="Q909" r:id="rId3629" xr:uid="{00000000-0004-0000-0100-00002C0E0000}"/>
    <hyperlink ref="R909" r:id="rId3630" xr:uid="{00000000-0004-0000-0100-00002D0E0000}"/>
    <hyperlink ref="S909" r:id="rId3631" xr:uid="{00000000-0004-0000-0100-00002E0E0000}"/>
    <hyperlink ref="T909" r:id="rId3632" xr:uid="{00000000-0004-0000-0100-00002F0E0000}"/>
    <hyperlink ref="Q910" r:id="rId3633" xr:uid="{00000000-0004-0000-0100-0000300E0000}"/>
    <hyperlink ref="R910" r:id="rId3634" xr:uid="{00000000-0004-0000-0100-0000310E0000}"/>
    <hyperlink ref="S910" r:id="rId3635" xr:uid="{00000000-0004-0000-0100-0000320E0000}"/>
    <hyperlink ref="T910" r:id="rId3636" xr:uid="{00000000-0004-0000-0100-0000330E0000}"/>
    <hyperlink ref="Q911" r:id="rId3637" xr:uid="{00000000-0004-0000-0100-0000340E0000}"/>
    <hyperlink ref="R911" r:id="rId3638" xr:uid="{00000000-0004-0000-0100-0000350E0000}"/>
    <hyperlink ref="S911" r:id="rId3639" xr:uid="{00000000-0004-0000-0100-0000360E0000}"/>
    <hyperlink ref="T911" r:id="rId3640" xr:uid="{00000000-0004-0000-0100-0000370E0000}"/>
    <hyperlink ref="Q912" r:id="rId3641" xr:uid="{00000000-0004-0000-0100-0000380E0000}"/>
    <hyperlink ref="R912" r:id="rId3642" xr:uid="{00000000-0004-0000-0100-0000390E0000}"/>
    <hyperlink ref="S912" r:id="rId3643" xr:uid="{00000000-0004-0000-0100-00003A0E0000}"/>
    <hyperlink ref="T912" r:id="rId3644" xr:uid="{00000000-0004-0000-0100-00003B0E0000}"/>
    <hyperlink ref="Q913" r:id="rId3645" xr:uid="{00000000-0004-0000-0100-00003C0E0000}"/>
    <hyperlink ref="R913" r:id="rId3646" xr:uid="{00000000-0004-0000-0100-00003D0E0000}"/>
    <hyperlink ref="S913" r:id="rId3647" xr:uid="{00000000-0004-0000-0100-00003E0E0000}"/>
    <hyperlink ref="T913" r:id="rId3648" xr:uid="{00000000-0004-0000-0100-00003F0E0000}"/>
    <hyperlink ref="Q914" r:id="rId3649" xr:uid="{00000000-0004-0000-0100-0000400E0000}"/>
    <hyperlink ref="R914" r:id="rId3650" xr:uid="{00000000-0004-0000-0100-0000410E0000}"/>
    <hyperlink ref="S914" r:id="rId3651" xr:uid="{00000000-0004-0000-0100-0000420E0000}"/>
    <hyperlink ref="T914" r:id="rId3652" xr:uid="{00000000-0004-0000-0100-0000430E0000}"/>
    <hyperlink ref="Q915" r:id="rId3653" xr:uid="{00000000-0004-0000-0100-0000440E0000}"/>
    <hyperlink ref="R915" r:id="rId3654" xr:uid="{00000000-0004-0000-0100-0000450E0000}"/>
    <hyperlink ref="S915" r:id="rId3655" xr:uid="{00000000-0004-0000-0100-0000460E0000}"/>
    <hyperlink ref="T915" r:id="rId3656" xr:uid="{00000000-0004-0000-0100-0000470E0000}"/>
    <hyperlink ref="Q916" r:id="rId3657" xr:uid="{00000000-0004-0000-0100-0000480E0000}"/>
    <hyperlink ref="R916" r:id="rId3658" xr:uid="{00000000-0004-0000-0100-0000490E0000}"/>
    <hyperlink ref="S916" r:id="rId3659" xr:uid="{00000000-0004-0000-0100-00004A0E0000}"/>
    <hyperlink ref="T916" r:id="rId3660" xr:uid="{00000000-0004-0000-0100-00004B0E0000}"/>
    <hyperlink ref="Q917" r:id="rId3661" xr:uid="{00000000-0004-0000-0100-00004C0E0000}"/>
    <hyperlink ref="R917" r:id="rId3662" xr:uid="{00000000-0004-0000-0100-00004D0E0000}"/>
    <hyperlink ref="S917" r:id="rId3663" xr:uid="{00000000-0004-0000-0100-00004E0E0000}"/>
    <hyperlink ref="T917" r:id="rId3664" xr:uid="{00000000-0004-0000-0100-00004F0E0000}"/>
    <hyperlink ref="Q918" r:id="rId3665" xr:uid="{00000000-0004-0000-0100-0000500E0000}"/>
    <hyperlink ref="R918" r:id="rId3666" xr:uid="{00000000-0004-0000-0100-0000510E0000}"/>
    <hyperlink ref="S918" r:id="rId3667" xr:uid="{00000000-0004-0000-0100-0000520E0000}"/>
    <hyperlink ref="T918" r:id="rId3668" xr:uid="{00000000-0004-0000-0100-0000530E0000}"/>
    <hyperlink ref="Q919" r:id="rId3669" xr:uid="{00000000-0004-0000-0100-0000540E0000}"/>
    <hyperlink ref="R919" r:id="rId3670" xr:uid="{00000000-0004-0000-0100-0000550E0000}"/>
    <hyperlink ref="S919" r:id="rId3671" xr:uid="{00000000-0004-0000-0100-0000560E0000}"/>
    <hyperlink ref="T919" r:id="rId3672" xr:uid="{00000000-0004-0000-0100-0000570E0000}"/>
    <hyperlink ref="Q920" r:id="rId3673" xr:uid="{00000000-0004-0000-0100-0000580E0000}"/>
    <hyperlink ref="R920" r:id="rId3674" xr:uid="{00000000-0004-0000-0100-0000590E0000}"/>
    <hyperlink ref="S920" r:id="rId3675" xr:uid="{00000000-0004-0000-0100-00005A0E0000}"/>
    <hyperlink ref="T920" r:id="rId3676" xr:uid="{00000000-0004-0000-0100-00005B0E0000}"/>
    <hyperlink ref="Q921" r:id="rId3677" xr:uid="{00000000-0004-0000-0100-00005C0E0000}"/>
    <hyperlink ref="R921" r:id="rId3678" xr:uid="{00000000-0004-0000-0100-00005D0E0000}"/>
    <hyperlink ref="S921" r:id="rId3679" xr:uid="{00000000-0004-0000-0100-00005E0E0000}"/>
    <hyperlink ref="T921" r:id="rId3680" xr:uid="{00000000-0004-0000-0100-00005F0E0000}"/>
    <hyperlink ref="Q922" r:id="rId3681" xr:uid="{00000000-0004-0000-0100-0000600E0000}"/>
    <hyperlink ref="R922" r:id="rId3682" xr:uid="{00000000-0004-0000-0100-0000610E0000}"/>
    <hyperlink ref="S922" r:id="rId3683" xr:uid="{00000000-0004-0000-0100-0000620E0000}"/>
    <hyperlink ref="T922" r:id="rId3684" xr:uid="{00000000-0004-0000-0100-0000630E0000}"/>
    <hyperlink ref="Q923" r:id="rId3685" xr:uid="{00000000-0004-0000-0100-0000640E0000}"/>
    <hyperlink ref="R923" r:id="rId3686" xr:uid="{00000000-0004-0000-0100-0000650E0000}"/>
    <hyperlink ref="S923" r:id="rId3687" xr:uid="{00000000-0004-0000-0100-0000660E0000}"/>
    <hyperlink ref="T923" r:id="rId3688" xr:uid="{00000000-0004-0000-0100-0000670E0000}"/>
    <hyperlink ref="Q924" r:id="rId3689" xr:uid="{00000000-0004-0000-0100-0000680E0000}"/>
    <hyperlink ref="R924" r:id="rId3690" xr:uid="{00000000-0004-0000-0100-0000690E0000}"/>
    <hyperlink ref="S924" r:id="rId3691" xr:uid="{00000000-0004-0000-0100-00006A0E0000}"/>
    <hyperlink ref="T924" r:id="rId3692" xr:uid="{00000000-0004-0000-0100-00006B0E0000}"/>
    <hyperlink ref="Q925" r:id="rId3693" xr:uid="{00000000-0004-0000-0100-00006C0E0000}"/>
    <hyperlink ref="R925" r:id="rId3694" xr:uid="{00000000-0004-0000-0100-00006D0E0000}"/>
    <hyperlink ref="S925" r:id="rId3695" xr:uid="{00000000-0004-0000-0100-00006E0E0000}"/>
    <hyperlink ref="T925" r:id="rId3696" xr:uid="{00000000-0004-0000-0100-00006F0E0000}"/>
    <hyperlink ref="Q926" r:id="rId3697" xr:uid="{00000000-0004-0000-0100-0000700E0000}"/>
    <hyperlink ref="R926" r:id="rId3698" xr:uid="{00000000-0004-0000-0100-0000710E0000}"/>
    <hyperlink ref="S926" r:id="rId3699" xr:uid="{00000000-0004-0000-0100-0000720E0000}"/>
    <hyperlink ref="T926" r:id="rId3700" xr:uid="{00000000-0004-0000-0100-0000730E0000}"/>
    <hyperlink ref="Q927" r:id="rId3701" xr:uid="{00000000-0004-0000-0100-0000740E0000}"/>
    <hyperlink ref="R927" r:id="rId3702" xr:uid="{00000000-0004-0000-0100-0000750E0000}"/>
    <hyperlink ref="S927" r:id="rId3703" xr:uid="{00000000-0004-0000-0100-0000760E0000}"/>
    <hyperlink ref="T927" r:id="rId3704" xr:uid="{00000000-0004-0000-0100-0000770E0000}"/>
    <hyperlink ref="Q928" r:id="rId3705" xr:uid="{00000000-0004-0000-0100-0000780E0000}"/>
    <hyperlink ref="R928" r:id="rId3706" xr:uid="{00000000-0004-0000-0100-0000790E0000}"/>
    <hyperlink ref="S928" r:id="rId3707" xr:uid="{00000000-0004-0000-0100-00007A0E0000}"/>
    <hyperlink ref="T928" r:id="rId3708" xr:uid="{00000000-0004-0000-0100-00007B0E0000}"/>
    <hyperlink ref="Q929" r:id="rId3709" xr:uid="{00000000-0004-0000-0100-00007C0E0000}"/>
    <hyperlink ref="R929" r:id="rId3710" xr:uid="{00000000-0004-0000-0100-00007D0E0000}"/>
    <hyperlink ref="S929" r:id="rId3711" xr:uid="{00000000-0004-0000-0100-00007E0E0000}"/>
    <hyperlink ref="T929" r:id="rId3712" xr:uid="{00000000-0004-0000-0100-00007F0E0000}"/>
    <hyperlink ref="Q930" r:id="rId3713" xr:uid="{00000000-0004-0000-0100-0000800E0000}"/>
    <hyperlink ref="R930" r:id="rId3714" xr:uid="{00000000-0004-0000-0100-0000810E0000}"/>
    <hyperlink ref="S930" r:id="rId3715" xr:uid="{00000000-0004-0000-0100-0000820E0000}"/>
    <hyperlink ref="T930" r:id="rId3716" xr:uid="{00000000-0004-0000-0100-0000830E0000}"/>
    <hyperlink ref="Q931" r:id="rId3717" xr:uid="{00000000-0004-0000-0100-0000840E0000}"/>
    <hyperlink ref="R931" r:id="rId3718" xr:uid="{00000000-0004-0000-0100-0000850E0000}"/>
    <hyperlink ref="S931" r:id="rId3719" xr:uid="{00000000-0004-0000-0100-0000860E0000}"/>
    <hyperlink ref="T931" r:id="rId3720" xr:uid="{00000000-0004-0000-0100-0000870E0000}"/>
    <hyperlink ref="Q932" r:id="rId3721" xr:uid="{00000000-0004-0000-0100-0000880E0000}"/>
    <hyperlink ref="R932" r:id="rId3722" xr:uid="{00000000-0004-0000-0100-0000890E0000}"/>
    <hyperlink ref="S932" r:id="rId3723" xr:uid="{00000000-0004-0000-0100-00008A0E0000}"/>
    <hyperlink ref="T932" r:id="rId3724" xr:uid="{00000000-0004-0000-0100-00008B0E0000}"/>
    <hyperlink ref="Q933" r:id="rId3725" xr:uid="{00000000-0004-0000-0100-00008C0E0000}"/>
    <hyperlink ref="R933" r:id="rId3726" xr:uid="{00000000-0004-0000-0100-00008D0E0000}"/>
    <hyperlink ref="S933" r:id="rId3727" xr:uid="{00000000-0004-0000-0100-00008E0E0000}"/>
    <hyperlink ref="T933" r:id="rId3728" xr:uid="{00000000-0004-0000-0100-00008F0E0000}"/>
    <hyperlink ref="Q934" r:id="rId3729" xr:uid="{00000000-0004-0000-0100-0000900E0000}"/>
    <hyperlink ref="R934" r:id="rId3730" xr:uid="{00000000-0004-0000-0100-0000910E0000}"/>
    <hyperlink ref="S934" r:id="rId3731" xr:uid="{00000000-0004-0000-0100-0000920E0000}"/>
    <hyperlink ref="T934" r:id="rId3732" xr:uid="{00000000-0004-0000-0100-0000930E0000}"/>
    <hyperlink ref="Q935" r:id="rId3733" xr:uid="{00000000-0004-0000-0100-0000940E0000}"/>
    <hyperlink ref="R935" r:id="rId3734" xr:uid="{00000000-0004-0000-0100-0000950E0000}"/>
    <hyperlink ref="S935" r:id="rId3735" xr:uid="{00000000-0004-0000-0100-0000960E0000}"/>
    <hyperlink ref="T935" r:id="rId3736" xr:uid="{00000000-0004-0000-0100-0000970E0000}"/>
    <hyperlink ref="Q936" r:id="rId3737" xr:uid="{00000000-0004-0000-0100-0000980E0000}"/>
    <hyperlink ref="R936" r:id="rId3738" xr:uid="{00000000-0004-0000-0100-0000990E0000}"/>
    <hyperlink ref="S936" r:id="rId3739" xr:uid="{00000000-0004-0000-0100-00009A0E0000}"/>
    <hyperlink ref="T936" r:id="rId3740" xr:uid="{00000000-0004-0000-0100-00009B0E0000}"/>
    <hyperlink ref="Q937" r:id="rId3741" xr:uid="{00000000-0004-0000-0100-00009C0E0000}"/>
    <hyperlink ref="R937" r:id="rId3742" xr:uid="{00000000-0004-0000-0100-00009D0E0000}"/>
    <hyperlink ref="S937" r:id="rId3743" xr:uid="{00000000-0004-0000-0100-00009E0E0000}"/>
    <hyperlink ref="T937" r:id="rId3744" xr:uid="{00000000-0004-0000-0100-00009F0E0000}"/>
    <hyperlink ref="Q938" r:id="rId3745" xr:uid="{00000000-0004-0000-0100-0000A00E0000}"/>
    <hyperlink ref="R938" r:id="rId3746" xr:uid="{00000000-0004-0000-0100-0000A10E0000}"/>
    <hyperlink ref="S938" r:id="rId3747" xr:uid="{00000000-0004-0000-0100-0000A20E0000}"/>
    <hyperlink ref="T938" r:id="rId3748" xr:uid="{00000000-0004-0000-0100-0000A30E0000}"/>
    <hyperlink ref="Q939" r:id="rId3749" xr:uid="{00000000-0004-0000-0100-0000A40E0000}"/>
    <hyperlink ref="R939" r:id="rId3750" xr:uid="{00000000-0004-0000-0100-0000A50E0000}"/>
    <hyperlink ref="S939" r:id="rId3751" xr:uid="{00000000-0004-0000-0100-0000A60E0000}"/>
    <hyperlink ref="T939" r:id="rId3752" xr:uid="{00000000-0004-0000-0100-0000A70E0000}"/>
    <hyperlink ref="Q940" r:id="rId3753" xr:uid="{00000000-0004-0000-0100-0000A80E0000}"/>
    <hyperlink ref="R940" r:id="rId3754" xr:uid="{00000000-0004-0000-0100-0000A90E0000}"/>
    <hyperlink ref="S940" r:id="rId3755" xr:uid="{00000000-0004-0000-0100-0000AA0E0000}"/>
    <hyperlink ref="T940" r:id="rId3756" xr:uid="{00000000-0004-0000-0100-0000AB0E0000}"/>
    <hyperlink ref="Q941" r:id="rId3757" xr:uid="{00000000-0004-0000-0100-0000AC0E0000}"/>
    <hyperlink ref="R941" r:id="rId3758" xr:uid="{00000000-0004-0000-0100-0000AD0E0000}"/>
    <hyperlink ref="S941" r:id="rId3759" xr:uid="{00000000-0004-0000-0100-0000AE0E0000}"/>
    <hyperlink ref="T941" r:id="rId3760" xr:uid="{00000000-0004-0000-0100-0000AF0E0000}"/>
    <hyperlink ref="Q942" r:id="rId3761" xr:uid="{00000000-0004-0000-0100-0000B00E0000}"/>
    <hyperlink ref="R942" r:id="rId3762" xr:uid="{00000000-0004-0000-0100-0000B10E0000}"/>
    <hyperlink ref="S942" r:id="rId3763" xr:uid="{00000000-0004-0000-0100-0000B20E0000}"/>
    <hyperlink ref="T942" r:id="rId3764" xr:uid="{00000000-0004-0000-0100-0000B30E0000}"/>
    <hyperlink ref="Q943" r:id="rId3765" xr:uid="{00000000-0004-0000-0100-0000B40E0000}"/>
    <hyperlink ref="R943" r:id="rId3766" xr:uid="{00000000-0004-0000-0100-0000B50E0000}"/>
    <hyperlink ref="S943" r:id="rId3767" xr:uid="{00000000-0004-0000-0100-0000B60E0000}"/>
    <hyperlink ref="T943" r:id="rId3768" xr:uid="{00000000-0004-0000-0100-0000B70E0000}"/>
    <hyperlink ref="Q944" r:id="rId3769" xr:uid="{00000000-0004-0000-0100-0000B80E0000}"/>
    <hyperlink ref="R944" r:id="rId3770" xr:uid="{00000000-0004-0000-0100-0000B90E0000}"/>
    <hyperlink ref="S944" r:id="rId3771" xr:uid="{00000000-0004-0000-0100-0000BA0E0000}"/>
    <hyperlink ref="T944" r:id="rId3772" xr:uid="{00000000-0004-0000-0100-0000BB0E0000}"/>
    <hyperlink ref="Q945" r:id="rId3773" xr:uid="{00000000-0004-0000-0100-0000BC0E0000}"/>
    <hyperlink ref="R945" r:id="rId3774" xr:uid="{00000000-0004-0000-0100-0000BD0E0000}"/>
    <hyperlink ref="S945" r:id="rId3775" xr:uid="{00000000-0004-0000-0100-0000BE0E0000}"/>
    <hyperlink ref="T945" r:id="rId3776" xr:uid="{00000000-0004-0000-0100-0000BF0E0000}"/>
    <hyperlink ref="Q946" r:id="rId3777" xr:uid="{00000000-0004-0000-0100-0000C00E0000}"/>
    <hyperlink ref="R946" r:id="rId3778" xr:uid="{00000000-0004-0000-0100-0000C10E0000}"/>
    <hyperlink ref="S946" r:id="rId3779" xr:uid="{00000000-0004-0000-0100-0000C20E0000}"/>
    <hyperlink ref="T946" r:id="rId3780" xr:uid="{00000000-0004-0000-0100-0000C30E0000}"/>
    <hyperlink ref="Q947" r:id="rId3781" xr:uid="{00000000-0004-0000-0100-0000C40E0000}"/>
    <hyperlink ref="R947" r:id="rId3782" xr:uid="{00000000-0004-0000-0100-0000C50E0000}"/>
    <hyperlink ref="S947" r:id="rId3783" xr:uid="{00000000-0004-0000-0100-0000C60E0000}"/>
    <hyperlink ref="T947" r:id="rId3784" xr:uid="{00000000-0004-0000-0100-0000C70E0000}"/>
    <hyperlink ref="Q948" r:id="rId3785" xr:uid="{00000000-0004-0000-0100-0000C80E0000}"/>
    <hyperlink ref="R948" r:id="rId3786" xr:uid="{00000000-0004-0000-0100-0000C90E0000}"/>
    <hyperlink ref="S948" r:id="rId3787" xr:uid="{00000000-0004-0000-0100-0000CA0E0000}"/>
    <hyperlink ref="T948" r:id="rId3788" xr:uid="{00000000-0004-0000-0100-0000CB0E0000}"/>
    <hyperlink ref="Q949" r:id="rId3789" xr:uid="{00000000-0004-0000-0100-0000CC0E0000}"/>
    <hyperlink ref="R949" r:id="rId3790" xr:uid="{00000000-0004-0000-0100-0000CD0E0000}"/>
    <hyperlink ref="S949" r:id="rId3791" xr:uid="{00000000-0004-0000-0100-0000CE0E0000}"/>
    <hyperlink ref="T949" r:id="rId3792" xr:uid="{00000000-0004-0000-0100-0000CF0E0000}"/>
    <hyperlink ref="Q950" r:id="rId3793" xr:uid="{00000000-0004-0000-0100-0000D00E0000}"/>
    <hyperlink ref="R950" r:id="rId3794" xr:uid="{00000000-0004-0000-0100-0000D10E0000}"/>
    <hyperlink ref="S950" r:id="rId3795" xr:uid="{00000000-0004-0000-0100-0000D20E0000}"/>
    <hyperlink ref="T950" r:id="rId3796" xr:uid="{00000000-0004-0000-0100-0000D30E0000}"/>
    <hyperlink ref="Q951" r:id="rId3797" xr:uid="{00000000-0004-0000-0100-0000D40E0000}"/>
    <hyperlink ref="R951" r:id="rId3798" xr:uid="{00000000-0004-0000-0100-0000D50E0000}"/>
    <hyperlink ref="S951" r:id="rId3799" xr:uid="{00000000-0004-0000-0100-0000D60E0000}"/>
    <hyperlink ref="T951" r:id="rId3800" xr:uid="{00000000-0004-0000-0100-0000D70E0000}"/>
    <hyperlink ref="Q952" r:id="rId3801" xr:uid="{00000000-0004-0000-0100-0000D80E0000}"/>
    <hyperlink ref="R952" r:id="rId3802" xr:uid="{00000000-0004-0000-0100-0000D90E0000}"/>
    <hyperlink ref="S952" r:id="rId3803" xr:uid="{00000000-0004-0000-0100-0000DA0E0000}"/>
    <hyperlink ref="T952" r:id="rId3804" xr:uid="{00000000-0004-0000-0100-0000DB0E0000}"/>
    <hyperlink ref="Q953" r:id="rId3805" xr:uid="{00000000-0004-0000-0100-0000DC0E0000}"/>
    <hyperlink ref="R953" r:id="rId3806" xr:uid="{00000000-0004-0000-0100-0000DD0E0000}"/>
    <hyperlink ref="S953" r:id="rId3807" xr:uid="{00000000-0004-0000-0100-0000DE0E0000}"/>
    <hyperlink ref="T953" r:id="rId3808" xr:uid="{00000000-0004-0000-0100-0000DF0E0000}"/>
    <hyperlink ref="Q954" r:id="rId3809" xr:uid="{00000000-0004-0000-0100-0000E00E0000}"/>
    <hyperlink ref="R954" r:id="rId3810" xr:uid="{00000000-0004-0000-0100-0000E10E0000}"/>
    <hyperlink ref="S954" r:id="rId3811" xr:uid="{00000000-0004-0000-0100-0000E20E0000}"/>
    <hyperlink ref="T954" r:id="rId3812" xr:uid="{00000000-0004-0000-0100-0000E30E0000}"/>
    <hyperlink ref="Q955" r:id="rId3813" xr:uid="{00000000-0004-0000-0100-0000E40E0000}"/>
    <hyperlink ref="R955" r:id="rId3814" xr:uid="{00000000-0004-0000-0100-0000E50E0000}"/>
    <hyperlink ref="S955" r:id="rId3815" xr:uid="{00000000-0004-0000-0100-0000E60E0000}"/>
    <hyperlink ref="T955" r:id="rId3816" xr:uid="{00000000-0004-0000-0100-0000E70E0000}"/>
    <hyperlink ref="Q956" r:id="rId3817" xr:uid="{00000000-0004-0000-0100-0000E80E0000}"/>
    <hyperlink ref="R956" r:id="rId3818" xr:uid="{00000000-0004-0000-0100-0000E90E0000}"/>
    <hyperlink ref="S956" r:id="rId3819" xr:uid="{00000000-0004-0000-0100-0000EA0E0000}"/>
    <hyperlink ref="T956" r:id="rId3820" xr:uid="{00000000-0004-0000-0100-0000EB0E0000}"/>
    <hyperlink ref="Q957" r:id="rId3821" xr:uid="{00000000-0004-0000-0100-0000EC0E0000}"/>
    <hyperlink ref="R957" r:id="rId3822" xr:uid="{00000000-0004-0000-0100-0000ED0E0000}"/>
    <hyperlink ref="S957" r:id="rId3823" xr:uid="{00000000-0004-0000-0100-0000EE0E0000}"/>
    <hyperlink ref="T957" r:id="rId3824" xr:uid="{00000000-0004-0000-0100-0000EF0E0000}"/>
    <hyperlink ref="Q958" r:id="rId3825" xr:uid="{00000000-0004-0000-0100-0000F00E0000}"/>
    <hyperlink ref="R958" r:id="rId3826" xr:uid="{00000000-0004-0000-0100-0000F10E0000}"/>
    <hyperlink ref="S958" r:id="rId3827" xr:uid="{00000000-0004-0000-0100-0000F20E0000}"/>
    <hyperlink ref="T958" r:id="rId3828" xr:uid="{00000000-0004-0000-0100-0000F30E0000}"/>
    <hyperlink ref="Q959" r:id="rId3829" xr:uid="{00000000-0004-0000-0100-0000F40E0000}"/>
    <hyperlink ref="R959" r:id="rId3830" xr:uid="{00000000-0004-0000-0100-0000F50E0000}"/>
    <hyperlink ref="S959" r:id="rId3831" xr:uid="{00000000-0004-0000-0100-0000F60E0000}"/>
    <hyperlink ref="T959" r:id="rId3832" xr:uid="{00000000-0004-0000-0100-0000F70E0000}"/>
    <hyperlink ref="Q960" r:id="rId3833" xr:uid="{00000000-0004-0000-0100-0000F80E0000}"/>
    <hyperlink ref="R960" r:id="rId3834" xr:uid="{00000000-0004-0000-0100-0000F90E0000}"/>
    <hyperlink ref="S960" r:id="rId3835" xr:uid="{00000000-0004-0000-0100-0000FA0E0000}"/>
    <hyperlink ref="T960" r:id="rId3836" xr:uid="{00000000-0004-0000-0100-0000FB0E0000}"/>
    <hyperlink ref="Q961" r:id="rId3837" xr:uid="{00000000-0004-0000-0100-0000FC0E0000}"/>
    <hyperlink ref="R961" r:id="rId3838" xr:uid="{00000000-0004-0000-0100-0000FD0E0000}"/>
    <hyperlink ref="S961" r:id="rId3839" xr:uid="{00000000-0004-0000-0100-0000FE0E0000}"/>
    <hyperlink ref="T961" r:id="rId3840" xr:uid="{00000000-0004-0000-0100-0000FF0E0000}"/>
    <hyperlink ref="Q962" r:id="rId3841" xr:uid="{00000000-0004-0000-0100-0000000F0000}"/>
    <hyperlink ref="R962" r:id="rId3842" xr:uid="{00000000-0004-0000-0100-0000010F0000}"/>
    <hyperlink ref="S962" r:id="rId3843" xr:uid="{00000000-0004-0000-0100-0000020F0000}"/>
    <hyperlink ref="T962" r:id="rId3844" xr:uid="{00000000-0004-0000-0100-0000030F0000}"/>
    <hyperlink ref="Q963" r:id="rId3845" xr:uid="{00000000-0004-0000-0100-0000040F0000}"/>
    <hyperlink ref="R963" r:id="rId3846" xr:uid="{00000000-0004-0000-0100-0000050F0000}"/>
    <hyperlink ref="S963" r:id="rId3847" xr:uid="{00000000-0004-0000-0100-0000060F0000}"/>
    <hyperlink ref="T963" r:id="rId3848" xr:uid="{00000000-0004-0000-0100-0000070F0000}"/>
    <hyperlink ref="Q964" r:id="rId3849" xr:uid="{00000000-0004-0000-0100-0000080F0000}"/>
    <hyperlink ref="R964" r:id="rId3850" xr:uid="{00000000-0004-0000-0100-0000090F0000}"/>
    <hyperlink ref="S964" r:id="rId3851" xr:uid="{00000000-0004-0000-0100-00000A0F0000}"/>
    <hyperlink ref="T964" r:id="rId3852" xr:uid="{00000000-0004-0000-0100-00000B0F0000}"/>
    <hyperlink ref="Q965" r:id="rId3853" xr:uid="{00000000-0004-0000-0100-00000C0F0000}"/>
    <hyperlink ref="R965" r:id="rId3854" xr:uid="{00000000-0004-0000-0100-00000D0F0000}"/>
    <hyperlink ref="S965" r:id="rId3855" xr:uid="{00000000-0004-0000-0100-00000E0F0000}"/>
    <hyperlink ref="T965" r:id="rId3856" xr:uid="{00000000-0004-0000-0100-00000F0F0000}"/>
    <hyperlink ref="Q966" r:id="rId3857" xr:uid="{00000000-0004-0000-0100-0000100F0000}"/>
    <hyperlink ref="R966" r:id="rId3858" xr:uid="{00000000-0004-0000-0100-0000110F0000}"/>
    <hyperlink ref="S966" r:id="rId3859" xr:uid="{00000000-0004-0000-0100-0000120F0000}"/>
    <hyperlink ref="T966" r:id="rId3860" xr:uid="{00000000-0004-0000-0100-0000130F0000}"/>
    <hyperlink ref="Q967" r:id="rId3861" xr:uid="{00000000-0004-0000-0100-0000140F0000}"/>
    <hyperlink ref="R967" r:id="rId3862" xr:uid="{00000000-0004-0000-0100-0000150F0000}"/>
    <hyperlink ref="S967" r:id="rId3863" xr:uid="{00000000-0004-0000-0100-0000160F0000}"/>
    <hyperlink ref="T967" r:id="rId3864" xr:uid="{00000000-0004-0000-0100-0000170F0000}"/>
    <hyperlink ref="Q968" r:id="rId3865" xr:uid="{00000000-0004-0000-0100-0000180F0000}"/>
    <hyperlink ref="R968" r:id="rId3866" xr:uid="{00000000-0004-0000-0100-0000190F0000}"/>
    <hyperlink ref="S968" r:id="rId3867" xr:uid="{00000000-0004-0000-0100-00001A0F0000}"/>
    <hyperlink ref="T968" r:id="rId3868" xr:uid="{00000000-0004-0000-0100-00001B0F0000}"/>
    <hyperlink ref="Q969" r:id="rId3869" xr:uid="{00000000-0004-0000-0100-00001C0F0000}"/>
    <hyperlink ref="R969" r:id="rId3870" xr:uid="{00000000-0004-0000-0100-00001D0F0000}"/>
    <hyperlink ref="S969" r:id="rId3871" xr:uid="{00000000-0004-0000-0100-00001E0F0000}"/>
    <hyperlink ref="T969" r:id="rId3872" xr:uid="{00000000-0004-0000-0100-00001F0F0000}"/>
    <hyperlink ref="Q970" r:id="rId3873" xr:uid="{00000000-0004-0000-0100-0000200F0000}"/>
    <hyperlink ref="R970" r:id="rId3874" xr:uid="{00000000-0004-0000-0100-0000210F0000}"/>
    <hyperlink ref="S970" r:id="rId3875" xr:uid="{00000000-0004-0000-0100-0000220F0000}"/>
    <hyperlink ref="T970" r:id="rId3876" xr:uid="{00000000-0004-0000-0100-0000230F0000}"/>
    <hyperlink ref="Q971" r:id="rId3877" xr:uid="{00000000-0004-0000-0100-0000240F0000}"/>
    <hyperlink ref="R971" r:id="rId3878" xr:uid="{00000000-0004-0000-0100-0000250F0000}"/>
    <hyperlink ref="S971" r:id="rId3879" xr:uid="{00000000-0004-0000-0100-0000260F0000}"/>
    <hyperlink ref="T971" r:id="rId3880" xr:uid="{00000000-0004-0000-0100-0000270F0000}"/>
    <hyperlink ref="Q972" r:id="rId3881" xr:uid="{00000000-0004-0000-0100-0000280F0000}"/>
    <hyperlink ref="R972" r:id="rId3882" xr:uid="{00000000-0004-0000-0100-0000290F0000}"/>
    <hyperlink ref="S972" r:id="rId3883" xr:uid="{00000000-0004-0000-0100-00002A0F0000}"/>
    <hyperlink ref="T972" r:id="rId3884" xr:uid="{00000000-0004-0000-0100-00002B0F0000}"/>
    <hyperlink ref="Q973" r:id="rId3885" xr:uid="{00000000-0004-0000-0100-00002C0F0000}"/>
    <hyperlink ref="R973" r:id="rId3886" xr:uid="{00000000-0004-0000-0100-00002D0F0000}"/>
    <hyperlink ref="S973" r:id="rId3887" xr:uid="{00000000-0004-0000-0100-00002E0F0000}"/>
    <hyperlink ref="T973" r:id="rId3888" xr:uid="{00000000-0004-0000-0100-00002F0F0000}"/>
    <hyperlink ref="Q974" r:id="rId3889" xr:uid="{00000000-0004-0000-0100-0000300F0000}"/>
    <hyperlink ref="R974" r:id="rId3890" xr:uid="{00000000-0004-0000-0100-0000310F0000}"/>
    <hyperlink ref="S974" r:id="rId3891" xr:uid="{00000000-0004-0000-0100-0000320F0000}"/>
    <hyperlink ref="T974" r:id="rId3892" xr:uid="{00000000-0004-0000-0100-0000330F0000}"/>
    <hyperlink ref="Q975" r:id="rId3893" xr:uid="{00000000-0004-0000-0100-0000340F0000}"/>
    <hyperlink ref="R975" r:id="rId3894" xr:uid="{00000000-0004-0000-0100-0000350F0000}"/>
    <hyperlink ref="S975" r:id="rId3895" xr:uid="{00000000-0004-0000-0100-0000360F0000}"/>
    <hyperlink ref="T975" r:id="rId3896" xr:uid="{00000000-0004-0000-0100-0000370F0000}"/>
    <hyperlink ref="Q976" r:id="rId3897" xr:uid="{00000000-0004-0000-0100-0000380F0000}"/>
    <hyperlink ref="R976" r:id="rId3898" xr:uid="{00000000-0004-0000-0100-0000390F0000}"/>
    <hyperlink ref="S976" r:id="rId3899" xr:uid="{00000000-0004-0000-0100-00003A0F0000}"/>
    <hyperlink ref="T976" r:id="rId3900" xr:uid="{00000000-0004-0000-0100-00003B0F0000}"/>
    <hyperlink ref="Q977" r:id="rId3901" xr:uid="{00000000-0004-0000-0100-00003C0F0000}"/>
    <hyperlink ref="R977" r:id="rId3902" xr:uid="{00000000-0004-0000-0100-00003D0F0000}"/>
    <hyperlink ref="S977" r:id="rId3903" xr:uid="{00000000-0004-0000-0100-00003E0F0000}"/>
    <hyperlink ref="T977" r:id="rId3904" xr:uid="{00000000-0004-0000-0100-00003F0F0000}"/>
    <hyperlink ref="Q978" r:id="rId3905" xr:uid="{00000000-0004-0000-0100-0000400F0000}"/>
    <hyperlink ref="R978" r:id="rId3906" xr:uid="{00000000-0004-0000-0100-0000410F0000}"/>
    <hyperlink ref="S978" r:id="rId3907" xr:uid="{00000000-0004-0000-0100-0000420F0000}"/>
    <hyperlink ref="T978" r:id="rId3908" xr:uid="{00000000-0004-0000-0100-0000430F0000}"/>
    <hyperlink ref="Q979" r:id="rId3909" xr:uid="{00000000-0004-0000-0100-0000440F0000}"/>
    <hyperlink ref="R979" r:id="rId3910" xr:uid="{00000000-0004-0000-0100-0000450F0000}"/>
    <hyperlink ref="S979" r:id="rId3911" xr:uid="{00000000-0004-0000-0100-0000460F0000}"/>
    <hyperlink ref="T979" r:id="rId3912" xr:uid="{00000000-0004-0000-0100-0000470F0000}"/>
    <hyperlink ref="Q980" r:id="rId3913" xr:uid="{00000000-0004-0000-0100-0000480F0000}"/>
    <hyperlink ref="R980" r:id="rId3914" xr:uid="{00000000-0004-0000-0100-0000490F0000}"/>
    <hyperlink ref="S980" r:id="rId3915" xr:uid="{00000000-0004-0000-0100-00004A0F0000}"/>
    <hyperlink ref="T980" r:id="rId3916" xr:uid="{00000000-0004-0000-0100-00004B0F0000}"/>
    <hyperlink ref="Q981" r:id="rId3917" xr:uid="{00000000-0004-0000-0100-00004C0F0000}"/>
    <hyperlink ref="R981" r:id="rId3918" xr:uid="{00000000-0004-0000-0100-00004D0F0000}"/>
    <hyperlink ref="S981" r:id="rId3919" xr:uid="{00000000-0004-0000-0100-00004E0F0000}"/>
    <hyperlink ref="T981" r:id="rId3920" xr:uid="{00000000-0004-0000-0100-00004F0F0000}"/>
    <hyperlink ref="Q982" r:id="rId3921" xr:uid="{00000000-0004-0000-0100-0000500F0000}"/>
    <hyperlink ref="R982" r:id="rId3922" xr:uid="{00000000-0004-0000-0100-0000510F0000}"/>
    <hyperlink ref="S982" r:id="rId3923" xr:uid="{00000000-0004-0000-0100-0000520F0000}"/>
    <hyperlink ref="T982" r:id="rId3924" xr:uid="{00000000-0004-0000-0100-0000530F0000}"/>
    <hyperlink ref="Q983" r:id="rId3925" xr:uid="{00000000-0004-0000-0100-0000540F0000}"/>
    <hyperlink ref="R983" r:id="rId3926" xr:uid="{00000000-0004-0000-0100-0000550F0000}"/>
    <hyperlink ref="S983" r:id="rId3927" xr:uid="{00000000-0004-0000-0100-0000560F0000}"/>
    <hyperlink ref="T983" r:id="rId3928" xr:uid="{00000000-0004-0000-0100-0000570F0000}"/>
    <hyperlink ref="Q984" r:id="rId3929" xr:uid="{00000000-0004-0000-0100-0000580F0000}"/>
    <hyperlink ref="R984" r:id="rId3930" xr:uid="{00000000-0004-0000-0100-0000590F0000}"/>
    <hyperlink ref="S984" r:id="rId3931" xr:uid="{00000000-0004-0000-0100-00005A0F0000}"/>
    <hyperlink ref="T984" r:id="rId3932" xr:uid="{00000000-0004-0000-0100-00005B0F0000}"/>
    <hyperlink ref="Q985" r:id="rId3933" xr:uid="{00000000-0004-0000-0100-00005C0F0000}"/>
    <hyperlink ref="R985" r:id="rId3934" xr:uid="{00000000-0004-0000-0100-00005D0F0000}"/>
    <hyperlink ref="S985" r:id="rId3935" xr:uid="{00000000-0004-0000-0100-00005E0F0000}"/>
    <hyperlink ref="T985" r:id="rId3936" xr:uid="{00000000-0004-0000-0100-00005F0F0000}"/>
    <hyperlink ref="Q986" r:id="rId3937" xr:uid="{00000000-0004-0000-0100-0000600F0000}"/>
    <hyperlink ref="R986" r:id="rId3938" xr:uid="{00000000-0004-0000-0100-0000610F0000}"/>
    <hyperlink ref="S986" r:id="rId3939" xr:uid="{00000000-0004-0000-0100-0000620F0000}"/>
    <hyperlink ref="T986" r:id="rId3940" xr:uid="{00000000-0004-0000-0100-0000630F0000}"/>
    <hyperlink ref="Q987" r:id="rId3941" xr:uid="{00000000-0004-0000-0100-0000640F0000}"/>
    <hyperlink ref="R987" r:id="rId3942" xr:uid="{00000000-0004-0000-0100-0000650F0000}"/>
    <hyperlink ref="S987" r:id="rId3943" xr:uid="{00000000-0004-0000-0100-0000660F0000}"/>
    <hyperlink ref="T987" r:id="rId3944" xr:uid="{00000000-0004-0000-0100-0000670F0000}"/>
    <hyperlink ref="Q988" r:id="rId3945" xr:uid="{00000000-0004-0000-0100-0000680F0000}"/>
    <hyperlink ref="R988" r:id="rId3946" xr:uid="{00000000-0004-0000-0100-0000690F0000}"/>
    <hyperlink ref="S988" r:id="rId3947" xr:uid="{00000000-0004-0000-0100-00006A0F0000}"/>
    <hyperlink ref="T988" r:id="rId3948" xr:uid="{00000000-0004-0000-0100-00006B0F0000}"/>
    <hyperlink ref="Q989" r:id="rId3949" xr:uid="{00000000-0004-0000-0100-00006C0F0000}"/>
    <hyperlink ref="R989" r:id="rId3950" xr:uid="{00000000-0004-0000-0100-00006D0F0000}"/>
    <hyperlink ref="S989" r:id="rId3951" xr:uid="{00000000-0004-0000-0100-00006E0F0000}"/>
    <hyperlink ref="T989" r:id="rId3952" xr:uid="{00000000-0004-0000-0100-00006F0F0000}"/>
    <hyperlink ref="Q990" r:id="rId3953" xr:uid="{00000000-0004-0000-0100-0000700F0000}"/>
    <hyperlink ref="R990" r:id="rId3954" xr:uid="{00000000-0004-0000-0100-0000710F0000}"/>
    <hyperlink ref="S990" r:id="rId3955" xr:uid="{00000000-0004-0000-0100-0000720F0000}"/>
    <hyperlink ref="T990" r:id="rId3956" xr:uid="{00000000-0004-0000-0100-0000730F0000}"/>
    <hyperlink ref="Q991" r:id="rId3957" xr:uid="{00000000-0004-0000-0100-0000740F0000}"/>
    <hyperlink ref="R991" r:id="rId3958" xr:uid="{00000000-0004-0000-0100-0000750F0000}"/>
    <hyperlink ref="S991" r:id="rId3959" xr:uid="{00000000-0004-0000-0100-0000760F0000}"/>
    <hyperlink ref="T991" r:id="rId3960" xr:uid="{00000000-0004-0000-0100-0000770F0000}"/>
    <hyperlink ref="Q992" r:id="rId3961" xr:uid="{00000000-0004-0000-0100-0000780F0000}"/>
    <hyperlink ref="R992" r:id="rId3962" xr:uid="{00000000-0004-0000-0100-0000790F0000}"/>
    <hyperlink ref="S992" r:id="rId3963" xr:uid="{00000000-0004-0000-0100-00007A0F0000}"/>
    <hyperlink ref="T992" r:id="rId3964" xr:uid="{00000000-0004-0000-0100-00007B0F0000}"/>
    <hyperlink ref="Q993" r:id="rId3965" xr:uid="{00000000-0004-0000-0100-00007C0F0000}"/>
    <hyperlink ref="R993" r:id="rId3966" xr:uid="{00000000-0004-0000-0100-00007D0F0000}"/>
    <hyperlink ref="S993" r:id="rId3967" xr:uid="{00000000-0004-0000-0100-00007E0F0000}"/>
    <hyperlink ref="T993" r:id="rId3968" xr:uid="{00000000-0004-0000-0100-00007F0F0000}"/>
    <hyperlink ref="Q994" r:id="rId3969" xr:uid="{00000000-0004-0000-0100-0000800F0000}"/>
    <hyperlink ref="R994" r:id="rId3970" xr:uid="{00000000-0004-0000-0100-0000810F0000}"/>
    <hyperlink ref="S994" r:id="rId3971" xr:uid="{00000000-0004-0000-0100-0000820F0000}"/>
    <hyperlink ref="T994" r:id="rId3972" xr:uid="{00000000-0004-0000-0100-0000830F0000}"/>
    <hyperlink ref="Q995" r:id="rId3973" xr:uid="{00000000-0004-0000-0100-0000840F0000}"/>
    <hyperlink ref="R995" r:id="rId3974" xr:uid="{00000000-0004-0000-0100-0000850F0000}"/>
    <hyperlink ref="S995" r:id="rId3975" xr:uid="{00000000-0004-0000-0100-0000860F0000}"/>
    <hyperlink ref="T995" r:id="rId3976" xr:uid="{00000000-0004-0000-0100-0000870F0000}"/>
    <hyperlink ref="Q996" r:id="rId3977" xr:uid="{00000000-0004-0000-0100-0000880F0000}"/>
    <hyperlink ref="R996" r:id="rId3978" xr:uid="{00000000-0004-0000-0100-0000890F0000}"/>
    <hyperlink ref="S996" r:id="rId3979" xr:uid="{00000000-0004-0000-0100-00008A0F0000}"/>
    <hyperlink ref="T996" r:id="rId3980" xr:uid="{00000000-0004-0000-0100-00008B0F0000}"/>
    <hyperlink ref="Q997" r:id="rId3981" xr:uid="{00000000-0004-0000-0100-00008C0F0000}"/>
    <hyperlink ref="R997" r:id="rId3982" xr:uid="{00000000-0004-0000-0100-00008D0F0000}"/>
    <hyperlink ref="S997" r:id="rId3983" xr:uid="{00000000-0004-0000-0100-00008E0F0000}"/>
    <hyperlink ref="T997" r:id="rId3984" xr:uid="{00000000-0004-0000-0100-00008F0F0000}"/>
    <hyperlink ref="Q998" r:id="rId3985" xr:uid="{00000000-0004-0000-0100-0000900F0000}"/>
    <hyperlink ref="R998" r:id="rId3986" xr:uid="{00000000-0004-0000-0100-0000910F0000}"/>
    <hyperlink ref="S998" r:id="rId3987" xr:uid="{00000000-0004-0000-0100-0000920F0000}"/>
    <hyperlink ref="T998" r:id="rId3988" xr:uid="{00000000-0004-0000-0100-0000930F0000}"/>
    <hyperlink ref="Q999" r:id="rId3989" xr:uid="{00000000-0004-0000-0100-0000940F0000}"/>
    <hyperlink ref="R999" r:id="rId3990" xr:uid="{00000000-0004-0000-0100-0000950F0000}"/>
    <hyperlink ref="S999" r:id="rId3991" xr:uid="{00000000-0004-0000-0100-0000960F0000}"/>
    <hyperlink ref="T999" r:id="rId3992" xr:uid="{00000000-0004-0000-0100-0000970F0000}"/>
    <hyperlink ref="Q1000" r:id="rId3993" xr:uid="{00000000-0004-0000-0100-0000980F0000}"/>
    <hyperlink ref="R1000" r:id="rId3994" xr:uid="{00000000-0004-0000-0100-0000990F0000}"/>
    <hyperlink ref="S1000" r:id="rId3995" xr:uid="{00000000-0004-0000-0100-00009A0F0000}"/>
    <hyperlink ref="T1000" r:id="rId3996" xr:uid="{00000000-0004-0000-0100-00009B0F0000}"/>
    <hyperlink ref="Q1001" r:id="rId3997" xr:uid="{00000000-0004-0000-0100-00009C0F0000}"/>
    <hyperlink ref="R1001" r:id="rId3998" xr:uid="{00000000-0004-0000-0100-00009D0F0000}"/>
    <hyperlink ref="S1001" r:id="rId3999" xr:uid="{00000000-0004-0000-0100-00009E0F0000}"/>
    <hyperlink ref="T1001" r:id="rId4000" xr:uid="{00000000-0004-0000-0100-00009F0F0000}"/>
    <hyperlink ref="Q1002" r:id="rId4001" xr:uid="{00000000-0004-0000-0100-0000A00F0000}"/>
    <hyperlink ref="R1002" r:id="rId4002" xr:uid="{00000000-0004-0000-0100-0000A10F0000}"/>
    <hyperlink ref="S1002" r:id="rId4003" xr:uid="{00000000-0004-0000-0100-0000A20F0000}"/>
    <hyperlink ref="T1002" r:id="rId4004" xr:uid="{00000000-0004-0000-0100-0000A30F0000}"/>
    <hyperlink ref="Q1003" r:id="rId4005" xr:uid="{00000000-0004-0000-0100-0000A40F0000}"/>
    <hyperlink ref="R1003" r:id="rId4006" xr:uid="{00000000-0004-0000-0100-0000A50F0000}"/>
    <hyperlink ref="S1003" r:id="rId4007" xr:uid="{00000000-0004-0000-0100-0000A60F0000}"/>
    <hyperlink ref="T1003" r:id="rId4008" xr:uid="{00000000-0004-0000-0100-0000A70F0000}"/>
    <hyperlink ref="Q1004" r:id="rId4009" xr:uid="{00000000-0004-0000-0100-0000A80F0000}"/>
    <hyperlink ref="R1004" r:id="rId4010" xr:uid="{00000000-0004-0000-0100-0000A90F0000}"/>
    <hyperlink ref="S1004" r:id="rId4011" xr:uid="{00000000-0004-0000-0100-0000AA0F0000}"/>
    <hyperlink ref="T1004" r:id="rId4012" xr:uid="{00000000-0004-0000-0100-0000AB0F0000}"/>
    <hyperlink ref="Q1005" r:id="rId4013" xr:uid="{00000000-0004-0000-0100-0000AC0F0000}"/>
    <hyperlink ref="R1005" r:id="rId4014" xr:uid="{00000000-0004-0000-0100-0000AD0F0000}"/>
    <hyperlink ref="S1005" r:id="rId4015" xr:uid="{00000000-0004-0000-0100-0000AE0F0000}"/>
    <hyperlink ref="T1005" r:id="rId4016" xr:uid="{00000000-0004-0000-0100-0000AF0F0000}"/>
    <hyperlink ref="Q1006" r:id="rId4017" xr:uid="{00000000-0004-0000-0100-0000B00F0000}"/>
    <hyperlink ref="R1006" r:id="rId4018" xr:uid="{00000000-0004-0000-0100-0000B10F0000}"/>
    <hyperlink ref="S1006" r:id="rId4019" xr:uid="{00000000-0004-0000-0100-0000B20F0000}"/>
    <hyperlink ref="T1006" r:id="rId4020" xr:uid="{00000000-0004-0000-0100-0000B30F0000}"/>
    <hyperlink ref="Q1007" r:id="rId4021" xr:uid="{00000000-0004-0000-0100-0000B40F0000}"/>
    <hyperlink ref="R1007" r:id="rId4022" xr:uid="{00000000-0004-0000-0100-0000B50F0000}"/>
    <hyperlink ref="S1007" r:id="rId4023" xr:uid="{00000000-0004-0000-0100-0000B60F0000}"/>
    <hyperlink ref="T1007" r:id="rId4024" xr:uid="{00000000-0004-0000-0100-0000B70F0000}"/>
    <hyperlink ref="Q1008" r:id="rId4025" xr:uid="{00000000-0004-0000-0100-0000B80F0000}"/>
    <hyperlink ref="R1008" r:id="rId4026" xr:uid="{00000000-0004-0000-0100-0000B90F0000}"/>
    <hyperlink ref="S1008" r:id="rId4027" xr:uid="{00000000-0004-0000-0100-0000BA0F0000}"/>
    <hyperlink ref="T1008" r:id="rId4028" xr:uid="{00000000-0004-0000-0100-0000BB0F0000}"/>
    <hyperlink ref="Q1009" r:id="rId4029" xr:uid="{00000000-0004-0000-0100-0000BC0F0000}"/>
    <hyperlink ref="R1009" r:id="rId4030" xr:uid="{00000000-0004-0000-0100-0000BD0F0000}"/>
    <hyperlink ref="S1009" r:id="rId4031" xr:uid="{00000000-0004-0000-0100-0000BE0F0000}"/>
    <hyperlink ref="T1009" r:id="rId4032" xr:uid="{00000000-0004-0000-0100-0000BF0F0000}"/>
    <hyperlink ref="Q1010" r:id="rId4033" xr:uid="{00000000-0004-0000-0100-0000C00F0000}"/>
    <hyperlink ref="R1010" r:id="rId4034" xr:uid="{00000000-0004-0000-0100-0000C10F0000}"/>
    <hyperlink ref="S1010" r:id="rId4035" xr:uid="{00000000-0004-0000-0100-0000C20F0000}"/>
    <hyperlink ref="T1010" r:id="rId4036" xr:uid="{00000000-0004-0000-0100-0000C30F0000}"/>
    <hyperlink ref="Q1011" r:id="rId4037" xr:uid="{00000000-0004-0000-0100-0000C40F0000}"/>
    <hyperlink ref="R1011" r:id="rId4038" xr:uid="{00000000-0004-0000-0100-0000C50F0000}"/>
    <hyperlink ref="S1011" r:id="rId4039" xr:uid="{00000000-0004-0000-0100-0000C60F0000}"/>
    <hyperlink ref="T1011" r:id="rId4040" xr:uid="{00000000-0004-0000-0100-0000C70F0000}"/>
    <hyperlink ref="Q1012" r:id="rId4041" xr:uid="{00000000-0004-0000-0100-0000C80F0000}"/>
    <hyperlink ref="R1012" r:id="rId4042" xr:uid="{00000000-0004-0000-0100-0000C90F0000}"/>
    <hyperlink ref="S1012" r:id="rId4043" xr:uid="{00000000-0004-0000-0100-0000CA0F0000}"/>
    <hyperlink ref="T1012" r:id="rId4044" xr:uid="{00000000-0004-0000-0100-0000CB0F0000}"/>
    <hyperlink ref="Q1013" r:id="rId4045" xr:uid="{00000000-0004-0000-0100-0000CC0F0000}"/>
    <hyperlink ref="R1013" r:id="rId4046" xr:uid="{00000000-0004-0000-0100-0000CD0F0000}"/>
    <hyperlink ref="S1013" r:id="rId4047" xr:uid="{00000000-0004-0000-0100-0000CE0F0000}"/>
    <hyperlink ref="T1013" r:id="rId4048" xr:uid="{00000000-0004-0000-0100-0000CF0F0000}"/>
    <hyperlink ref="Q1014" r:id="rId4049" xr:uid="{00000000-0004-0000-0100-0000D00F0000}"/>
    <hyperlink ref="R1014" r:id="rId4050" xr:uid="{00000000-0004-0000-0100-0000D10F0000}"/>
    <hyperlink ref="S1014" r:id="rId4051" xr:uid="{00000000-0004-0000-0100-0000D20F0000}"/>
    <hyperlink ref="T1014" r:id="rId4052" xr:uid="{00000000-0004-0000-0100-0000D30F0000}"/>
    <hyperlink ref="Q1015" r:id="rId4053" xr:uid="{00000000-0004-0000-0100-0000D40F0000}"/>
    <hyperlink ref="R1015" r:id="rId4054" xr:uid="{00000000-0004-0000-0100-0000D50F0000}"/>
    <hyperlink ref="S1015" r:id="rId4055" xr:uid="{00000000-0004-0000-0100-0000D60F0000}"/>
    <hyperlink ref="T1015" r:id="rId4056" xr:uid="{00000000-0004-0000-0100-0000D70F0000}"/>
    <hyperlink ref="Q1016" r:id="rId4057" xr:uid="{00000000-0004-0000-0100-0000D80F0000}"/>
    <hyperlink ref="R1016" r:id="rId4058" xr:uid="{00000000-0004-0000-0100-0000D90F0000}"/>
    <hyperlink ref="S1016" r:id="rId4059" xr:uid="{00000000-0004-0000-0100-0000DA0F0000}"/>
    <hyperlink ref="T1016" r:id="rId4060" xr:uid="{00000000-0004-0000-0100-0000DB0F0000}"/>
    <hyperlink ref="Q1017" r:id="rId4061" xr:uid="{00000000-0004-0000-0100-0000DC0F0000}"/>
    <hyperlink ref="R1017" r:id="rId4062" xr:uid="{00000000-0004-0000-0100-0000DD0F0000}"/>
    <hyperlink ref="S1017" r:id="rId4063" xr:uid="{00000000-0004-0000-0100-0000DE0F0000}"/>
    <hyperlink ref="T1017" r:id="rId4064" xr:uid="{00000000-0004-0000-0100-0000DF0F0000}"/>
    <hyperlink ref="Q1018" r:id="rId4065" xr:uid="{00000000-0004-0000-0100-0000E00F0000}"/>
    <hyperlink ref="R1018" r:id="rId4066" xr:uid="{00000000-0004-0000-0100-0000E10F0000}"/>
    <hyperlink ref="S1018" r:id="rId4067" xr:uid="{00000000-0004-0000-0100-0000E20F0000}"/>
    <hyperlink ref="T1018" r:id="rId4068" xr:uid="{00000000-0004-0000-0100-0000E30F0000}"/>
    <hyperlink ref="Q1019" r:id="rId4069" xr:uid="{00000000-0004-0000-0100-0000E40F0000}"/>
    <hyperlink ref="R1019" r:id="rId4070" xr:uid="{00000000-0004-0000-0100-0000E50F0000}"/>
    <hyperlink ref="S1019" r:id="rId4071" xr:uid="{00000000-0004-0000-0100-0000E60F0000}"/>
    <hyperlink ref="T1019" r:id="rId4072" xr:uid="{00000000-0004-0000-0100-0000E70F0000}"/>
    <hyperlink ref="Q1020" r:id="rId4073" xr:uid="{00000000-0004-0000-0100-0000E80F0000}"/>
    <hyperlink ref="R1020" r:id="rId4074" xr:uid="{00000000-0004-0000-0100-0000E90F0000}"/>
    <hyperlink ref="S1020" r:id="rId4075" xr:uid="{00000000-0004-0000-0100-0000EA0F0000}"/>
    <hyperlink ref="T1020" r:id="rId4076" xr:uid="{00000000-0004-0000-0100-0000EB0F0000}"/>
    <hyperlink ref="Q1021" r:id="rId4077" xr:uid="{00000000-0004-0000-0100-0000EC0F0000}"/>
    <hyperlink ref="R1021" r:id="rId4078" xr:uid="{00000000-0004-0000-0100-0000ED0F0000}"/>
    <hyperlink ref="S1021" r:id="rId4079" xr:uid="{00000000-0004-0000-0100-0000EE0F0000}"/>
    <hyperlink ref="T1021" r:id="rId4080" xr:uid="{00000000-0004-0000-0100-0000EF0F0000}"/>
    <hyperlink ref="Q1022" r:id="rId4081" xr:uid="{00000000-0004-0000-0100-0000F00F0000}"/>
    <hyperlink ref="R1022" r:id="rId4082" xr:uid="{00000000-0004-0000-0100-0000F10F0000}"/>
    <hyperlink ref="S1022" r:id="rId4083" xr:uid="{00000000-0004-0000-0100-0000F20F0000}"/>
    <hyperlink ref="T1022" r:id="rId4084" xr:uid="{00000000-0004-0000-0100-0000F30F0000}"/>
    <hyperlink ref="Q1023" r:id="rId4085" xr:uid="{00000000-0004-0000-0100-0000F40F0000}"/>
    <hyperlink ref="R1023" r:id="rId4086" xr:uid="{00000000-0004-0000-0100-0000F50F0000}"/>
    <hyperlink ref="S1023" r:id="rId4087" xr:uid="{00000000-0004-0000-0100-0000F60F0000}"/>
    <hyperlink ref="T1023" r:id="rId4088" xr:uid="{00000000-0004-0000-0100-0000F70F0000}"/>
    <hyperlink ref="Q1024" r:id="rId4089" xr:uid="{00000000-0004-0000-0100-0000F80F0000}"/>
    <hyperlink ref="R1024" r:id="rId4090" xr:uid="{00000000-0004-0000-0100-0000F90F0000}"/>
    <hyperlink ref="S1024" r:id="rId4091" xr:uid="{00000000-0004-0000-0100-0000FA0F0000}"/>
    <hyperlink ref="T1024" r:id="rId4092" xr:uid="{00000000-0004-0000-0100-0000FB0F0000}"/>
    <hyperlink ref="Q1025" r:id="rId4093" xr:uid="{00000000-0004-0000-0100-0000FC0F0000}"/>
    <hyperlink ref="R1025" r:id="rId4094" xr:uid="{00000000-0004-0000-0100-0000FD0F0000}"/>
    <hyperlink ref="S1025" r:id="rId4095" xr:uid="{00000000-0004-0000-0100-0000FE0F0000}"/>
    <hyperlink ref="T1025" r:id="rId4096" xr:uid="{00000000-0004-0000-0100-0000FF0F0000}"/>
    <hyperlink ref="Q1026" r:id="rId4097" xr:uid="{00000000-0004-0000-0100-000000100000}"/>
    <hyperlink ref="R1026" r:id="rId4098" xr:uid="{00000000-0004-0000-0100-000001100000}"/>
    <hyperlink ref="S1026" r:id="rId4099" xr:uid="{00000000-0004-0000-0100-000002100000}"/>
    <hyperlink ref="T1026" r:id="rId4100" xr:uid="{00000000-0004-0000-0100-000003100000}"/>
    <hyperlink ref="Q1027" r:id="rId4101" xr:uid="{00000000-0004-0000-0100-000004100000}"/>
    <hyperlink ref="R1027" r:id="rId4102" xr:uid="{00000000-0004-0000-0100-000005100000}"/>
    <hyperlink ref="S1027" r:id="rId4103" xr:uid="{00000000-0004-0000-0100-000006100000}"/>
    <hyperlink ref="T1027" r:id="rId4104" xr:uid="{00000000-0004-0000-0100-000007100000}"/>
    <hyperlink ref="Q1028" r:id="rId4105" xr:uid="{00000000-0004-0000-0100-000008100000}"/>
    <hyperlink ref="R1028" r:id="rId4106" xr:uid="{00000000-0004-0000-0100-000009100000}"/>
    <hyperlink ref="S1028" r:id="rId4107" xr:uid="{00000000-0004-0000-0100-00000A100000}"/>
    <hyperlink ref="T1028" r:id="rId4108" xr:uid="{00000000-0004-0000-0100-00000B100000}"/>
    <hyperlink ref="Q1029" r:id="rId4109" xr:uid="{00000000-0004-0000-0100-00000C100000}"/>
    <hyperlink ref="R1029" r:id="rId4110" xr:uid="{00000000-0004-0000-0100-00000D100000}"/>
    <hyperlink ref="S1029" r:id="rId4111" xr:uid="{00000000-0004-0000-0100-00000E100000}"/>
    <hyperlink ref="T1029" r:id="rId4112" xr:uid="{00000000-0004-0000-0100-00000F100000}"/>
    <hyperlink ref="Q1030" r:id="rId4113" xr:uid="{00000000-0004-0000-0100-000010100000}"/>
    <hyperlink ref="R1030" r:id="rId4114" xr:uid="{00000000-0004-0000-0100-000011100000}"/>
    <hyperlink ref="S1030" r:id="rId4115" xr:uid="{00000000-0004-0000-0100-000012100000}"/>
    <hyperlink ref="T1030" r:id="rId4116" xr:uid="{00000000-0004-0000-0100-000013100000}"/>
    <hyperlink ref="Q1031" r:id="rId4117" xr:uid="{00000000-0004-0000-0100-000014100000}"/>
    <hyperlink ref="R1031" r:id="rId4118" xr:uid="{00000000-0004-0000-0100-000015100000}"/>
    <hyperlink ref="S1031" r:id="rId4119" xr:uid="{00000000-0004-0000-0100-000016100000}"/>
    <hyperlink ref="T1031" r:id="rId4120" xr:uid="{00000000-0004-0000-0100-000017100000}"/>
    <hyperlink ref="Q1032" r:id="rId4121" xr:uid="{00000000-0004-0000-0100-000018100000}"/>
    <hyperlink ref="R1032" r:id="rId4122" xr:uid="{00000000-0004-0000-0100-000019100000}"/>
    <hyperlink ref="S1032" r:id="rId4123" xr:uid="{00000000-0004-0000-0100-00001A100000}"/>
    <hyperlink ref="T1032" r:id="rId4124" xr:uid="{00000000-0004-0000-0100-00001B100000}"/>
    <hyperlink ref="Q1033" r:id="rId4125" xr:uid="{00000000-0004-0000-0100-00001C100000}"/>
    <hyperlink ref="R1033" r:id="rId4126" xr:uid="{00000000-0004-0000-0100-00001D100000}"/>
    <hyperlink ref="S1033" r:id="rId4127" xr:uid="{00000000-0004-0000-0100-00001E100000}"/>
    <hyperlink ref="T1033" r:id="rId4128" xr:uid="{00000000-0004-0000-0100-00001F100000}"/>
    <hyperlink ref="Q1034" r:id="rId4129" xr:uid="{00000000-0004-0000-0100-000020100000}"/>
    <hyperlink ref="R1034" r:id="rId4130" xr:uid="{00000000-0004-0000-0100-000021100000}"/>
    <hyperlink ref="S1034" r:id="rId4131" xr:uid="{00000000-0004-0000-0100-000022100000}"/>
    <hyperlink ref="T1034" r:id="rId4132" xr:uid="{00000000-0004-0000-0100-000023100000}"/>
    <hyperlink ref="Q1035" r:id="rId4133" xr:uid="{00000000-0004-0000-0100-000024100000}"/>
    <hyperlink ref="R1035" r:id="rId4134" xr:uid="{00000000-0004-0000-0100-000025100000}"/>
    <hyperlink ref="S1035" r:id="rId4135" xr:uid="{00000000-0004-0000-0100-000026100000}"/>
    <hyperlink ref="T1035" r:id="rId4136" xr:uid="{00000000-0004-0000-0100-000027100000}"/>
    <hyperlink ref="Q1036" r:id="rId4137" xr:uid="{00000000-0004-0000-0100-000028100000}"/>
    <hyperlink ref="R1036" r:id="rId4138" xr:uid="{00000000-0004-0000-0100-000029100000}"/>
    <hyperlink ref="S1036" r:id="rId4139" xr:uid="{00000000-0004-0000-0100-00002A100000}"/>
    <hyperlink ref="T1036" r:id="rId4140" xr:uid="{00000000-0004-0000-0100-00002B100000}"/>
    <hyperlink ref="Q1037" r:id="rId4141" xr:uid="{00000000-0004-0000-0100-00002C100000}"/>
    <hyperlink ref="R1037" r:id="rId4142" xr:uid="{00000000-0004-0000-0100-00002D100000}"/>
    <hyperlink ref="S1037" r:id="rId4143" xr:uid="{00000000-0004-0000-0100-00002E100000}"/>
    <hyperlink ref="T1037" r:id="rId4144" xr:uid="{00000000-0004-0000-0100-00002F100000}"/>
    <hyperlink ref="Q1038" r:id="rId4145" xr:uid="{00000000-0004-0000-0100-000030100000}"/>
    <hyperlink ref="R1038" r:id="rId4146" xr:uid="{00000000-0004-0000-0100-000031100000}"/>
    <hyperlink ref="S1038" r:id="rId4147" xr:uid="{00000000-0004-0000-0100-000032100000}"/>
    <hyperlink ref="T1038" r:id="rId4148" xr:uid="{00000000-0004-0000-0100-000033100000}"/>
    <hyperlink ref="Q1039" r:id="rId4149" xr:uid="{00000000-0004-0000-0100-000034100000}"/>
    <hyperlink ref="R1039" r:id="rId4150" xr:uid="{00000000-0004-0000-0100-000035100000}"/>
    <hyperlink ref="S1039" r:id="rId4151" xr:uid="{00000000-0004-0000-0100-000036100000}"/>
    <hyperlink ref="T1039" r:id="rId4152" xr:uid="{00000000-0004-0000-0100-000037100000}"/>
    <hyperlink ref="Q1040" r:id="rId4153" xr:uid="{00000000-0004-0000-0100-000038100000}"/>
    <hyperlink ref="R1040" r:id="rId4154" xr:uid="{00000000-0004-0000-0100-000039100000}"/>
    <hyperlink ref="S1040" r:id="rId4155" xr:uid="{00000000-0004-0000-0100-00003A100000}"/>
    <hyperlink ref="T1040" r:id="rId4156" xr:uid="{00000000-0004-0000-0100-00003B100000}"/>
    <hyperlink ref="Q1041" r:id="rId4157" xr:uid="{00000000-0004-0000-0100-00003C100000}"/>
    <hyperlink ref="R1041" r:id="rId4158" xr:uid="{00000000-0004-0000-0100-00003D100000}"/>
    <hyperlink ref="S1041" r:id="rId4159" xr:uid="{00000000-0004-0000-0100-00003E100000}"/>
    <hyperlink ref="T1041" r:id="rId4160" xr:uid="{00000000-0004-0000-0100-00003F100000}"/>
    <hyperlink ref="Q1042" r:id="rId4161" xr:uid="{00000000-0004-0000-0100-000040100000}"/>
    <hyperlink ref="R1042" r:id="rId4162" xr:uid="{00000000-0004-0000-0100-000041100000}"/>
    <hyperlink ref="S1042" r:id="rId4163" xr:uid="{00000000-0004-0000-0100-000042100000}"/>
    <hyperlink ref="T1042" r:id="rId4164" xr:uid="{00000000-0004-0000-0100-000043100000}"/>
    <hyperlink ref="Q1043" r:id="rId4165" xr:uid="{00000000-0004-0000-0100-000044100000}"/>
    <hyperlink ref="R1043" r:id="rId4166" xr:uid="{00000000-0004-0000-0100-000045100000}"/>
    <hyperlink ref="S1043" r:id="rId4167" xr:uid="{00000000-0004-0000-0100-000046100000}"/>
    <hyperlink ref="T1043" r:id="rId4168" xr:uid="{00000000-0004-0000-0100-000047100000}"/>
    <hyperlink ref="Q1044" r:id="rId4169" xr:uid="{00000000-0004-0000-0100-000048100000}"/>
    <hyperlink ref="R1044" r:id="rId4170" xr:uid="{00000000-0004-0000-0100-000049100000}"/>
    <hyperlink ref="S1044" r:id="rId4171" xr:uid="{00000000-0004-0000-0100-00004A100000}"/>
    <hyperlink ref="T1044" r:id="rId4172" xr:uid="{00000000-0004-0000-0100-00004B100000}"/>
    <hyperlink ref="Q1045" r:id="rId4173" xr:uid="{00000000-0004-0000-0100-00004C100000}"/>
    <hyperlink ref="R1045" r:id="rId4174" xr:uid="{00000000-0004-0000-0100-00004D100000}"/>
    <hyperlink ref="S1045" r:id="rId4175" xr:uid="{00000000-0004-0000-0100-00004E100000}"/>
    <hyperlink ref="T1045" r:id="rId4176" xr:uid="{00000000-0004-0000-0100-00004F100000}"/>
    <hyperlink ref="Q1046" r:id="rId4177" xr:uid="{00000000-0004-0000-0100-000050100000}"/>
    <hyperlink ref="R1046" r:id="rId4178" xr:uid="{00000000-0004-0000-0100-000051100000}"/>
    <hyperlink ref="S1046" r:id="rId4179" xr:uid="{00000000-0004-0000-0100-000052100000}"/>
    <hyperlink ref="T1046" r:id="rId4180" xr:uid="{00000000-0004-0000-0100-000053100000}"/>
    <hyperlink ref="Q1047" r:id="rId4181" xr:uid="{00000000-0004-0000-0100-000054100000}"/>
    <hyperlink ref="R1047" r:id="rId4182" xr:uid="{00000000-0004-0000-0100-000055100000}"/>
    <hyperlink ref="S1047" r:id="rId4183" xr:uid="{00000000-0004-0000-0100-000056100000}"/>
    <hyperlink ref="T1047" r:id="rId4184" xr:uid="{00000000-0004-0000-0100-000057100000}"/>
    <hyperlink ref="Q1048" r:id="rId4185" xr:uid="{00000000-0004-0000-0100-000058100000}"/>
    <hyperlink ref="R1048" r:id="rId4186" xr:uid="{00000000-0004-0000-0100-000059100000}"/>
    <hyperlink ref="S1048" r:id="rId4187" xr:uid="{00000000-0004-0000-0100-00005A100000}"/>
    <hyperlink ref="T1048" r:id="rId4188" xr:uid="{00000000-0004-0000-0100-00005B100000}"/>
    <hyperlink ref="Q1049" r:id="rId4189" xr:uid="{00000000-0004-0000-0100-00005C100000}"/>
    <hyperlink ref="R1049" r:id="rId4190" xr:uid="{00000000-0004-0000-0100-00005D100000}"/>
    <hyperlink ref="S1049" r:id="rId4191" xr:uid="{00000000-0004-0000-0100-00005E100000}"/>
    <hyperlink ref="T1049" r:id="rId4192" xr:uid="{00000000-0004-0000-0100-00005F100000}"/>
    <hyperlink ref="Q1050" r:id="rId4193" xr:uid="{00000000-0004-0000-0100-000060100000}"/>
    <hyperlink ref="R1050" r:id="rId4194" xr:uid="{00000000-0004-0000-0100-000061100000}"/>
    <hyperlink ref="S1050" r:id="rId4195" xr:uid="{00000000-0004-0000-0100-000062100000}"/>
    <hyperlink ref="T1050" r:id="rId4196" xr:uid="{00000000-0004-0000-0100-000063100000}"/>
    <hyperlink ref="Q1051" r:id="rId4197" xr:uid="{00000000-0004-0000-0100-000064100000}"/>
    <hyperlink ref="R1051" r:id="rId4198" xr:uid="{00000000-0004-0000-0100-000065100000}"/>
    <hyperlink ref="S1051" r:id="rId4199" xr:uid="{00000000-0004-0000-0100-000066100000}"/>
    <hyperlink ref="T1051" r:id="rId4200" xr:uid="{00000000-0004-0000-0100-000067100000}"/>
    <hyperlink ref="Q1052" r:id="rId4201" xr:uid="{00000000-0004-0000-0100-000068100000}"/>
    <hyperlink ref="R1052" r:id="rId4202" xr:uid="{00000000-0004-0000-0100-000069100000}"/>
    <hyperlink ref="S1052" r:id="rId4203" xr:uid="{00000000-0004-0000-0100-00006A100000}"/>
    <hyperlink ref="T1052" r:id="rId4204" xr:uid="{00000000-0004-0000-0100-00006B100000}"/>
    <hyperlink ref="Q1053" r:id="rId4205" xr:uid="{00000000-0004-0000-0100-00006C100000}"/>
    <hyperlink ref="R1053" r:id="rId4206" xr:uid="{00000000-0004-0000-0100-00006D100000}"/>
    <hyperlink ref="S1053" r:id="rId4207" xr:uid="{00000000-0004-0000-0100-00006E100000}"/>
    <hyperlink ref="T1053" r:id="rId4208" xr:uid="{00000000-0004-0000-0100-00006F100000}"/>
    <hyperlink ref="Q1054" r:id="rId4209" xr:uid="{00000000-0004-0000-0100-000070100000}"/>
    <hyperlink ref="R1054" r:id="rId4210" xr:uid="{00000000-0004-0000-0100-000071100000}"/>
    <hyperlink ref="S1054" r:id="rId4211" xr:uid="{00000000-0004-0000-0100-000072100000}"/>
    <hyperlink ref="T1054" r:id="rId4212" xr:uid="{00000000-0004-0000-0100-000073100000}"/>
    <hyperlink ref="Q1055" r:id="rId4213" xr:uid="{00000000-0004-0000-0100-000074100000}"/>
    <hyperlink ref="R1055" r:id="rId4214" xr:uid="{00000000-0004-0000-0100-000075100000}"/>
    <hyperlink ref="S1055" r:id="rId4215" xr:uid="{00000000-0004-0000-0100-000076100000}"/>
    <hyperlink ref="T1055" r:id="rId4216" xr:uid="{00000000-0004-0000-0100-000077100000}"/>
    <hyperlink ref="Q1056" r:id="rId4217" xr:uid="{00000000-0004-0000-0100-000078100000}"/>
    <hyperlink ref="R1056" r:id="rId4218" xr:uid="{00000000-0004-0000-0100-000079100000}"/>
    <hyperlink ref="S1056" r:id="rId4219" xr:uid="{00000000-0004-0000-0100-00007A100000}"/>
    <hyperlink ref="T1056" r:id="rId4220" xr:uid="{00000000-0004-0000-0100-00007B100000}"/>
    <hyperlink ref="Q1057" r:id="rId4221" xr:uid="{00000000-0004-0000-0100-00007C100000}"/>
    <hyperlink ref="R1057" r:id="rId4222" xr:uid="{00000000-0004-0000-0100-00007D100000}"/>
    <hyperlink ref="S1057" r:id="rId4223" xr:uid="{00000000-0004-0000-0100-00007E100000}"/>
    <hyperlink ref="T1057" r:id="rId4224" xr:uid="{00000000-0004-0000-0100-00007F100000}"/>
    <hyperlink ref="Q1058" r:id="rId4225" xr:uid="{00000000-0004-0000-0100-000080100000}"/>
    <hyperlink ref="R1058" r:id="rId4226" xr:uid="{00000000-0004-0000-0100-000081100000}"/>
    <hyperlink ref="S1058" r:id="rId4227" xr:uid="{00000000-0004-0000-0100-000082100000}"/>
    <hyperlink ref="T1058" r:id="rId4228" xr:uid="{00000000-0004-0000-0100-000083100000}"/>
    <hyperlink ref="Q1059" r:id="rId4229" xr:uid="{00000000-0004-0000-0100-000084100000}"/>
    <hyperlink ref="R1059" r:id="rId4230" xr:uid="{00000000-0004-0000-0100-000085100000}"/>
    <hyperlink ref="S1059" r:id="rId4231" xr:uid="{00000000-0004-0000-0100-000086100000}"/>
    <hyperlink ref="T1059" r:id="rId4232" xr:uid="{00000000-0004-0000-0100-000087100000}"/>
    <hyperlink ref="Q1060" r:id="rId4233" xr:uid="{00000000-0004-0000-0100-000088100000}"/>
    <hyperlink ref="R1060" r:id="rId4234" xr:uid="{00000000-0004-0000-0100-000089100000}"/>
    <hyperlink ref="S1060" r:id="rId4235" xr:uid="{00000000-0004-0000-0100-00008A100000}"/>
    <hyperlink ref="T1060" r:id="rId4236" xr:uid="{00000000-0004-0000-0100-00008B100000}"/>
    <hyperlink ref="Q1061" r:id="rId4237" xr:uid="{00000000-0004-0000-0100-00008C100000}"/>
    <hyperlink ref="R1061" r:id="rId4238" xr:uid="{00000000-0004-0000-0100-00008D100000}"/>
    <hyperlink ref="S1061" r:id="rId4239" xr:uid="{00000000-0004-0000-0100-00008E100000}"/>
    <hyperlink ref="T1061" r:id="rId4240" xr:uid="{00000000-0004-0000-0100-00008F100000}"/>
    <hyperlink ref="Q1062" r:id="rId4241" xr:uid="{00000000-0004-0000-0100-000090100000}"/>
    <hyperlink ref="R1062" r:id="rId4242" xr:uid="{00000000-0004-0000-0100-000091100000}"/>
    <hyperlink ref="S1062" r:id="rId4243" xr:uid="{00000000-0004-0000-0100-000092100000}"/>
    <hyperlink ref="T1062" r:id="rId4244" xr:uid="{00000000-0004-0000-0100-000093100000}"/>
    <hyperlink ref="Q1063" r:id="rId4245" xr:uid="{00000000-0004-0000-0100-000094100000}"/>
    <hyperlink ref="R1063" r:id="rId4246" xr:uid="{00000000-0004-0000-0100-000095100000}"/>
    <hyperlink ref="S1063" r:id="rId4247" xr:uid="{00000000-0004-0000-0100-000096100000}"/>
    <hyperlink ref="T1063" r:id="rId4248" xr:uid="{00000000-0004-0000-0100-000097100000}"/>
    <hyperlink ref="Q1064" r:id="rId4249" xr:uid="{00000000-0004-0000-0100-000098100000}"/>
    <hyperlink ref="R1064" r:id="rId4250" xr:uid="{00000000-0004-0000-0100-000099100000}"/>
    <hyperlink ref="S1064" r:id="rId4251" xr:uid="{00000000-0004-0000-0100-00009A100000}"/>
    <hyperlink ref="T1064" r:id="rId4252" xr:uid="{00000000-0004-0000-0100-00009B100000}"/>
    <hyperlink ref="Q1065" r:id="rId4253" xr:uid="{00000000-0004-0000-0100-00009C100000}"/>
    <hyperlink ref="R1065" r:id="rId4254" xr:uid="{00000000-0004-0000-0100-00009D100000}"/>
    <hyperlink ref="S1065" r:id="rId4255" xr:uid="{00000000-0004-0000-0100-00009E100000}"/>
    <hyperlink ref="T1065" r:id="rId4256" xr:uid="{00000000-0004-0000-0100-00009F100000}"/>
    <hyperlink ref="Q1066" r:id="rId4257" xr:uid="{00000000-0004-0000-0100-0000A0100000}"/>
    <hyperlink ref="R1066" r:id="rId4258" xr:uid="{00000000-0004-0000-0100-0000A1100000}"/>
    <hyperlink ref="S1066" r:id="rId4259" xr:uid="{00000000-0004-0000-0100-0000A2100000}"/>
    <hyperlink ref="T1066" r:id="rId4260" xr:uid="{00000000-0004-0000-0100-0000A3100000}"/>
    <hyperlink ref="Q1067" r:id="rId4261" xr:uid="{00000000-0004-0000-0100-0000A4100000}"/>
    <hyperlink ref="R1067" r:id="rId4262" xr:uid="{00000000-0004-0000-0100-0000A5100000}"/>
    <hyperlink ref="S1067" r:id="rId4263" xr:uid="{00000000-0004-0000-0100-0000A6100000}"/>
    <hyperlink ref="T1067" r:id="rId4264" xr:uid="{00000000-0004-0000-0100-0000A7100000}"/>
    <hyperlink ref="Q1068" r:id="rId4265" xr:uid="{00000000-0004-0000-0100-0000A8100000}"/>
    <hyperlink ref="R1068" r:id="rId4266" xr:uid="{00000000-0004-0000-0100-0000A9100000}"/>
    <hyperlink ref="S1068" r:id="rId4267" xr:uid="{00000000-0004-0000-0100-0000AA100000}"/>
    <hyperlink ref="T1068" r:id="rId4268" xr:uid="{00000000-0004-0000-0100-0000AB100000}"/>
    <hyperlink ref="Q1069" r:id="rId4269" xr:uid="{00000000-0004-0000-0100-0000AC100000}"/>
    <hyperlink ref="R1069" r:id="rId4270" xr:uid="{00000000-0004-0000-0100-0000AD100000}"/>
    <hyperlink ref="S1069" r:id="rId4271" xr:uid="{00000000-0004-0000-0100-0000AE100000}"/>
    <hyperlink ref="T1069" r:id="rId4272" xr:uid="{00000000-0004-0000-0100-0000AF100000}"/>
    <hyperlink ref="Q1070" r:id="rId4273" xr:uid="{00000000-0004-0000-0100-0000B0100000}"/>
    <hyperlink ref="R1070" r:id="rId4274" xr:uid="{00000000-0004-0000-0100-0000B1100000}"/>
    <hyperlink ref="S1070" r:id="rId4275" xr:uid="{00000000-0004-0000-0100-0000B2100000}"/>
    <hyperlink ref="T1070" r:id="rId4276" xr:uid="{00000000-0004-0000-0100-0000B3100000}"/>
    <hyperlink ref="Q1071" r:id="rId4277" xr:uid="{00000000-0004-0000-0100-0000B4100000}"/>
    <hyperlink ref="R1071" r:id="rId4278" xr:uid="{00000000-0004-0000-0100-0000B5100000}"/>
    <hyperlink ref="S1071" r:id="rId4279" xr:uid="{00000000-0004-0000-0100-0000B6100000}"/>
    <hyperlink ref="T1071" r:id="rId4280" xr:uid="{00000000-0004-0000-0100-0000B7100000}"/>
    <hyperlink ref="Q1072" r:id="rId4281" xr:uid="{00000000-0004-0000-0100-0000B8100000}"/>
    <hyperlink ref="R1072" r:id="rId4282" xr:uid="{00000000-0004-0000-0100-0000B9100000}"/>
    <hyperlink ref="S1072" r:id="rId4283" xr:uid="{00000000-0004-0000-0100-0000BA100000}"/>
    <hyperlink ref="T1072" r:id="rId4284" xr:uid="{00000000-0004-0000-0100-0000BB100000}"/>
    <hyperlink ref="Q1073" r:id="rId4285" xr:uid="{00000000-0004-0000-0100-0000BC100000}"/>
    <hyperlink ref="R1073" r:id="rId4286" xr:uid="{00000000-0004-0000-0100-0000BD100000}"/>
    <hyperlink ref="S1073" r:id="rId4287" xr:uid="{00000000-0004-0000-0100-0000BE100000}"/>
    <hyperlink ref="T1073" r:id="rId4288" xr:uid="{00000000-0004-0000-0100-0000BF100000}"/>
    <hyperlink ref="Q1074" r:id="rId4289" xr:uid="{00000000-0004-0000-0100-0000C0100000}"/>
    <hyperlink ref="R1074" r:id="rId4290" xr:uid="{00000000-0004-0000-0100-0000C1100000}"/>
    <hyperlink ref="S1074" r:id="rId4291" xr:uid="{00000000-0004-0000-0100-0000C2100000}"/>
    <hyperlink ref="T1074" r:id="rId4292" xr:uid="{00000000-0004-0000-0100-0000C3100000}"/>
    <hyperlink ref="Q1075" r:id="rId4293" xr:uid="{00000000-0004-0000-0100-0000C4100000}"/>
    <hyperlink ref="R1075" r:id="rId4294" xr:uid="{00000000-0004-0000-0100-0000C5100000}"/>
    <hyperlink ref="S1075" r:id="rId4295" xr:uid="{00000000-0004-0000-0100-0000C6100000}"/>
    <hyperlink ref="T1075" r:id="rId4296" xr:uid="{00000000-0004-0000-0100-0000C7100000}"/>
    <hyperlink ref="Q1076" r:id="rId4297" xr:uid="{00000000-0004-0000-0100-0000C8100000}"/>
    <hyperlink ref="R1076" r:id="rId4298" xr:uid="{00000000-0004-0000-0100-0000C9100000}"/>
    <hyperlink ref="S1076" r:id="rId4299" xr:uid="{00000000-0004-0000-0100-0000CA100000}"/>
    <hyperlink ref="T1076" r:id="rId4300" xr:uid="{00000000-0004-0000-0100-0000CB100000}"/>
    <hyperlink ref="Q1077" r:id="rId4301" xr:uid="{00000000-0004-0000-0100-0000CC100000}"/>
    <hyperlink ref="R1077" r:id="rId4302" xr:uid="{00000000-0004-0000-0100-0000CD100000}"/>
    <hyperlink ref="S1077" r:id="rId4303" xr:uid="{00000000-0004-0000-0100-0000CE100000}"/>
    <hyperlink ref="T1077" r:id="rId4304" xr:uid="{00000000-0004-0000-0100-0000CF100000}"/>
    <hyperlink ref="Q1078" r:id="rId4305" xr:uid="{00000000-0004-0000-0100-0000D0100000}"/>
    <hyperlink ref="R1078" r:id="rId4306" xr:uid="{00000000-0004-0000-0100-0000D1100000}"/>
    <hyperlink ref="S1078" r:id="rId4307" xr:uid="{00000000-0004-0000-0100-0000D2100000}"/>
    <hyperlink ref="T1078" r:id="rId4308" xr:uid="{00000000-0004-0000-0100-0000D3100000}"/>
    <hyperlink ref="Q1079" r:id="rId4309" xr:uid="{00000000-0004-0000-0100-0000D4100000}"/>
    <hyperlink ref="R1079" r:id="rId4310" xr:uid="{00000000-0004-0000-0100-0000D5100000}"/>
    <hyperlink ref="S1079" r:id="rId4311" xr:uid="{00000000-0004-0000-0100-0000D6100000}"/>
    <hyperlink ref="T1079" r:id="rId4312" xr:uid="{00000000-0004-0000-0100-0000D7100000}"/>
    <hyperlink ref="Q1080" r:id="rId4313" xr:uid="{00000000-0004-0000-0100-0000D8100000}"/>
    <hyperlink ref="R1080" r:id="rId4314" xr:uid="{00000000-0004-0000-0100-0000D9100000}"/>
    <hyperlink ref="S1080" r:id="rId4315" xr:uid="{00000000-0004-0000-0100-0000DA100000}"/>
    <hyperlink ref="T1080" r:id="rId4316" xr:uid="{00000000-0004-0000-0100-0000DB100000}"/>
    <hyperlink ref="Q1081" r:id="rId4317" xr:uid="{00000000-0004-0000-0100-0000DC100000}"/>
    <hyperlink ref="R1081" r:id="rId4318" xr:uid="{00000000-0004-0000-0100-0000DD100000}"/>
    <hyperlink ref="S1081" r:id="rId4319" xr:uid="{00000000-0004-0000-0100-0000DE100000}"/>
    <hyperlink ref="T1081" r:id="rId4320" xr:uid="{00000000-0004-0000-0100-0000DF100000}"/>
    <hyperlink ref="Q1082" r:id="rId4321" xr:uid="{00000000-0004-0000-0100-0000E0100000}"/>
    <hyperlink ref="R1082" r:id="rId4322" xr:uid="{00000000-0004-0000-0100-0000E1100000}"/>
    <hyperlink ref="S1082" r:id="rId4323" xr:uid="{00000000-0004-0000-0100-0000E2100000}"/>
    <hyperlink ref="T1082" r:id="rId4324" xr:uid="{00000000-0004-0000-0100-0000E3100000}"/>
    <hyperlink ref="Q1083" r:id="rId4325" xr:uid="{00000000-0004-0000-0100-0000E4100000}"/>
    <hyperlink ref="R1083" r:id="rId4326" xr:uid="{00000000-0004-0000-0100-0000E5100000}"/>
    <hyperlink ref="S1083" r:id="rId4327" xr:uid="{00000000-0004-0000-0100-0000E6100000}"/>
    <hyperlink ref="T1083" r:id="rId4328" xr:uid="{00000000-0004-0000-0100-0000E7100000}"/>
    <hyperlink ref="Q1084" r:id="rId4329" xr:uid="{00000000-0004-0000-0100-0000E8100000}"/>
    <hyperlink ref="R1084" r:id="rId4330" xr:uid="{00000000-0004-0000-0100-0000E9100000}"/>
    <hyperlink ref="S1084" r:id="rId4331" xr:uid="{00000000-0004-0000-0100-0000EA100000}"/>
    <hyperlink ref="T1084" r:id="rId4332" xr:uid="{00000000-0004-0000-0100-0000EB100000}"/>
    <hyperlink ref="Q1085" r:id="rId4333" xr:uid="{00000000-0004-0000-0100-0000EC100000}"/>
    <hyperlink ref="R1085" r:id="rId4334" xr:uid="{00000000-0004-0000-0100-0000ED100000}"/>
    <hyperlink ref="S1085" r:id="rId4335" xr:uid="{00000000-0004-0000-0100-0000EE100000}"/>
    <hyperlink ref="T1085" r:id="rId4336" xr:uid="{00000000-0004-0000-0100-0000EF100000}"/>
    <hyperlink ref="Q1086" r:id="rId4337" xr:uid="{00000000-0004-0000-0100-0000F0100000}"/>
    <hyperlink ref="R1086" r:id="rId4338" xr:uid="{00000000-0004-0000-0100-0000F1100000}"/>
    <hyperlink ref="S1086" r:id="rId4339" xr:uid="{00000000-0004-0000-0100-0000F2100000}"/>
    <hyperlink ref="T1086" r:id="rId4340" xr:uid="{00000000-0004-0000-0100-0000F3100000}"/>
    <hyperlink ref="Q1087" r:id="rId4341" xr:uid="{00000000-0004-0000-0100-0000F4100000}"/>
    <hyperlink ref="R1087" r:id="rId4342" xr:uid="{00000000-0004-0000-0100-0000F5100000}"/>
    <hyperlink ref="S1087" r:id="rId4343" xr:uid="{00000000-0004-0000-0100-0000F6100000}"/>
    <hyperlink ref="T1087" r:id="rId4344" xr:uid="{00000000-0004-0000-0100-0000F7100000}"/>
    <hyperlink ref="Q1088" r:id="rId4345" xr:uid="{00000000-0004-0000-0100-0000F8100000}"/>
    <hyperlink ref="R1088" r:id="rId4346" xr:uid="{00000000-0004-0000-0100-0000F9100000}"/>
    <hyperlink ref="S1088" r:id="rId4347" xr:uid="{00000000-0004-0000-0100-0000FA100000}"/>
    <hyperlink ref="T1088" r:id="rId4348" xr:uid="{00000000-0004-0000-0100-0000FB100000}"/>
    <hyperlink ref="Q1089" r:id="rId4349" xr:uid="{00000000-0004-0000-0100-0000FC100000}"/>
    <hyperlink ref="R1089" r:id="rId4350" xr:uid="{00000000-0004-0000-0100-0000FD100000}"/>
    <hyperlink ref="S1089" r:id="rId4351" xr:uid="{00000000-0004-0000-0100-0000FE100000}"/>
    <hyperlink ref="T1089" r:id="rId4352" xr:uid="{00000000-0004-0000-0100-0000FF100000}"/>
    <hyperlink ref="Q1090" r:id="rId4353" xr:uid="{00000000-0004-0000-0100-000000110000}"/>
    <hyperlink ref="R1090" r:id="rId4354" xr:uid="{00000000-0004-0000-0100-000001110000}"/>
    <hyperlink ref="S1090" r:id="rId4355" xr:uid="{00000000-0004-0000-0100-000002110000}"/>
    <hyperlink ref="T1090" r:id="rId4356" xr:uid="{00000000-0004-0000-0100-000003110000}"/>
    <hyperlink ref="Q1091" r:id="rId4357" xr:uid="{00000000-0004-0000-0100-000004110000}"/>
    <hyperlink ref="R1091" r:id="rId4358" xr:uid="{00000000-0004-0000-0100-000005110000}"/>
    <hyperlink ref="S1091" r:id="rId4359" xr:uid="{00000000-0004-0000-0100-000006110000}"/>
    <hyperlink ref="T1091" r:id="rId4360" xr:uid="{00000000-0004-0000-0100-000007110000}"/>
    <hyperlink ref="Q1092" r:id="rId4361" xr:uid="{00000000-0004-0000-0100-000008110000}"/>
    <hyperlink ref="R1092" r:id="rId4362" xr:uid="{00000000-0004-0000-0100-000009110000}"/>
    <hyperlink ref="S1092" r:id="rId4363" xr:uid="{00000000-0004-0000-0100-00000A110000}"/>
    <hyperlink ref="T1092" r:id="rId4364" xr:uid="{00000000-0004-0000-0100-00000B110000}"/>
    <hyperlink ref="Q1093" r:id="rId4365" xr:uid="{00000000-0004-0000-0100-00000C110000}"/>
    <hyperlink ref="R1093" r:id="rId4366" xr:uid="{00000000-0004-0000-0100-00000D110000}"/>
    <hyperlink ref="S1093" r:id="rId4367" xr:uid="{00000000-0004-0000-0100-00000E110000}"/>
    <hyperlink ref="T1093" r:id="rId4368" xr:uid="{00000000-0004-0000-0100-00000F110000}"/>
    <hyperlink ref="Q1094" r:id="rId4369" xr:uid="{00000000-0004-0000-0100-000010110000}"/>
    <hyperlink ref="R1094" r:id="rId4370" xr:uid="{00000000-0004-0000-0100-000011110000}"/>
    <hyperlink ref="S1094" r:id="rId4371" xr:uid="{00000000-0004-0000-0100-000012110000}"/>
    <hyperlink ref="T1094" r:id="rId4372" xr:uid="{00000000-0004-0000-0100-000013110000}"/>
    <hyperlink ref="Q1095" r:id="rId4373" xr:uid="{00000000-0004-0000-0100-000014110000}"/>
    <hyperlink ref="R1095" r:id="rId4374" xr:uid="{00000000-0004-0000-0100-000015110000}"/>
    <hyperlink ref="S1095" r:id="rId4375" xr:uid="{00000000-0004-0000-0100-000016110000}"/>
    <hyperlink ref="T1095" r:id="rId4376" xr:uid="{00000000-0004-0000-0100-000017110000}"/>
    <hyperlink ref="Q1096" r:id="rId4377" xr:uid="{00000000-0004-0000-0100-000018110000}"/>
    <hyperlink ref="R1096" r:id="rId4378" xr:uid="{00000000-0004-0000-0100-000019110000}"/>
    <hyperlink ref="S1096" r:id="rId4379" xr:uid="{00000000-0004-0000-0100-00001A110000}"/>
    <hyperlink ref="T1096" r:id="rId4380" xr:uid="{00000000-0004-0000-0100-00001B110000}"/>
    <hyperlink ref="Q1097" r:id="rId4381" xr:uid="{00000000-0004-0000-0100-00001C110000}"/>
    <hyperlink ref="R1097" r:id="rId4382" xr:uid="{00000000-0004-0000-0100-00001D110000}"/>
    <hyperlink ref="S1097" r:id="rId4383" xr:uid="{00000000-0004-0000-0100-00001E110000}"/>
    <hyperlink ref="T1097" r:id="rId4384" xr:uid="{00000000-0004-0000-0100-00001F110000}"/>
    <hyperlink ref="Q1098" r:id="rId4385" xr:uid="{00000000-0004-0000-0100-000020110000}"/>
    <hyperlink ref="R1098" r:id="rId4386" xr:uid="{00000000-0004-0000-0100-000021110000}"/>
    <hyperlink ref="S1098" r:id="rId4387" xr:uid="{00000000-0004-0000-0100-000022110000}"/>
    <hyperlink ref="T1098" r:id="rId4388" xr:uid="{00000000-0004-0000-0100-000023110000}"/>
    <hyperlink ref="Q1099" r:id="rId4389" xr:uid="{00000000-0004-0000-0100-000024110000}"/>
    <hyperlink ref="R1099" r:id="rId4390" xr:uid="{00000000-0004-0000-0100-000025110000}"/>
    <hyperlink ref="S1099" r:id="rId4391" xr:uid="{00000000-0004-0000-0100-000026110000}"/>
    <hyperlink ref="T1099" r:id="rId4392" xr:uid="{00000000-0004-0000-0100-000027110000}"/>
    <hyperlink ref="Q1100" r:id="rId4393" xr:uid="{00000000-0004-0000-0100-000028110000}"/>
    <hyperlink ref="R1100" r:id="rId4394" xr:uid="{00000000-0004-0000-0100-000029110000}"/>
    <hyperlink ref="S1100" r:id="rId4395" xr:uid="{00000000-0004-0000-0100-00002A110000}"/>
    <hyperlink ref="T1100" r:id="rId4396" xr:uid="{00000000-0004-0000-0100-00002B110000}"/>
    <hyperlink ref="Q1101" r:id="rId4397" xr:uid="{00000000-0004-0000-0100-00002C110000}"/>
    <hyperlink ref="R1101" r:id="rId4398" xr:uid="{00000000-0004-0000-0100-00002D110000}"/>
    <hyperlink ref="S1101" r:id="rId4399" xr:uid="{00000000-0004-0000-0100-00002E110000}"/>
    <hyperlink ref="T1101" r:id="rId4400" xr:uid="{00000000-0004-0000-0100-00002F110000}"/>
    <hyperlink ref="Q1102" r:id="rId4401" xr:uid="{00000000-0004-0000-0100-000030110000}"/>
    <hyperlink ref="R1102" r:id="rId4402" xr:uid="{00000000-0004-0000-0100-000031110000}"/>
    <hyperlink ref="S1102" r:id="rId4403" xr:uid="{00000000-0004-0000-0100-000032110000}"/>
    <hyperlink ref="T1102" r:id="rId4404" xr:uid="{00000000-0004-0000-0100-000033110000}"/>
    <hyperlink ref="Q1103" r:id="rId4405" xr:uid="{00000000-0004-0000-0100-000034110000}"/>
    <hyperlink ref="R1103" r:id="rId4406" xr:uid="{00000000-0004-0000-0100-000035110000}"/>
    <hyperlink ref="S1103" r:id="rId4407" xr:uid="{00000000-0004-0000-0100-000036110000}"/>
    <hyperlink ref="T1103" r:id="rId4408" xr:uid="{00000000-0004-0000-0100-000037110000}"/>
    <hyperlink ref="Q1104" r:id="rId4409" xr:uid="{00000000-0004-0000-0100-000038110000}"/>
    <hyperlink ref="R1104" r:id="rId4410" xr:uid="{00000000-0004-0000-0100-000039110000}"/>
    <hyperlink ref="S1104" r:id="rId4411" xr:uid="{00000000-0004-0000-0100-00003A110000}"/>
    <hyperlink ref="T1104" r:id="rId4412" xr:uid="{00000000-0004-0000-0100-00003B110000}"/>
    <hyperlink ref="Q1105" r:id="rId4413" xr:uid="{00000000-0004-0000-0100-00003C110000}"/>
    <hyperlink ref="R1105" r:id="rId4414" xr:uid="{00000000-0004-0000-0100-00003D110000}"/>
    <hyperlink ref="S1105" r:id="rId4415" xr:uid="{00000000-0004-0000-0100-00003E110000}"/>
    <hyperlink ref="T1105" r:id="rId4416" xr:uid="{00000000-0004-0000-0100-00003F110000}"/>
    <hyperlink ref="Q1106" r:id="rId4417" xr:uid="{00000000-0004-0000-0100-000040110000}"/>
    <hyperlink ref="R1106" r:id="rId4418" xr:uid="{00000000-0004-0000-0100-000041110000}"/>
    <hyperlink ref="S1106" r:id="rId4419" xr:uid="{00000000-0004-0000-0100-000042110000}"/>
    <hyperlink ref="T1106" r:id="rId4420" xr:uid="{00000000-0004-0000-0100-000043110000}"/>
    <hyperlink ref="Q1107" r:id="rId4421" xr:uid="{00000000-0004-0000-0100-000044110000}"/>
    <hyperlink ref="R1107" r:id="rId4422" xr:uid="{00000000-0004-0000-0100-000045110000}"/>
    <hyperlink ref="S1107" r:id="rId4423" xr:uid="{00000000-0004-0000-0100-000046110000}"/>
    <hyperlink ref="T1107" r:id="rId4424" xr:uid="{00000000-0004-0000-0100-000047110000}"/>
    <hyperlink ref="Q1108" r:id="rId4425" xr:uid="{00000000-0004-0000-0100-000048110000}"/>
    <hyperlink ref="R1108" r:id="rId4426" xr:uid="{00000000-0004-0000-0100-000049110000}"/>
    <hyperlink ref="S1108" r:id="rId4427" xr:uid="{00000000-0004-0000-0100-00004A110000}"/>
    <hyperlink ref="T1108" r:id="rId4428" xr:uid="{00000000-0004-0000-0100-00004B110000}"/>
    <hyperlink ref="Q1109" r:id="rId4429" xr:uid="{00000000-0004-0000-0100-00004C110000}"/>
    <hyperlink ref="R1109" r:id="rId4430" xr:uid="{00000000-0004-0000-0100-00004D110000}"/>
    <hyperlink ref="S1109" r:id="rId4431" xr:uid="{00000000-0004-0000-0100-00004E110000}"/>
    <hyperlink ref="T1109" r:id="rId4432" xr:uid="{00000000-0004-0000-0100-00004F110000}"/>
    <hyperlink ref="Q1110" r:id="rId4433" xr:uid="{00000000-0004-0000-0100-000050110000}"/>
    <hyperlink ref="R1110" r:id="rId4434" xr:uid="{00000000-0004-0000-0100-000051110000}"/>
    <hyperlink ref="S1110" r:id="rId4435" xr:uid="{00000000-0004-0000-0100-000052110000}"/>
    <hyperlink ref="T1110" r:id="rId4436" xr:uid="{00000000-0004-0000-0100-000053110000}"/>
    <hyperlink ref="Q1111" r:id="rId4437" xr:uid="{00000000-0004-0000-0100-000054110000}"/>
    <hyperlink ref="R1111" r:id="rId4438" xr:uid="{00000000-0004-0000-0100-000055110000}"/>
    <hyperlink ref="S1111" r:id="rId4439" xr:uid="{00000000-0004-0000-0100-000056110000}"/>
    <hyperlink ref="T1111" r:id="rId4440" xr:uid="{00000000-0004-0000-0100-000057110000}"/>
    <hyperlink ref="Q1112" r:id="rId4441" xr:uid="{00000000-0004-0000-0100-000058110000}"/>
    <hyperlink ref="R1112" r:id="rId4442" xr:uid="{00000000-0004-0000-0100-000059110000}"/>
    <hyperlink ref="S1112" r:id="rId4443" xr:uid="{00000000-0004-0000-0100-00005A110000}"/>
    <hyperlink ref="T1112" r:id="rId4444" xr:uid="{00000000-0004-0000-0100-00005B110000}"/>
    <hyperlink ref="Q1113" r:id="rId4445" xr:uid="{00000000-0004-0000-0100-00005C110000}"/>
    <hyperlink ref="R1113" r:id="rId4446" xr:uid="{00000000-0004-0000-0100-00005D110000}"/>
    <hyperlink ref="S1113" r:id="rId4447" xr:uid="{00000000-0004-0000-0100-00005E110000}"/>
    <hyperlink ref="T1113" r:id="rId4448" xr:uid="{00000000-0004-0000-0100-00005F110000}"/>
    <hyperlink ref="Q1114" r:id="rId4449" xr:uid="{00000000-0004-0000-0100-000060110000}"/>
    <hyperlink ref="R1114" r:id="rId4450" xr:uid="{00000000-0004-0000-0100-000061110000}"/>
    <hyperlink ref="S1114" r:id="rId4451" xr:uid="{00000000-0004-0000-0100-000062110000}"/>
    <hyperlink ref="T1114" r:id="rId4452" xr:uid="{00000000-0004-0000-0100-000063110000}"/>
    <hyperlink ref="Q1115" r:id="rId4453" xr:uid="{00000000-0004-0000-0100-000064110000}"/>
    <hyperlink ref="R1115" r:id="rId4454" xr:uid="{00000000-0004-0000-0100-000065110000}"/>
    <hyperlink ref="S1115" r:id="rId4455" xr:uid="{00000000-0004-0000-0100-000066110000}"/>
    <hyperlink ref="T1115" r:id="rId4456" xr:uid="{00000000-0004-0000-0100-000067110000}"/>
    <hyperlink ref="Q1116" r:id="rId4457" xr:uid="{00000000-0004-0000-0100-000068110000}"/>
    <hyperlink ref="R1116" r:id="rId4458" xr:uid="{00000000-0004-0000-0100-000069110000}"/>
    <hyperlink ref="S1116" r:id="rId4459" xr:uid="{00000000-0004-0000-0100-00006A110000}"/>
    <hyperlink ref="T1116" r:id="rId4460" xr:uid="{00000000-0004-0000-0100-00006B110000}"/>
    <hyperlink ref="Q1117" r:id="rId4461" xr:uid="{00000000-0004-0000-0100-00006C110000}"/>
    <hyperlink ref="R1117" r:id="rId4462" xr:uid="{00000000-0004-0000-0100-00006D110000}"/>
    <hyperlink ref="S1117" r:id="rId4463" xr:uid="{00000000-0004-0000-0100-00006E110000}"/>
    <hyperlink ref="T1117" r:id="rId4464" xr:uid="{00000000-0004-0000-0100-00006F110000}"/>
    <hyperlink ref="Q1118" r:id="rId4465" xr:uid="{00000000-0004-0000-0100-000070110000}"/>
    <hyperlink ref="R1118" r:id="rId4466" xr:uid="{00000000-0004-0000-0100-000071110000}"/>
    <hyperlink ref="S1118" r:id="rId4467" xr:uid="{00000000-0004-0000-0100-000072110000}"/>
    <hyperlink ref="T1118" r:id="rId4468" xr:uid="{00000000-0004-0000-0100-000073110000}"/>
    <hyperlink ref="Q1119" r:id="rId4469" xr:uid="{00000000-0004-0000-0100-000074110000}"/>
    <hyperlink ref="R1119" r:id="rId4470" xr:uid="{00000000-0004-0000-0100-000075110000}"/>
    <hyperlink ref="S1119" r:id="rId4471" xr:uid="{00000000-0004-0000-0100-000076110000}"/>
    <hyperlink ref="T1119" r:id="rId4472" xr:uid="{00000000-0004-0000-0100-000077110000}"/>
    <hyperlink ref="Q1120" r:id="rId4473" xr:uid="{00000000-0004-0000-0100-000078110000}"/>
    <hyperlink ref="R1120" r:id="rId4474" xr:uid="{00000000-0004-0000-0100-000079110000}"/>
    <hyperlink ref="S1120" r:id="rId4475" xr:uid="{00000000-0004-0000-0100-00007A110000}"/>
    <hyperlink ref="T1120" r:id="rId4476" xr:uid="{00000000-0004-0000-0100-00007B110000}"/>
    <hyperlink ref="Q1121" r:id="rId4477" xr:uid="{00000000-0004-0000-0100-00007C110000}"/>
    <hyperlink ref="R1121" r:id="rId4478" xr:uid="{00000000-0004-0000-0100-00007D110000}"/>
    <hyperlink ref="S1121" r:id="rId4479" xr:uid="{00000000-0004-0000-0100-00007E110000}"/>
    <hyperlink ref="T1121" r:id="rId4480" xr:uid="{00000000-0004-0000-0100-00007F110000}"/>
    <hyperlink ref="Q1122" r:id="rId4481" xr:uid="{00000000-0004-0000-0100-000080110000}"/>
    <hyperlink ref="R1122" r:id="rId4482" xr:uid="{00000000-0004-0000-0100-000081110000}"/>
    <hyperlink ref="S1122" r:id="rId4483" xr:uid="{00000000-0004-0000-0100-000082110000}"/>
    <hyperlink ref="T1122" r:id="rId4484" xr:uid="{00000000-0004-0000-0100-000083110000}"/>
    <hyperlink ref="Q1123" r:id="rId4485" xr:uid="{00000000-0004-0000-0100-000084110000}"/>
    <hyperlink ref="R1123" r:id="rId4486" xr:uid="{00000000-0004-0000-0100-000085110000}"/>
    <hyperlink ref="S1123" r:id="rId4487" xr:uid="{00000000-0004-0000-0100-000086110000}"/>
    <hyperlink ref="T1123" r:id="rId4488" xr:uid="{00000000-0004-0000-0100-000087110000}"/>
    <hyperlink ref="Q1124" r:id="rId4489" xr:uid="{00000000-0004-0000-0100-000088110000}"/>
    <hyperlink ref="R1124" r:id="rId4490" xr:uid="{00000000-0004-0000-0100-000089110000}"/>
    <hyperlink ref="S1124" r:id="rId4491" xr:uid="{00000000-0004-0000-0100-00008A110000}"/>
    <hyperlink ref="T1124" r:id="rId4492" xr:uid="{00000000-0004-0000-0100-00008B110000}"/>
    <hyperlink ref="Q1125" r:id="rId4493" xr:uid="{00000000-0004-0000-0100-00008C110000}"/>
    <hyperlink ref="R1125" r:id="rId4494" xr:uid="{00000000-0004-0000-0100-00008D110000}"/>
    <hyperlink ref="S1125" r:id="rId4495" xr:uid="{00000000-0004-0000-0100-00008E110000}"/>
    <hyperlink ref="T1125" r:id="rId4496" xr:uid="{00000000-0004-0000-0100-00008F110000}"/>
    <hyperlink ref="Q1126" r:id="rId4497" xr:uid="{00000000-0004-0000-0100-000090110000}"/>
    <hyperlink ref="R1126" r:id="rId4498" xr:uid="{00000000-0004-0000-0100-000091110000}"/>
    <hyperlink ref="S1126" r:id="rId4499" xr:uid="{00000000-0004-0000-0100-000092110000}"/>
    <hyperlink ref="T1126" r:id="rId4500" xr:uid="{00000000-0004-0000-0100-000093110000}"/>
    <hyperlink ref="Q1127" r:id="rId4501" xr:uid="{00000000-0004-0000-0100-000094110000}"/>
    <hyperlink ref="R1127" r:id="rId4502" xr:uid="{00000000-0004-0000-0100-000095110000}"/>
    <hyperlink ref="S1127" r:id="rId4503" xr:uid="{00000000-0004-0000-0100-000096110000}"/>
    <hyperlink ref="T1127" r:id="rId4504" xr:uid="{00000000-0004-0000-0100-000097110000}"/>
    <hyperlink ref="Q1128" r:id="rId4505" xr:uid="{00000000-0004-0000-0100-000098110000}"/>
    <hyperlink ref="R1128" r:id="rId4506" xr:uid="{00000000-0004-0000-0100-000099110000}"/>
    <hyperlink ref="S1128" r:id="rId4507" xr:uid="{00000000-0004-0000-0100-00009A110000}"/>
    <hyperlink ref="T1128" r:id="rId4508" xr:uid="{00000000-0004-0000-0100-00009B110000}"/>
    <hyperlink ref="Q1129" r:id="rId4509" xr:uid="{00000000-0004-0000-0100-00009C110000}"/>
    <hyperlink ref="R1129" r:id="rId4510" xr:uid="{00000000-0004-0000-0100-00009D110000}"/>
    <hyperlink ref="S1129" r:id="rId4511" xr:uid="{00000000-0004-0000-0100-00009E110000}"/>
    <hyperlink ref="T1129" r:id="rId4512" xr:uid="{00000000-0004-0000-0100-00009F110000}"/>
    <hyperlink ref="Q1130" r:id="rId4513" xr:uid="{00000000-0004-0000-0100-0000A0110000}"/>
    <hyperlink ref="R1130" r:id="rId4514" xr:uid="{00000000-0004-0000-0100-0000A1110000}"/>
    <hyperlink ref="S1130" r:id="rId4515" xr:uid="{00000000-0004-0000-0100-0000A2110000}"/>
    <hyperlink ref="T1130" r:id="rId4516" xr:uid="{00000000-0004-0000-0100-0000A3110000}"/>
    <hyperlink ref="Q1131" r:id="rId4517" xr:uid="{00000000-0004-0000-0100-0000A4110000}"/>
    <hyperlink ref="R1131" r:id="rId4518" xr:uid="{00000000-0004-0000-0100-0000A5110000}"/>
    <hyperlink ref="S1131" r:id="rId4519" xr:uid="{00000000-0004-0000-0100-0000A6110000}"/>
    <hyperlink ref="T1131" r:id="rId4520" xr:uid="{00000000-0004-0000-0100-0000A7110000}"/>
    <hyperlink ref="Q1132" r:id="rId4521" xr:uid="{00000000-0004-0000-0100-0000A8110000}"/>
    <hyperlink ref="R1132" r:id="rId4522" xr:uid="{00000000-0004-0000-0100-0000A9110000}"/>
    <hyperlink ref="S1132" r:id="rId4523" xr:uid="{00000000-0004-0000-0100-0000AA110000}"/>
    <hyperlink ref="T1132" r:id="rId4524" xr:uid="{00000000-0004-0000-0100-0000AB110000}"/>
    <hyperlink ref="Q1133" r:id="rId4525" xr:uid="{00000000-0004-0000-0100-0000AC110000}"/>
    <hyperlink ref="R1133" r:id="rId4526" xr:uid="{00000000-0004-0000-0100-0000AD110000}"/>
    <hyperlink ref="S1133" r:id="rId4527" xr:uid="{00000000-0004-0000-0100-0000AE110000}"/>
    <hyperlink ref="T1133" r:id="rId4528" xr:uid="{00000000-0004-0000-0100-0000AF110000}"/>
    <hyperlink ref="Q1134" r:id="rId4529" xr:uid="{00000000-0004-0000-0100-0000B0110000}"/>
    <hyperlink ref="R1134" r:id="rId4530" xr:uid="{00000000-0004-0000-0100-0000B1110000}"/>
    <hyperlink ref="S1134" r:id="rId4531" xr:uid="{00000000-0004-0000-0100-0000B2110000}"/>
    <hyperlink ref="T1134" r:id="rId4532" xr:uid="{00000000-0004-0000-0100-0000B3110000}"/>
    <hyperlink ref="Q1135" r:id="rId4533" xr:uid="{00000000-0004-0000-0100-0000B4110000}"/>
    <hyperlink ref="R1135" r:id="rId4534" xr:uid="{00000000-0004-0000-0100-0000B5110000}"/>
    <hyperlink ref="S1135" r:id="rId4535" xr:uid="{00000000-0004-0000-0100-0000B6110000}"/>
    <hyperlink ref="T1135" r:id="rId4536" xr:uid="{00000000-0004-0000-0100-0000B7110000}"/>
    <hyperlink ref="Q1136" r:id="rId4537" xr:uid="{00000000-0004-0000-0100-0000B8110000}"/>
    <hyperlink ref="R1136" r:id="rId4538" xr:uid="{00000000-0004-0000-0100-0000B9110000}"/>
    <hyperlink ref="S1136" r:id="rId4539" xr:uid="{00000000-0004-0000-0100-0000BA110000}"/>
    <hyperlink ref="T1136" r:id="rId4540" xr:uid="{00000000-0004-0000-0100-0000BB110000}"/>
    <hyperlink ref="Q1137" r:id="rId4541" xr:uid="{00000000-0004-0000-0100-0000BC110000}"/>
    <hyperlink ref="R1137" r:id="rId4542" xr:uid="{00000000-0004-0000-0100-0000BD110000}"/>
    <hyperlink ref="S1137" r:id="rId4543" xr:uid="{00000000-0004-0000-0100-0000BE110000}"/>
    <hyperlink ref="T1137" r:id="rId4544" xr:uid="{00000000-0004-0000-0100-0000BF110000}"/>
    <hyperlink ref="Q1138" r:id="rId4545" xr:uid="{00000000-0004-0000-0100-0000C0110000}"/>
    <hyperlink ref="R1138" r:id="rId4546" xr:uid="{00000000-0004-0000-0100-0000C1110000}"/>
    <hyperlink ref="S1138" r:id="rId4547" xr:uid="{00000000-0004-0000-0100-0000C2110000}"/>
    <hyperlink ref="T1138" r:id="rId4548" xr:uid="{00000000-0004-0000-0100-0000C3110000}"/>
    <hyperlink ref="Q1139" r:id="rId4549" xr:uid="{00000000-0004-0000-0100-0000C4110000}"/>
    <hyperlink ref="R1139" r:id="rId4550" xr:uid="{00000000-0004-0000-0100-0000C5110000}"/>
    <hyperlink ref="S1139" r:id="rId4551" xr:uid="{00000000-0004-0000-0100-0000C6110000}"/>
    <hyperlink ref="T1139" r:id="rId4552" xr:uid="{00000000-0004-0000-0100-0000C7110000}"/>
    <hyperlink ref="Q1140" r:id="rId4553" xr:uid="{00000000-0004-0000-0100-0000C8110000}"/>
    <hyperlink ref="R1140" r:id="rId4554" xr:uid="{00000000-0004-0000-0100-0000C9110000}"/>
    <hyperlink ref="S1140" r:id="rId4555" xr:uid="{00000000-0004-0000-0100-0000CA110000}"/>
    <hyperlink ref="T1140" r:id="rId4556" xr:uid="{00000000-0004-0000-0100-0000CB110000}"/>
    <hyperlink ref="Q1141" r:id="rId4557" xr:uid="{00000000-0004-0000-0100-0000CC110000}"/>
    <hyperlink ref="R1141" r:id="rId4558" xr:uid="{00000000-0004-0000-0100-0000CD110000}"/>
    <hyperlink ref="S1141" r:id="rId4559" xr:uid="{00000000-0004-0000-0100-0000CE110000}"/>
    <hyperlink ref="T1141" r:id="rId4560" xr:uid="{00000000-0004-0000-0100-0000CF110000}"/>
    <hyperlink ref="Q1142" r:id="rId4561" xr:uid="{00000000-0004-0000-0100-0000D0110000}"/>
    <hyperlink ref="R1142" r:id="rId4562" xr:uid="{00000000-0004-0000-0100-0000D1110000}"/>
    <hyperlink ref="S1142" r:id="rId4563" xr:uid="{00000000-0004-0000-0100-0000D2110000}"/>
    <hyperlink ref="T1142" r:id="rId4564" xr:uid="{00000000-0004-0000-0100-0000D3110000}"/>
    <hyperlink ref="Q1143" r:id="rId4565" xr:uid="{00000000-0004-0000-0100-0000D4110000}"/>
    <hyperlink ref="R1143" r:id="rId4566" xr:uid="{00000000-0004-0000-0100-0000D5110000}"/>
    <hyperlink ref="S1143" r:id="rId4567" xr:uid="{00000000-0004-0000-0100-0000D6110000}"/>
    <hyperlink ref="T1143" r:id="rId4568" xr:uid="{00000000-0004-0000-0100-0000D7110000}"/>
    <hyperlink ref="Q1144" r:id="rId4569" xr:uid="{00000000-0004-0000-0100-0000D8110000}"/>
    <hyperlink ref="R1144" r:id="rId4570" xr:uid="{00000000-0004-0000-0100-0000D9110000}"/>
    <hyperlink ref="S1144" r:id="rId4571" xr:uid="{00000000-0004-0000-0100-0000DA110000}"/>
    <hyperlink ref="T1144" r:id="rId4572" xr:uid="{00000000-0004-0000-0100-0000DB110000}"/>
    <hyperlink ref="Q1145" r:id="rId4573" xr:uid="{00000000-0004-0000-0100-0000DC110000}"/>
    <hyperlink ref="R1145" r:id="rId4574" xr:uid="{00000000-0004-0000-0100-0000DD110000}"/>
    <hyperlink ref="S1145" r:id="rId4575" xr:uid="{00000000-0004-0000-0100-0000DE110000}"/>
    <hyperlink ref="T1145" r:id="rId4576" xr:uid="{00000000-0004-0000-0100-0000DF110000}"/>
    <hyperlink ref="Q1146" r:id="rId4577" xr:uid="{00000000-0004-0000-0100-0000E0110000}"/>
    <hyperlink ref="R1146" r:id="rId4578" xr:uid="{00000000-0004-0000-0100-0000E1110000}"/>
    <hyperlink ref="S1146" r:id="rId4579" xr:uid="{00000000-0004-0000-0100-0000E2110000}"/>
    <hyperlink ref="T1146" r:id="rId4580" xr:uid="{00000000-0004-0000-0100-0000E3110000}"/>
    <hyperlink ref="Q1147" r:id="rId4581" xr:uid="{00000000-0004-0000-0100-0000E4110000}"/>
    <hyperlink ref="R1147" r:id="rId4582" xr:uid="{00000000-0004-0000-0100-0000E5110000}"/>
    <hyperlink ref="S1147" r:id="rId4583" xr:uid="{00000000-0004-0000-0100-0000E6110000}"/>
    <hyperlink ref="T1147" r:id="rId4584" xr:uid="{00000000-0004-0000-0100-0000E7110000}"/>
    <hyperlink ref="Q1148" r:id="rId4585" xr:uid="{00000000-0004-0000-0100-0000E8110000}"/>
    <hyperlink ref="R1148" r:id="rId4586" xr:uid="{00000000-0004-0000-0100-0000E9110000}"/>
    <hyperlink ref="S1148" r:id="rId4587" xr:uid="{00000000-0004-0000-0100-0000EA110000}"/>
    <hyperlink ref="T1148" r:id="rId4588" xr:uid="{00000000-0004-0000-0100-0000EB110000}"/>
    <hyperlink ref="Q1149" r:id="rId4589" xr:uid="{00000000-0004-0000-0100-0000EC110000}"/>
    <hyperlink ref="R1149" r:id="rId4590" xr:uid="{00000000-0004-0000-0100-0000ED110000}"/>
    <hyperlink ref="S1149" r:id="rId4591" xr:uid="{00000000-0004-0000-0100-0000EE110000}"/>
    <hyperlink ref="T1149" r:id="rId4592" xr:uid="{00000000-0004-0000-0100-0000EF110000}"/>
    <hyperlink ref="Q1150" r:id="rId4593" xr:uid="{00000000-0004-0000-0100-0000F0110000}"/>
    <hyperlink ref="R1150" r:id="rId4594" xr:uid="{00000000-0004-0000-0100-0000F1110000}"/>
    <hyperlink ref="S1150" r:id="rId4595" xr:uid="{00000000-0004-0000-0100-0000F2110000}"/>
    <hyperlink ref="T1150" r:id="rId4596" xr:uid="{00000000-0004-0000-0100-0000F3110000}"/>
    <hyperlink ref="Q1151" r:id="rId4597" xr:uid="{00000000-0004-0000-0100-0000F4110000}"/>
    <hyperlink ref="R1151" r:id="rId4598" xr:uid="{00000000-0004-0000-0100-0000F5110000}"/>
    <hyperlink ref="S1151" r:id="rId4599" xr:uid="{00000000-0004-0000-0100-0000F6110000}"/>
    <hyperlink ref="T1151" r:id="rId4600" xr:uid="{00000000-0004-0000-0100-0000F7110000}"/>
    <hyperlink ref="Q1152" r:id="rId4601" xr:uid="{00000000-0004-0000-0100-0000F8110000}"/>
    <hyperlink ref="R1152" r:id="rId4602" xr:uid="{00000000-0004-0000-0100-0000F9110000}"/>
    <hyperlink ref="S1152" r:id="rId4603" xr:uid="{00000000-0004-0000-0100-0000FA110000}"/>
    <hyperlink ref="T1152" r:id="rId4604" xr:uid="{00000000-0004-0000-0100-0000FB110000}"/>
    <hyperlink ref="Q1153" r:id="rId4605" xr:uid="{00000000-0004-0000-0100-0000FC110000}"/>
    <hyperlink ref="R1153" r:id="rId4606" xr:uid="{00000000-0004-0000-0100-0000FD110000}"/>
    <hyperlink ref="S1153" r:id="rId4607" xr:uid="{00000000-0004-0000-0100-0000FE110000}"/>
    <hyperlink ref="T1153" r:id="rId4608" xr:uid="{00000000-0004-0000-0100-0000FF110000}"/>
    <hyperlink ref="Q1154" r:id="rId4609" xr:uid="{00000000-0004-0000-0100-000000120000}"/>
    <hyperlink ref="R1154" r:id="rId4610" xr:uid="{00000000-0004-0000-0100-000001120000}"/>
    <hyperlink ref="S1154" r:id="rId4611" xr:uid="{00000000-0004-0000-0100-000002120000}"/>
    <hyperlink ref="T1154" r:id="rId4612" xr:uid="{00000000-0004-0000-0100-000003120000}"/>
    <hyperlink ref="Q1155" r:id="rId4613" xr:uid="{00000000-0004-0000-0100-000004120000}"/>
    <hyperlink ref="R1155" r:id="rId4614" xr:uid="{00000000-0004-0000-0100-000005120000}"/>
    <hyperlink ref="S1155" r:id="rId4615" xr:uid="{00000000-0004-0000-0100-000006120000}"/>
    <hyperlink ref="T1155" r:id="rId4616" xr:uid="{00000000-0004-0000-0100-000007120000}"/>
    <hyperlink ref="Q1156" r:id="rId4617" xr:uid="{00000000-0004-0000-0100-000008120000}"/>
    <hyperlink ref="R1156" r:id="rId4618" xr:uid="{00000000-0004-0000-0100-000009120000}"/>
    <hyperlink ref="S1156" r:id="rId4619" xr:uid="{00000000-0004-0000-0100-00000A120000}"/>
    <hyperlink ref="T1156" r:id="rId4620" xr:uid="{00000000-0004-0000-0100-00000B120000}"/>
    <hyperlink ref="Q1157" r:id="rId4621" xr:uid="{00000000-0004-0000-0100-00000C120000}"/>
    <hyperlink ref="R1157" r:id="rId4622" xr:uid="{00000000-0004-0000-0100-00000D120000}"/>
    <hyperlink ref="S1157" r:id="rId4623" xr:uid="{00000000-0004-0000-0100-00000E120000}"/>
    <hyperlink ref="T1157" r:id="rId4624" xr:uid="{00000000-0004-0000-0100-00000F120000}"/>
    <hyperlink ref="Q1158" r:id="rId4625" xr:uid="{00000000-0004-0000-0100-000010120000}"/>
    <hyperlink ref="R1158" r:id="rId4626" xr:uid="{00000000-0004-0000-0100-000011120000}"/>
    <hyperlink ref="S1158" r:id="rId4627" xr:uid="{00000000-0004-0000-0100-000012120000}"/>
    <hyperlink ref="T1158" r:id="rId4628" xr:uid="{00000000-0004-0000-0100-000013120000}"/>
    <hyperlink ref="Q1159" r:id="rId4629" xr:uid="{00000000-0004-0000-0100-000014120000}"/>
    <hyperlink ref="R1159" r:id="rId4630" xr:uid="{00000000-0004-0000-0100-000015120000}"/>
    <hyperlink ref="S1159" r:id="rId4631" xr:uid="{00000000-0004-0000-0100-000016120000}"/>
    <hyperlink ref="T1159" r:id="rId4632" xr:uid="{00000000-0004-0000-0100-000017120000}"/>
    <hyperlink ref="Q1160" r:id="rId4633" xr:uid="{00000000-0004-0000-0100-000018120000}"/>
    <hyperlink ref="R1160" r:id="rId4634" xr:uid="{00000000-0004-0000-0100-000019120000}"/>
    <hyperlink ref="S1160" r:id="rId4635" xr:uid="{00000000-0004-0000-0100-00001A120000}"/>
    <hyperlink ref="T1160" r:id="rId4636" xr:uid="{00000000-0004-0000-0100-00001B120000}"/>
    <hyperlink ref="Q1161" r:id="rId4637" xr:uid="{00000000-0004-0000-0100-00001C120000}"/>
    <hyperlink ref="R1161" r:id="rId4638" xr:uid="{00000000-0004-0000-0100-00001D120000}"/>
    <hyperlink ref="S1161" r:id="rId4639" xr:uid="{00000000-0004-0000-0100-00001E120000}"/>
    <hyperlink ref="T1161" r:id="rId4640" xr:uid="{00000000-0004-0000-0100-00001F120000}"/>
    <hyperlink ref="Q1162" r:id="rId4641" xr:uid="{00000000-0004-0000-0100-000020120000}"/>
    <hyperlink ref="R1162" r:id="rId4642" xr:uid="{00000000-0004-0000-0100-000021120000}"/>
    <hyperlink ref="S1162" r:id="rId4643" xr:uid="{00000000-0004-0000-0100-000022120000}"/>
    <hyperlink ref="T1162" r:id="rId4644" xr:uid="{00000000-0004-0000-0100-000023120000}"/>
    <hyperlink ref="Q1163" r:id="rId4645" xr:uid="{00000000-0004-0000-0100-000024120000}"/>
    <hyperlink ref="R1163" r:id="rId4646" xr:uid="{00000000-0004-0000-0100-000025120000}"/>
    <hyperlink ref="S1163" r:id="rId4647" xr:uid="{00000000-0004-0000-0100-000026120000}"/>
    <hyperlink ref="T1163" r:id="rId4648" xr:uid="{00000000-0004-0000-0100-000027120000}"/>
    <hyperlink ref="Q1164" r:id="rId4649" xr:uid="{00000000-0004-0000-0100-000028120000}"/>
    <hyperlink ref="R1164" r:id="rId4650" xr:uid="{00000000-0004-0000-0100-000029120000}"/>
    <hyperlink ref="S1164" r:id="rId4651" xr:uid="{00000000-0004-0000-0100-00002A120000}"/>
    <hyperlink ref="T1164" r:id="rId4652" xr:uid="{00000000-0004-0000-0100-00002B120000}"/>
    <hyperlink ref="Q1165" r:id="rId4653" xr:uid="{00000000-0004-0000-0100-00002C120000}"/>
    <hyperlink ref="R1165" r:id="rId4654" xr:uid="{00000000-0004-0000-0100-00002D120000}"/>
    <hyperlink ref="S1165" r:id="rId4655" xr:uid="{00000000-0004-0000-0100-00002E120000}"/>
    <hyperlink ref="T1165" r:id="rId4656" xr:uid="{00000000-0004-0000-0100-00002F120000}"/>
    <hyperlink ref="Q1166" r:id="rId4657" xr:uid="{00000000-0004-0000-0100-000030120000}"/>
    <hyperlink ref="R1166" r:id="rId4658" xr:uid="{00000000-0004-0000-0100-000031120000}"/>
    <hyperlink ref="S1166" r:id="rId4659" xr:uid="{00000000-0004-0000-0100-000032120000}"/>
    <hyperlink ref="T1166" r:id="rId4660" xr:uid="{00000000-0004-0000-0100-000033120000}"/>
    <hyperlink ref="Q1167" r:id="rId4661" xr:uid="{00000000-0004-0000-0100-000034120000}"/>
    <hyperlink ref="R1167" r:id="rId4662" xr:uid="{00000000-0004-0000-0100-000035120000}"/>
    <hyperlink ref="S1167" r:id="rId4663" xr:uid="{00000000-0004-0000-0100-000036120000}"/>
    <hyperlink ref="T1167" r:id="rId4664" xr:uid="{00000000-0004-0000-0100-000037120000}"/>
    <hyperlink ref="Q1168" r:id="rId4665" xr:uid="{00000000-0004-0000-0100-000038120000}"/>
    <hyperlink ref="R1168" r:id="rId4666" xr:uid="{00000000-0004-0000-0100-000039120000}"/>
    <hyperlink ref="S1168" r:id="rId4667" xr:uid="{00000000-0004-0000-0100-00003A120000}"/>
    <hyperlink ref="T1168" r:id="rId4668" xr:uid="{00000000-0004-0000-0100-00003B120000}"/>
    <hyperlink ref="Q1169" r:id="rId4669" xr:uid="{00000000-0004-0000-0100-00003C120000}"/>
    <hyperlink ref="R1169" r:id="rId4670" xr:uid="{00000000-0004-0000-0100-00003D120000}"/>
    <hyperlink ref="S1169" r:id="rId4671" xr:uid="{00000000-0004-0000-0100-00003E120000}"/>
    <hyperlink ref="T1169" r:id="rId4672" xr:uid="{00000000-0004-0000-0100-00003F120000}"/>
    <hyperlink ref="Q1170" r:id="rId4673" xr:uid="{00000000-0004-0000-0100-000040120000}"/>
    <hyperlink ref="R1170" r:id="rId4674" xr:uid="{00000000-0004-0000-0100-000041120000}"/>
    <hyperlink ref="S1170" r:id="rId4675" xr:uid="{00000000-0004-0000-0100-000042120000}"/>
    <hyperlink ref="T1170" r:id="rId4676" xr:uid="{00000000-0004-0000-0100-000043120000}"/>
    <hyperlink ref="Q1171" r:id="rId4677" xr:uid="{00000000-0004-0000-0100-000044120000}"/>
    <hyperlink ref="R1171" r:id="rId4678" xr:uid="{00000000-0004-0000-0100-000045120000}"/>
    <hyperlink ref="S1171" r:id="rId4679" xr:uid="{00000000-0004-0000-0100-000046120000}"/>
    <hyperlink ref="T1171" r:id="rId4680" xr:uid="{00000000-0004-0000-0100-000047120000}"/>
    <hyperlink ref="Q1172" r:id="rId4681" xr:uid="{00000000-0004-0000-0100-000048120000}"/>
    <hyperlink ref="R1172" r:id="rId4682" xr:uid="{00000000-0004-0000-0100-000049120000}"/>
    <hyperlink ref="S1172" r:id="rId4683" xr:uid="{00000000-0004-0000-0100-00004A120000}"/>
    <hyperlink ref="T1172" r:id="rId4684" xr:uid="{00000000-0004-0000-0100-00004B120000}"/>
    <hyperlink ref="Q1173" r:id="rId4685" xr:uid="{00000000-0004-0000-0100-00004C120000}"/>
    <hyperlink ref="R1173" r:id="rId4686" xr:uid="{00000000-0004-0000-0100-00004D120000}"/>
    <hyperlink ref="S1173" r:id="rId4687" xr:uid="{00000000-0004-0000-0100-00004E120000}"/>
    <hyperlink ref="T1173" r:id="rId4688" xr:uid="{00000000-0004-0000-0100-00004F120000}"/>
    <hyperlink ref="Q1174" r:id="rId4689" xr:uid="{00000000-0004-0000-0100-000050120000}"/>
    <hyperlink ref="R1174" r:id="rId4690" xr:uid="{00000000-0004-0000-0100-000051120000}"/>
    <hyperlink ref="S1174" r:id="rId4691" xr:uid="{00000000-0004-0000-0100-000052120000}"/>
    <hyperlink ref="T1174" r:id="rId4692" xr:uid="{00000000-0004-0000-0100-000053120000}"/>
    <hyperlink ref="Q1175" r:id="rId4693" xr:uid="{00000000-0004-0000-0100-000054120000}"/>
    <hyperlink ref="R1175" r:id="rId4694" xr:uid="{00000000-0004-0000-0100-000055120000}"/>
    <hyperlink ref="S1175" r:id="rId4695" xr:uid="{00000000-0004-0000-0100-000056120000}"/>
    <hyperlink ref="T1175" r:id="rId4696" xr:uid="{00000000-0004-0000-0100-000057120000}"/>
    <hyperlink ref="Q1176" r:id="rId4697" xr:uid="{00000000-0004-0000-0100-000058120000}"/>
    <hyperlink ref="R1176" r:id="rId4698" xr:uid="{00000000-0004-0000-0100-000059120000}"/>
    <hyperlink ref="S1176" r:id="rId4699" xr:uid="{00000000-0004-0000-0100-00005A120000}"/>
    <hyperlink ref="T1176" r:id="rId4700" xr:uid="{00000000-0004-0000-0100-00005B120000}"/>
    <hyperlink ref="Q1177" r:id="rId4701" xr:uid="{00000000-0004-0000-0100-00005C120000}"/>
    <hyperlink ref="R1177" r:id="rId4702" xr:uid="{00000000-0004-0000-0100-00005D120000}"/>
    <hyperlink ref="S1177" r:id="rId4703" xr:uid="{00000000-0004-0000-0100-00005E120000}"/>
    <hyperlink ref="T1177" r:id="rId4704" xr:uid="{00000000-0004-0000-0100-00005F120000}"/>
    <hyperlink ref="Q1178" r:id="rId4705" xr:uid="{00000000-0004-0000-0100-000060120000}"/>
    <hyperlink ref="R1178" r:id="rId4706" xr:uid="{00000000-0004-0000-0100-000061120000}"/>
    <hyperlink ref="S1178" r:id="rId4707" xr:uid="{00000000-0004-0000-0100-000062120000}"/>
    <hyperlink ref="T1178" r:id="rId4708" xr:uid="{00000000-0004-0000-0100-000063120000}"/>
    <hyperlink ref="Q1179" r:id="rId4709" xr:uid="{00000000-0004-0000-0100-000064120000}"/>
    <hyperlink ref="R1179" r:id="rId4710" xr:uid="{00000000-0004-0000-0100-000065120000}"/>
    <hyperlink ref="S1179" r:id="rId4711" xr:uid="{00000000-0004-0000-0100-000066120000}"/>
    <hyperlink ref="T1179" r:id="rId4712" xr:uid="{00000000-0004-0000-0100-000067120000}"/>
    <hyperlink ref="Q1180" r:id="rId4713" xr:uid="{00000000-0004-0000-0100-000068120000}"/>
    <hyperlink ref="R1180" r:id="rId4714" xr:uid="{00000000-0004-0000-0100-000069120000}"/>
    <hyperlink ref="S1180" r:id="rId4715" xr:uid="{00000000-0004-0000-0100-00006A120000}"/>
    <hyperlink ref="T1180" r:id="rId4716" xr:uid="{00000000-0004-0000-0100-00006B120000}"/>
    <hyperlink ref="Q1181" r:id="rId4717" xr:uid="{00000000-0004-0000-0100-00006C120000}"/>
    <hyperlink ref="R1181" r:id="rId4718" xr:uid="{00000000-0004-0000-0100-00006D120000}"/>
    <hyperlink ref="S1181" r:id="rId4719" xr:uid="{00000000-0004-0000-0100-00006E120000}"/>
    <hyperlink ref="T1181" r:id="rId4720" xr:uid="{00000000-0004-0000-0100-00006F120000}"/>
    <hyperlink ref="Q1182" r:id="rId4721" xr:uid="{00000000-0004-0000-0100-000070120000}"/>
    <hyperlink ref="R1182" r:id="rId4722" xr:uid="{00000000-0004-0000-0100-000071120000}"/>
    <hyperlink ref="S1182" r:id="rId4723" xr:uid="{00000000-0004-0000-0100-000072120000}"/>
    <hyperlink ref="T1182" r:id="rId4724" xr:uid="{00000000-0004-0000-0100-000073120000}"/>
    <hyperlink ref="Q1183" r:id="rId4725" xr:uid="{00000000-0004-0000-0100-000074120000}"/>
    <hyperlink ref="R1183" r:id="rId4726" xr:uid="{00000000-0004-0000-0100-000075120000}"/>
    <hyperlink ref="S1183" r:id="rId4727" xr:uid="{00000000-0004-0000-0100-000076120000}"/>
    <hyperlink ref="T1183" r:id="rId4728" xr:uid="{00000000-0004-0000-0100-000077120000}"/>
    <hyperlink ref="Q1184" r:id="rId4729" xr:uid="{00000000-0004-0000-0100-000078120000}"/>
    <hyperlink ref="R1184" r:id="rId4730" xr:uid="{00000000-0004-0000-0100-000079120000}"/>
    <hyperlink ref="S1184" r:id="rId4731" xr:uid="{00000000-0004-0000-0100-00007A120000}"/>
    <hyperlink ref="T1184" r:id="rId4732" xr:uid="{00000000-0004-0000-0100-00007B120000}"/>
    <hyperlink ref="Q1185" r:id="rId4733" xr:uid="{00000000-0004-0000-0100-00007C120000}"/>
    <hyperlink ref="R1185" r:id="rId4734" xr:uid="{00000000-0004-0000-0100-00007D120000}"/>
    <hyperlink ref="S1185" r:id="rId4735" xr:uid="{00000000-0004-0000-0100-00007E120000}"/>
    <hyperlink ref="T1185" r:id="rId4736" xr:uid="{00000000-0004-0000-0100-00007F120000}"/>
    <hyperlink ref="Q1186" r:id="rId4737" xr:uid="{00000000-0004-0000-0100-000080120000}"/>
    <hyperlink ref="R1186" r:id="rId4738" xr:uid="{00000000-0004-0000-0100-000081120000}"/>
    <hyperlink ref="S1186" r:id="rId4739" xr:uid="{00000000-0004-0000-0100-000082120000}"/>
    <hyperlink ref="T1186" r:id="rId4740" xr:uid="{00000000-0004-0000-0100-000083120000}"/>
    <hyperlink ref="Q1187" r:id="rId4741" xr:uid="{00000000-0004-0000-0100-000084120000}"/>
    <hyperlink ref="R1187" r:id="rId4742" xr:uid="{00000000-0004-0000-0100-000085120000}"/>
    <hyperlink ref="S1187" r:id="rId4743" xr:uid="{00000000-0004-0000-0100-000086120000}"/>
    <hyperlink ref="T1187" r:id="rId4744" xr:uid="{00000000-0004-0000-0100-000087120000}"/>
    <hyperlink ref="Q1188" r:id="rId4745" xr:uid="{00000000-0004-0000-0100-000088120000}"/>
    <hyperlink ref="R1188" r:id="rId4746" xr:uid="{00000000-0004-0000-0100-000089120000}"/>
    <hyperlink ref="S1188" r:id="rId4747" xr:uid="{00000000-0004-0000-0100-00008A120000}"/>
    <hyperlink ref="T1188" r:id="rId4748" xr:uid="{00000000-0004-0000-0100-00008B120000}"/>
    <hyperlink ref="Q1189" r:id="rId4749" xr:uid="{00000000-0004-0000-0100-00008C120000}"/>
    <hyperlink ref="R1189" r:id="rId4750" xr:uid="{00000000-0004-0000-0100-00008D120000}"/>
    <hyperlink ref="S1189" r:id="rId4751" xr:uid="{00000000-0004-0000-0100-00008E120000}"/>
    <hyperlink ref="T1189" r:id="rId4752" xr:uid="{00000000-0004-0000-0100-00008F120000}"/>
    <hyperlink ref="Q1190" r:id="rId4753" xr:uid="{00000000-0004-0000-0100-000090120000}"/>
    <hyperlink ref="R1190" r:id="rId4754" xr:uid="{00000000-0004-0000-0100-000091120000}"/>
    <hyperlink ref="S1190" r:id="rId4755" xr:uid="{00000000-0004-0000-0100-000092120000}"/>
    <hyperlink ref="T1190" r:id="rId4756" xr:uid="{00000000-0004-0000-0100-000093120000}"/>
    <hyperlink ref="Q1191" r:id="rId4757" xr:uid="{00000000-0004-0000-0100-000094120000}"/>
    <hyperlink ref="R1191" r:id="rId4758" xr:uid="{00000000-0004-0000-0100-000095120000}"/>
    <hyperlink ref="S1191" r:id="rId4759" xr:uid="{00000000-0004-0000-0100-000096120000}"/>
    <hyperlink ref="T1191" r:id="rId4760" xr:uid="{00000000-0004-0000-0100-000097120000}"/>
    <hyperlink ref="Q1192" r:id="rId4761" xr:uid="{00000000-0004-0000-0100-000098120000}"/>
    <hyperlink ref="R1192" r:id="rId4762" xr:uid="{00000000-0004-0000-0100-000099120000}"/>
    <hyperlink ref="S1192" r:id="rId4763" xr:uid="{00000000-0004-0000-0100-00009A120000}"/>
    <hyperlink ref="T1192" r:id="rId4764" xr:uid="{00000000-0004-0000-0100-00009B120000}"/>
    <hyperlink ref="Q1193" r:id="rId4765" xr:uid="{00000000-0004-0000-0100-00009C120000}"/>
    <hyperlink ref="R1193" r:id="rId4766" xr:uid="{00000000-0004-0000-0100-00009D120000}"/>
    <hyperlink ref="S1193" r:id="rId4767" xr:uid="{00000000-0004-0000-0100-00009E120000}"/>
    <hyperlink ref="T1193" r:id="rId4768" xr:uid="{00000000-0004-0000-0100-00009F120000}"/>
    <hyperlink ref="Q1194" r:id="rId4769" xr:uid="{00000000-0004-0000-0100-0000A0120000}"/>
    <hyperlink ref="R1194" r:id="rId4770" xr:uid="{00000000-0004-0000-0100-0000A1120000}"/>
    <hyperlink ref="S1194" r:id="rId4771" xr:uid="{00000000-0004-0000-0100-0000A2120000}"/>
    <hyperlink ref="T1194" r:id="rId4772" xr:uid="{00000000-0004-0000-0100-0000A3120000}"/>
    <hyperlink ref="Q1195" r:id="rId4773" xr:uid="{00000000-0004-0000-0100-0000A4120000}"/>
    <hyperlink ref="R1195" r:id="rId4774" xr:uid="{00000000-0004-0000-0100-0000A5120000}"/>
    <hyperlink ref="S1195" r:id="rId4775" xr:uid="{00000000-0004-0000-0100-0000A6120000}"/>
    <hyperlink ref="T1195" r:id="rId4776" xr:uid="{00000000-0004-0000-0100-0000A7120000}"/>
    <hyperlink ref="Q1196" r:id="rId4777" xr:uid="{00000000-0004-0000-0100-0000A8120000}"/>
    <hyperlink ref="R1196" r:id="rId4778" xr:uid="{00000000-0004-0000-0100-0000A9120000}"/>
    <hyperlink ref="S1196" r:id="rId4779" xr:uid="{00000000-0004-0000-0100-0000AA120000}"/>
    <hyperlink ref="T1196" r:id="rId4780" xr:uid="{00000000-0004-0000-0100-0000AB120000}"/>
    <hyperlink ref="Q1197" r:id="rId4781" xr:uid="{00000000-0004-0000-0100-0000AC120000}"/>
    <hyperlink ref="R1197" r:id="rId4782" xr:uid="{00000000-0004-0000-0100-0000AD120000}"/>
    <hyperlink ref="S1197" r:id="rId4783" xr:uid="{00000000-0004-0000-0100-0000AE120000}"/>
    <hyperlink ref="T1197" r:id="rId4784" xr:uid="{00000000-0004-0000-0100-0000AF120000}"/>
    <hyperlink ref="Q1198" r:id="rId4785" xr:uid="{00000000-0004-0000-0100-0000B0120000}"/>
    <hyperlink ref="R1198" r:id="rId4786" xr:uid="{00000000-0004-0000-0100-0000B1120000}"/>
    <hyperlink ref="S1198" r:id="rId4787" xr:uid="{00000000-0004-0000-0100-0000B2120000}"/>
    <hyperlink ref="T1198" r:id="rId4788" xr:uid="{00000000-0004-0000-0100-0000B3120000}"/>
    <hyperlink ref="Q1199" r:id="rId4789" xr:uid="{00000000-0004-0000-0100-0000B4120000}"/>
    <hyperlink ref="R1199" r:id="rId4790" xr:uid="{00000000-0004-0000-0100-0000B5120000}"/>
    <hyperlink ref="S1199" r:id="rId4791" xr:uid="{00000000-0004-0000-0100-0000B6120000}"/>
    <hyperlink ref="T1199" r:id="rId4792" xr:uid="{00000000-0004-0000-0100-0000B7120000}"/>
    <hyperlink ref="Q1200" r:id="rId4793" xr:uid="{00000000-0004-0000-0100-0000B8120000}"/>
    <hyperlink ref="R1200" r:id="rId4794" xr:uid="{00000000-0004-0000-0100-0000B9120000}"/>
    <hyperlink ref="S1200" r:id="rId4795" xr:uid="{00000000-0004-0000-0100-0000BA120000}"/>
    <hyperlink ref="T1200" r:id="rId4796" xr:uid="{00000000-0004-0000-0100-0000BB120000}"/>
    <hyperlink ref="Q1201" r:id="rId4797" xr:uid="{00000000-0004-0000-0100-0000BC120000}"/>
    <hyperlink ref="R1201" r:id="rId4798" xr:uid="{00000000-0004-0000-0100-0000BD120000}"/>
    <hyperlink ref="S1201" r:id="rId4799" xr:uid="{00000000-0004-0000-0100-0000BE120000}"/>
    <hyperlink ref="T1201" r:id="rId4800" xr:uid="{00000000-0004-0000-0100-0000BF120000}"/>
    <hyperlink ref="Q1202" r:id="rId4801" xr:uid="{00000000-0004-0000-0100-0000C0120000}"/>
    <hyperlink ref="R1202" r:id="rId4802" xr:uid="{00000000-0004-0000-0100-0000C1120000}"/>
    <hyperlink ref="S1202" r:id="rId4803" xr:uid="{00000000-0004-0000-0100-0000C2120000}"/>
    <hyperlink ref="T1202" r:id="rId4804" xr:uid="{00000000-0004-0000-0100-0000C3120000}"/>
    <hyperlink ref="Q1203" r:id="rId4805" xr:uid="{00000000-0004-0000-0100-0000C4120000}"/>
    <hyperlink ref="R1203" r:id="rId4806" xr:uid="{00000000-0004-0000-0100-0000C5120000}"/>
    <hyperlink ref="S1203" r:id="rId4807" xr:uid="{00000000-0004-0000-0100-0000C6120000}"/>
    <hyperlink ref="T1203" r:id="rId4808" xr:uid="{00000000-0004-0000-0100-0000C7120000}"/>
    <hyperlink ref="Q1204" r:id="rId4809" xr:uid="{00000000-0004-0000-0100-0000C8120000}"/>
    <hyperlink ref="R1204" r:id="rId4810" xr:uid="{00000000-0004-0000-0100-0000C9120000}"/>
    <hyperlink ref="S1204" r:id="rId4811" xr:uid="{00000000-0004-0000-0100-0000CA120000}"/>
    <hyperlink ref="T1204" r:id="rId4812" xr:uid="{00000000-0004-0000-0100-0000CB120000}"/>
    <hyperlink ref="Q1205" r:id="rId4813" xr:uid="{00000000-0004-0000-0100-0000CC120000}"/>
    <hyperlink ref="R1205" r:id="rId4814" xr:uid="{00000000-0004-0000-0100-0000CD120000}"/>
    <hyperlink ref="S1205" r:id="rId4815" xr:uid="{00000000-0004-0000-0100-0000CE120000}"/>
    <hyperlink ref="T1205" r:id="rId4816" xr:uid="{00000000-0004-0000-0100-0000CF120000}"/>
    <hyperlink ref="Q1206" r:id="rId4817" xr:uid="{00000000-0004-0000-0100-0000D0120000}"/>
    <hyperlink ref="R1206" r:id="rId4818" xr:uid="{00000000-0004-0000-0100-0000D1120000}"/>
    <hyperlink ref="S1206" r:id="rId4819" xr:uid="{00000000-0004-0000-0100-0000D2120000}"/>
    <hyperlink ref="T1206" r:id="rId4820" xr:uid="{00000000-0004-0000-0100-0000D3120000}"/>
    <hyperlink ref="Q1207" r:id="rId4821" xr:uid="{00000000-0004-0000-0100-0000D4120000}"/>
    <hyperlink ref="R1207" r:id="rId4822" xr:uid="{00000000-0004-0000-0100-0000D5120000}"/>
    <hyperlink ref="S1207" r:id="rId4823" xr:uid="{00000000-0004-0000-0100-0000D6120000}"/>
    <hyperlink ref="T1207" r:id="rId4824" xr:uid="{00000000-0004-0000-0100-0000D7120000}"/>
    <hyperlink ref="Q1208" r:id="rId4825" xr:uid="{00000000-0004-0000-0100-0000D8120000}"/>
    <hyperlink ref="R1208" r:id="rId4826" xr:uid="{00000000-0004-0000-0100-0000D9120000}"/>
    <hyperlink ref="S1208" r:id="rId4827" xr:uid="{00000000-0004-0000-0100-0000DA120000}"/>
    <hyperlink ref="T1208" r:id="rId4828" xr:uid="{00000000-0004-0000-0100-0000DB120000}"/>
    <hyperlink ref="Q1209" r:id="rId4829" xr:uid="{00000000-0004-0000-0100-0000DC120000}"/>
    <hyperlink ref="R1209" r:id="rId4830" xr:uid="{00000000-0004-0000-0100-0000DD120000}"/>
    <hyperlink ref="S1209" r:id="rId4831" xr:uid="{00000000-0004-0000-0100-0000DE120000}"/>
    <hyperlink ref="T1209" r:id="rId4832" xr:uid="{00000000-0004-0000-0100-0000DF120000}"/>
    <hyperlink ref="Q1210" r:id="rId4833" xr:uid="{00000000-0004-0000-0100-0000E0120000}"/>
    <hyperlink ref="R1210" r:id="rId4834" xr:uid="{00000000-0004-0000-0100-0000E1120000}"/>
    <hyperlink ref="S1210" r:id="rId4835" xr:uid="{00000000-0004-0000-0100-0000E2120000}"/>
    <hyperlink ref="T1210" r:id="rId4836" xr:uid="{00000000-0004-0000-0100-0000E3120000}"/>
    <hyperlink ref="Q1211" r:id="rId4837" xr:uid="{00000000-0004-0000-0100-0000E4120000}"/>
    <hyperlink ref="R1211" r:id="rId4838" xr:uid="{00000000-0004-0000-0100-0000E5120000}"/>
    <hyperlink ref="S1211" r:id="rId4839" xr:uid="{00000000-0004-0000-0100-0000E6120000}"/>
    <hyperlink ref="T1211" r:id="rId4840" xr:uid="{00000000-0004-0000-0100-0000E7120000}"/>
    <hyperlink ref="Q1212" r:id="rId4841" xr:uid="{00000000-0004-0000-0100-0000E8120000}"/>
    <hyperlink ref="R1212" r:id="rId4842" xr:uid="{00000000-0004-0000-0100-0000E9120000}"/>
    <hyperlink ref="S1212" r:id="rId4843" xr:uid="{00000000-0004-0000-0100-0000EA120000}"/>
    <hyperlink ref="T1212" r:id="rId4844" xr:uid="{00000000-0004-0000-0100-0000EB120000}"/>
    <hyperlink ref="Q1213" r:id="rId4845" xr:uid="{00000000-0004-0000-0100-0000EC120000}"/>
    <hyperlink ref="R1213" r:id="rId4846" xr:uid="{00000000-0004-0000-0100-0000ED120000}"/>
    <hyperlink ref="S1213" r:id="rId4847" xr:uid="{00000000-0004-0000-0100-0000EE120000}"/>
    <hyperlink ref="T1213" r:id="rId4848" xr:uid="{00000000-0004-0000-0100-0000EF120000}"/>
    <hyperlink ref="Q1214" r:id="rId4849" xr:uid="{00000000-0004-0000-0100-0000F0120000}"/>
    <hyperlink ref="R1214" r:id="rId4850" xr:uid="{00000000-0004-0000-0100-0000F1120000}"/>
    <hyperlink ref="S1214" r:id="rId4851" xr:uid="{00000000-0004-0000-0100-0000F2120000}"/>
    <hyperlink ref="T1214" r:id="rId4852" xr:uid="{00000000-0004-0000-0100-0000F3120000}"/>
    <hyperlink ref="Q1215" r:id="rId4853" xr:uid="{00000000-0004-0000-0100-0000F4120000}"/>
    <hyperlink ref="R1215" r:id="rId4854" xr:uid="{00000000-0004-0000-0100-0000F5120000}"/>
    <hyperlink ref="S1215" r:id="rId4855" xr:uid="{00000000-0004-0000-0100-0000F6120000}"/>
    <hyperlink ref="T1215" r:id="rId4856" xr:uid="{00000000-0004-0000-0100-0000F7120000}"/>
    <hyperlink ref="Q1216" r:id="rId4857" xr:uid="{00000000-0004-0000-0100-0000F8120000}"/>
    <hyperlink ref="R1216" r:id="rId4858" xr:uid="{00000000-0004-0000-0100-0000F9120000}"/>
    <hyperlink ref="S1216" r:id="rId4859" xr:uid="{00000000-0004-0000-0100-0000FA120000}"/>
    <hyperlink ref="T1216" r:id="rId4860" xr:uid="{00000000-0004-0000-0100-0000FB120000}"/>
    <hyperlink ref="Q1217" r:id="rId4861" xr:uid="{00000000-0004-0000-0100-0000FC120000}"/>
    <hyperlink ref="R1217" r:id="rId4862" xr:uid="{00000000-0004-0000-0100-0000FD120000}"/>
    <hyperlink ref="S1217" r:id="rId4863" xr:uid="{00000000-0004-0000-0100-0000FE120000}"/>
    <hyperlink ref="T1217" r:id="rId4864" xr:uid="{00000000-0004-0000-0100-0000FF120000}"/>
    <hyperlink ref="Q1218" r:id="rId4865" xr:uid="{00000000-0004-0000-0100-000000130000}"/>
    <hyperlink ref="R1218" r:id="rId4866" xr:uid="{00000000-0004-0000-0100-000001130000}"/>
    <hyperlink ref="S1218" r:id="rId4867" xr:uid="{00000000-0004-0000-0100-000002130000}"/>
    <hyperlink ref="T1218" r:id="rId4868" xr:uid="{00000000-0004-0000-0100-000003130000}"/>
    <hyperlink ref="Q1219" r:id="rId4869" xr:uid="{00000000-0004-0000-0100-000004130000}"/>
    <hyperlink ref="R1219" r:id="rId4870" xr:uid="{00000000-0004-0000-0100-000005130000}"/>
    <hyperlink ref="S1219" r:id="rId4871" xr:uid="{00000000-0004-0000-0100-000006130000}"/>
    <hyperlink ref="T1219" r:id="rId4872" xr:uid="{00000000-0004-0000-0100-000007130000}"/>
    <hyperlink ref="Q1220" r:id="rId4873" xr:uid="{00000000-0004-0000-0100-000008130000}"/>
    <hyperlink ref="R1220" r:id="rId4874" xr:uid="{00000000-0004-0000-0100-000009130000}"/>
    <hyperlink ref="S1220" r:id="rId4875" xr:uid="{00000000-0004-0000-0100-00000A130000}"/>
    <hyperlink ref="T1220" r:id="rId4876" xr:uid="{00000000-0004-0000-0100-00000B130000}"/>
    <hyperlink ref="Q1221" r:id="rId4877" xr:uid="{00000000-0004-0000-0100-00000C130000}"/>
    <hyperlink ref="R1221" r:id="rId4878" xr:uid="{00000000-0004-0000-0100-00000D130000}"/>
    <hyperlink ref="S1221" r:id="rId4879" xr:uid="{00000000-0004-0000-0100-00000E130000}"/>
    <hyperlink ref="T1221" r:id="rId4880" xr:uid="{00000000-0004-0000-0100-00000F130000}"/>
    <hyperlink ref="Q1222" r:id="rId4881" xr:uid="{00000000-0004-0000-0100-000010130000}"/>
    <hyperlink ref="R1222" r:id="rId4882" xr:uid="{00000000-0004-0000-0100-000011130000}"/>
    <hyperlink ref="S1222" r:id="rId4883" xr:uid="{00000000-0004-0000-0100-000012130000}"/>
    <hyperlink ref="T1222" r:id="rId4884" xr:uid="{00000000-0004-0000-0100-000013130000}"/>
    <hyperlink ref="Q1223" r:id="rId4885" xr:uid="{00000000-0004-0000-0100-000014130000}"/>
    <hyperlink ref="R1223" r:id="rId4886" xr:uid="{00000000-0004-0000-0100-000015130000}"/>
    <hyperlink ref="S1223" r:id="rId4887" xr:uid="{00000000-0004-0000-0100-000016130000}"/>
    <hyperlink ref="T1223" r:id="rId4888" xr:uid="{00000000-0004-0000-0100-000017130000}"/>
    <hyperlink ref="Q1224" r:id="rId4889" xr:uid="{00000000-0004-0000-0100-000018130000}"/>
    <hyperlink ref="R1224" r:id="rId4890" xr:uid="{00000000-0004-0000-0100-000019130000}"/>
    <hyperlink ref="S1224" r:id="rId4891" xr:uid="{00000000-0004-0000-0100-00001A130000}"/>
    <hyperlink ref="T1224" r:id="rId4892" xr:uid="{00000000-0004-0000-0100-00001B130000}"/>
    <hyperlink ref="Q1225" r:id="rId4893" xr:uid="{00000000-0004-0000-0100-00001C130000}"/>
    <hyperlink ref="R1225" r:id="rId4894" xr:uid="{00000000-0004-0000-0100-00001D130000}"/>
    <hyperlink ref="S1225" r:id="rId4895" xr:uid="{00000000-0004-0000-0100-00001E130000}"/>
    <hyperlink ref="T1225" r:id="rId4896" xr:uid="{00000000-0004-0000-0100-00001F130000}"/>
    <hyperlink ref="Q1226" r:id="rId4897" xr:uid="{00000000-0004-0000-0100-000020130000}"/>
    <hyperlink ref="R1226" r:id="rId4898" xr:uid="{00000000-0004-0000-0100-000021130000}"/>
    <hyperlink ref="S1226" r:id="rId4899" xr:uid="{00000000-0004-0000-0100-000022130000}"/>
    <hyperlink ref="T1226" r:id="rId4900" xr:uid="{00000000-0004-0000-0100-000023130000}"/>
    <hyperlink ref="Q1227" r:id="rId4901" xr:uid="{00000000-0004-0000-0100-000024130000}"/>
    <hyperlink ref="R1227" r:id="rId4902" xr:uid="{00000000-0004-0000-0100-000025130000}"/>
    <hyperlink ref="S1227" r:id="rId4903" xr:uid="{00000000-0004-0000-0100-000026130000}"/>
    <hyperlink ref="T1227" r:id="rId4904" xr:uid="{00000000-0004-0000-0100-000027130000}"/>
    <hyperlink ref="Q1228" r:id="rId4905" xr:uid="{00000000-0004-0000-0100-000028130000}"/>
    <hyperlink ref="R1228" r:id="rId4906" xr:uid="{00000000-0004-0000-0100-000029130000}"/>
    <hyperlink ref="S1228" r:id="rId4907" xr:uid="{00000000-0004-0000-0100-00002A130000}"/>
    <hyperlink ref="T1228" r:id="rId4908" xr:uid="{00000000-0004-0000-0100-00002B130000}"/>
    <hyperlink ref="Q1229" r:id="rId4909" xr:uid="{00000000-0004-0000-0100-00002C130000}"/>
    <hyperlink ref="R1229" r:id="rId4910" xr:uid="{00000000-0004-0000-0100-00002D130000}"/>
    <hyperlink ref="S1229" r:id="rId4911" xr:uid="{00000000-0004-0000-0100-00002E130000}"/>
    <hyperlink ref="T1229" r:id="rId4912" xr:uid="{00000000-0004-0000-0100-00002F130000}"/>
    <hyperlink ref="Q1230" r:id="rId4913" xr:uid="{00000000-0004-0000-0100-000030130000}"/>
    <hyperlink ref="R1230" r:id="rId4914" xr:uid="{00000000-0004-0000-0100-000031130000}"/>
    <hyperlink ref="S1230" r:id="rId4915" xr:uid="{00000000-0004-0000-0100-000032130000}"/>
    <hyperlink ref="T1230" r:id="rId4916" xr:uid="{00000000-0004-0000-0100-000033130000}"/>
    <hyperlink ref="Q1231" r:id="rId4917" xr:uid="{00000000-0004-0000-0100-000034130000}"/>
    <hyperlink ref="R1231" r:id="rId4918" xr:uid="{00000000-0004-0000-0100-000035130000}"/>
    <hyperlink ref="S1231" r:id="rId4919" xr:uid="{00000000-0004-0000-0100-000036130000}"/>
    <hyperlink ref="T1231" r:id="rId4920" xr:uid="{00000000-0004-0000-0100-000037130000}"/>
    <hyperlink ref="Q1232" r:id="rId4921" xr:uid="{00000000-0004-0000-0100-000038130000}"/>
    <hyperlink ref="R1232" r:id="rId4922" xr:uid="{00000000-0004-0000-0100-000039130000}"/>
    <hyperlink ref="S1232" r:id="rId4923" xr:uid="{00000000-0004-0000-0100-00003A130000}"/>
    <hyperlink ref="T1232" r:id="rId4924" xr:uid="{00000000-0004-0000-0100-00003B130000}"/>
    <hyperlink ref="Q1233" r:id="rId4925" xr:uid="{00000000-0004-0000-0100-00003C130000}"/>
    <hyperlink ref="R1233" r:id="rId4926" xr:uid="{00000000-0004-0000-0100-00003D130000}"/>
    <hyperlink ref="S1233" r:id="rId4927" xr:uid="{00000000-0004-0000-0100-00003E130000}"/>
    <hyperlink ref="T1233" r:id="rId4928" xr:uid="{00000000-0004-0000-0100-00003F130000}"/>
    <hyperlink ref="Q1234" r:id="rId4929" xr:uid="{00000000-0004-0000-0100-000040130000}"/>
    <hyperlink ref="R1234" r:id="rId4930" xr:uid="{00000000-0004-0000-0100-000041130000}"/>
    <hyperlink ref="S1234" r:id="rId4931" xr:uid="{00000000-0004-0000-0100-000042130000}"/>
    <hyperlink ref="T1234" r:id="rId4932" xr:uid="{00000000-0004-0000-0100-000043130000}"/>
    <hyperlink ref="Q1235" r:id="rId4933" xr:uid="{00000000-0004-0000-0100-000044130000}"/>
    <hyperlink ref="R1235" r:id="rId4934" xr:uid="{00000000-0004-0000-0100-000045130000}"/>
    <hyperlink ref="S1235" r:id="rId4935" xr:uid="{00000000-0004-0000-0100-000046130000}"/>
    <hyperlink ref="T1235" r:id="rId4936" xr:uid="{00000000-0004-0000-0100-000047130000}"/>
    <hyperlink ref="Q1236" r:id="rId4937" xr:uid="{00000000-0004-0000-0100-000048130000}"/>
    <hyperlink ref="R1236" r:id="rId4938" xr:uid="{00000000-0004-0000-0100-000049130000}"/>
    <hyperlink ref="S1236" r:id="rId4939" xr:uid="{00000000-0004-0000-0100-00004A130000}"/>
    <hyperlink ref="T1236" r:id="rId4940" xr:uid="{00000000-0004-0000-0100-00004B130000}"/>
    <hyperlink ref="Q1237" r:id="rId4941" xr:uid="{00000000-0004-0000-0100-00004C130000}"/>
    <hyperlink ref="R1237" r:id="rId4942" xr:uid="{00000000-0004-0000-0100-00004D130000}"/>
    <hyperlink ref="S1237" r:id="rId4943" xr:uid="{00000000-0004-0000-0100-00004E130000}"/>
    <hyperlink ref="T1237" r:id="rId4944" xr:uid="{00000000-0004-0000-0100-00004F130000}"/>
    <hyperlink ref="Q1238" r:id="rId4945" xr:uid="{00000000-0004-0000-0100-000050130000}"/>
    <hyperlink ref="R1238" r:id="rId4946" xr:uid="{00000000-0004-0000-0100-000051130000}"/>
    <hyperlink ref="S1238" r:id="rId4947" xr:uid="{00000000-0004-0000-0100-000052130000}"/>
    <hyperlink ref="T1238" r:id="rId4948" xr:uid="{00000000-0004-0000-0100-000053130000}"/>
    <hyperlink ref="Q1239" r:id="rId4949" xr:uid="{00000000-0004-0000-0100-000054130000}"/>
    <hyperlink ref="R1239" r:id="rId4950" xr:uid="{00000000-0004-0000-0100-000055130000}"/>
    <hyperlink ref="S1239" r:id="rId4951" xr:uid="{00000000-0004-0000-0100-000056130000}"/>
    <hyperlink ref="T1239" r:id="rId4952" xr:uid="{00000000-0004-0000-0100-000057130000}"/>
    <hyperlink ref="Q1240" r:id="rId4953" xr:uid="{00000000-0004-0000-0100-000058130000}"/>
    <hyperlink ref="R1240" r:id="rId4954" xr:uid="{00000000-0004-0000-0100-000059130000}"/>
    <hyperlink ref="S1240" r:id="rId4955" xr:uid="{00000000-0004-0000-0100-00005A130000}"/>
    <hyperlink ref="T1240" r:id="rId4956" xr:uid="{00000000-0004-0000-0100-00005B130000}"/>
    <hyperlink ref="Q1241" r:id="rId4957" xr:uid="{00000000-0004-0000-0100-00005C130000}"/>
    <hyperlink ref="R1241" r:id="rId4958" xr:uid="{00000000-0004-0000-0100-00005D130000}"/>
    <hyperlink ref="S1241" r:id="rId4959" xr:uid="{00000000-0004-0000-0100-00005E130000}"/>
    <hyperlink ref="T1241" r:id="rId4960" xr:uid="{00000000-0004-0000-0100-00005F130000}"/>
    <hyperlink ref="Q1242" r:id="rId4961" xr:uid="{00000000-0004-0000-0100-000060130000}"/>
    <hyperlink ref="R1242" r:id="rId4962" xr:uid="{00000000-0004-0000-0100-000061130000}"/>
    <hyperlink ref="S1242" r:id="rId4963" xr:uid="{00000000-0004-0000-0100-000062130000}"/>
    <hyperlink ref="T1242" r:id="rId4964" xr:uid="{00000000-0004-0000-0100-000063130000}"/>
    <hyperlink ref="Q1243" r:id="rId4965" xr:uid="{00000000-0004-0000-0100-000064130000}"/>
    <hyperlink ref="R1243" r:id="rId4966" xr:uid="{00000000-0004-0000-0100-000065130000}"/>
    <hyperlink ref="S1243" r:id="rId4967" xr:uid="{00000000-0004-0000-0100-000066130000}"/>
    <hyperlink ref="T1243" r:id="rId4968" xr:uid="{00000000-0004-0000-0100-000067130000}"/>
    <hyperlink ref="Q1244" r:id="rId4969" xr:uid="{00000000-0004-0000-0100-000068130000}"/>
    <hyperlink ref="R1244" r:id="rId4970" xr:uid="{00000000-0004-0000-0100-000069130000}"/>
    <hyperlink ref="S1244" r:id="rId4971" xr:uid="{00000000-0004-0000-0100-00006A130000}"/>
    <hyperlink ref="T1244" r:id="rId4972" xr:uid="{00000000-0004-0000-0100-00006B130000}"/>
    <hyperlink ref="Q1245" r:id="rId4973" xr:uid="{00000000-0004-0000-0100-00006C130000}"/>
    <hyperlink ref="R1245" r:id="rId4974" xr:uid="{00000000-0004-0000-0100-00006D130000}"/>
    <hyperlink ref="S1245" r:id="rId4975" xr:uid="{00000000-0004-0000-0100-00006E130000}"/>
    <hyperlink ref="T1245" r:id="rId4976" xr:uid="{00000000-0004-0000-0100-00006F130000}"/>
    <hyperlink ref="Q1246" r:id="rId4977" xr:uid="{00000000-0004-0000-0100-000070130000}"/>
    <hyperlink ref="R1246" r:id="rId4978" xr:uid="{00000000-0004-0000-0100-000071130000}"/>
    <hyperlink ref="S1246" r:id="rId4979" xr:uid="{00000000-0004-0000-0100-000072130000}"/>
    <hyperlink ref="T1246" r:id="rId4980" xr:uid="{00000000-0004-0000-0100-000073130000}"/>
    <hyperlink ref="Q1247" r:id="rId4981" xr:uid="{00000000-0004-0000-0100-000074130000}"/>
    <hyperlink ref="R1247" r:id="rId4982" xr:uid="{00000000-0004-0000-0100-000075130000}"/>
    <hyperlink ref="S1247" r:id="rId4983" xr:uid="{00000000-0004-0000-0100-000076130000}"/>
    <hyperlink ref="T1247" r:id="rId4984" xr:uid="{00000000-0004-0000-0100-000077130000}"/>
    <hyperlink ref="Q1248" r:id="rId4985" xr:uid="{00000000-0004-0000-0100-000078130000}"/>
    <hyperlink ref="R1248" r:id="rId4986" xr:uid="{00000000-0004-0000-0100-000079130000}"/>
    <hyperlink ref="S1248" r:id="rId4987" xr:uid="{00000000-0004-0000-0100-00007A130000}"/>
    <hyperlink ref="T1248" r:id="rId4988" xr:uid="{00000000-0004-0000-0100-00007B130000}"/>
    <hyperlink ref="Q1249" r:id="rId4989" xr:uid="{00000000-0004-0000-0100-00007C130000}"/>
    <hyperlink ref="R1249" r:id="rId4990" xr:uid="{00000000-0004-0000-0100-00007D130000}"/>
    <hyperlink ref="S1249" r:id="rId4991" xr:uid="{00000000-0004-0000-0100-00007E130000}"/>
    <hyperlink ref="T1249" r:id="rId4992" xr:uid="{00000000-0004-0000-0100-00007F130000}"/>
    <hyperlink ref="Q1250" r:id="rId4993" xr:uid="{00000000-0004-0000-0100-000080130000}"/>
    <hyperlink ref="R1250" r:id="rId4994" xr:uid="{00000000-0004-0000-0100-000081130000}"/>
    <hyperlink ref="S1250" r:id="rId4995" xr:uid="{00000000-0004-0000-0100-000082130000}"/>
    <hyperlink ref="T1250" r:id="rId4996" xr:uid="{00000000-0004-0000-0100-000083130000}"/>
    <hyperlink ref="Q1251" r:id="rId4997" xr:uid="{00000000-0004-0000-0100-000084130000}"/>
    <hyperlink ref="R1251" r:id="rId4998" xr:uid="{00000000-0004-0000-0100-000085130000}"/>
    <hyperlink ref="S1251" r:id="rId4999" xr:uid="{00000000-0004-0000-0100-000086130000}"/>
    <hyperlink ref="T1251" r:id="rId5000" xr:uid="{00000000-0004-0000-0100-000087130000}"/>
    <hyperlink ref="Q1252" r:id="rId5001" xr:uid="{00000000-0004-0000-0100-000088130000}"/>
    <hyperlink ref="R1252" r:id="rId5002" xr:uid="{00000000-0004-0000-0100-000089130000}"/>
    <hyperlink ref="S1252" r:id="rId5003" xr:uid="{00000000-0004-0000-0100-00008A130000}"/>
    <hyperlink ref="T1252" r:id="rId5004" xr:uid="{00000000-0004-0000-0100-00008B130000}"/>
    <hyperlink ref="Q1253" r:id="rId5005" xr:uid="{00000000-0004-0000-0100-00008C130000}"/>
    <hyperlink ref="R1253" r:id="rId5006" xr:uid="{00000000-0004-0000-0100-00008D130000}"/>
    <hyperlink ref="S1253" r:id="rId5007" xr:uid="{00000000-0004-0000-0100-00008E130000}"/>
    <hyperlink ref="T1253" r:id="rId5008" xr:uid="{00000000-0004-0000-0100-00008F130000}"/>
    <hyperlink ref="Q1254" r:id="rId5009" xr:uid="{00000000-0004-0000-0100-000090130000}"/>
    <hyperlink ref="R1254" r:id="rId5010" xr:uid="{00000000-0004-0000-0100-000091130000}"/>
    <hyperlink ref="S1254" r:id="rId5011" xr:uid="{00000000-0004-0000-0100-000092130000}"/>
    <hyperlink ref="T1254" r:id="rId5012" xr:uid="{00000000-0004-0000-0100-000093130000}"/>
    <hyperlink ref="Q1255" r:id="rId5013" xr:uid="{00000000-0004-0000-0100-000094130000}"/>
    <hyperlink ref="R1255" r:id="rId5014" xr:uid="{00000000-0004-0000-0100-000095130000}"/>
    <hyperlink ref="S1255" r:id="rId5015" xr:uid="{00000000-0004-0000-0100-000096130000}"/>
    <hyperlink ref="T1255" r:id="rId5016" xr:uid="{00000000-0004-0000-0100-000097130000}"/>
    <hyperlink ref="Q1256" r:id="rId5017" xr:uid="{00000000-0004-0000-0100-000098130000}"/>
    <hyperlink ref="R1256" r:id="rId5018" xr:uid="{00000000-0004-0000-0100-000099130000}"/>
    <hyperlink ref="S1256" r:id="rId5019" xr:uid="{00000000-0004-0000-0100-00009A130000}"/>
    <hyperlink ref="T1256" r:id="rId5020" xr:uid="{00000000-0004-0000-0100-00009B130000}"/>
    <hyperlink ref="Q1257" r:id="rId5021" xr:uid="{00000000-0004-0000-0100-00009C130000}"/>
    <hyperlink ref="R1257" r:id="rId5022" xr:uid="{00000000-0004-0000-0100-00009D130000}"/>
    <hyperlink ref="S1257" r:id="rId5023" xr:uid="{00000000-0004-0000-0100-00009E130000}"/>
    <hyperlink ref="T1257" r:id="rId5024" xr:uid="{00000000-0004-0000-0100-00009F130000}"/>
    <hyperlink ref="Q1258" r:id="rId5025" xr:uid="{00000000-0004-0000-0100-0000A0130000}"/>
    <hyperlink ref="R1258" r:id="rId5026" xr:uid="{00000000-0004-0000-0100-0000A1130000}"/>
    <hyperlink ref="S1258" r:id="rId5027" xr:uid="{00000000-0004-0000-0100-0000A2130000}"/>
    <hyperlink ref="T1258" r:id="rId5028" xr:uid="{00000000-0004-0000-0100-0000A3130000}"/>
    <hyperlink ref="Q1259" r:id="rId5029" xr:uid="{00000000-0004-0000-0100-0000A4130000}"/>
    <hyperlink ref="R1259" r:id="rId5030" xr:uid="{00000000-0004-0000-0100-0000A5130000}"/>
    <hyperlink ref="S1259" r:id="rId5031" xr:uid="{00000000-0004-0000-0100-0000A6130000}"/>
    <hyperlink ref="T1259" r:id="rId5032" xr:uid="{00000000-0004-0000-0100-0000A7130000}"/>
    <hyperlink ref="Q1260" r:id="rId5033" xr:uid="{00000000-0004-0000-0100-0000A8130000}"/>
    <hyperlink ref="R1260" r:id="rId5034" xr:uid="{00000000-0004-0000-0100-0000A9130000}"/>
    <hyperlink ref="S1260" r:id="rId5035" xr:uid="{00000000-0004-0000-0100-0000AA130000}"/>
    <hyperlink ref="T1260" r:id="rId5036" xr:uid="{00000000-0004-0000-0100-0000AB130000}"/>
    <hyperlink ref="Q1261" r:id="rId5037" xr:uid="{00000000-0004-0000-0100-0000AC130000}"/>
    <hyperlink ref="R1261" r:id="rId5038" xr:uid="{00000000-0004-0000-0100-0000AD130000}"/>
    <hyperlink ref="S1261" r:id="rId5039" xr:uid="{00000000-0004-0000-0100-0000AE130000}"/>
    <hyperlink ref="T1261" r:id="rId5040" xr:uid="{00000000-0004-0000-0100-0000AF130000}"/>
    <hyperlink ref="Q1262" r:id="rId5041" xr:uid="{00000000-0004-0000-0100-0000B0130000}"/>
    <hyperlink ref="R1262" r:id="rId5042" xr:uid="{00000000-0004-0000-0100-0000B1130000}"/>
    <hyperlink ref="S1262" r:id="rId5043" xr:uid="{00000000-0004-0000-0100-0000B2130000}"/>
    <hyperlink ref="T1262" r:id="rId5044" xr:uid="{00000000-0004-0000-0100-0000B3130000}"/>
    <hyperlink ref="Q1263" r:id="rId5045" xr:uid="{00000000-0004-0000-0100-0000B4130000}"/>
    <hyperlink ref="R1263" r:id="rId5046" xr:uid="{00000000-0004-0000-0100-0000B5130000}"/>
    <hyperlink ref="S1263" r:id="rId5047" xr:uid="{00000000-0004-0000-0100-0000B6130000}"/>
    <hyperlink ref="T1263" r:id="rId5048" xr:uid="{00000000-0004-0000-0100-0000B7130000}"/>
    <hyperlink ref="Q1264" r:id="rId5049" xr:uid="{00000000-0004-0000-0100-0000B8130000}"/>
    <hyperlink ref="R1264" r:id="rId5050" xr:uid="{00000000-0004-0000-0100-0000B9130000}"/>
    <hyperlink ref="S1264" r:id="rId5051" xr:uid="{00000000-0004-0000-0100-0000BA130000}"/>
    <hyperlink ref="T1264" r:id="rId5052" xr:uid="{00000000-0004-0000-0100-0000BB130000}"/>
    <hyperlink ref="Q1265" r:id="rId5053" xr:uid="{00000000-0004-0000-0100-0000BC130000}"/>
    <hyperlink ref="R1265" r:id="rId5054" xr:uid="{00000000-0004-0000-0100-0000BD130000}"/>
    <hyperlink ref="S1265" r:id="rId5055" xr:uid="{00000000-0004-0000-0100-0000BE130000}"/>
    <hyperlink ref="T1265" r:id="rId5056" xr:uid="{00000000-0004-0000-0100-0000BF130000}"/>
    <hyperlink ref="Q1266" r:id="rId5057" xr:uid="{00000000-0004-0000-0100-0000C0130000}"/>
    <hyperlink ref="R1266" r:id="rId5058" xr:uid="{00000000-0004-0000-0100-0000C1130000}"/>
    <hyperlink ref="S1266" r:id="rId5059" xr:uid="{00000000-0004-0000-0100-0000C2130000}"/>
    <hyperlink ref="T1266" r:id="rId5060" xr:uid="{00000000-0004-0000-0100-0000C3130000}"/>
    <hyperlink ref="Q1267" r:id="rId5061" xr:uid="{00000000-0004-0000-0100-0000C4130000}"/>
    <hyperlink ref="R1267" r:id="rId5062" xr:uid="{00000000-0004-0000-0100-0000C5130000}"/>
    <hyperlink ref="S1267" r:id="rId5063" xr:uid="{00000000-0004-0000-0100-0000C6130000}"/>
    <hyperlink ref="T1267" r:id="rId5064" xr:uid="{00000000-0004-0000-0100-0000C7130000}"/>
    <hyperlink ref="Q1268" r:id="rId5065" xr:uid="{00000000-0004-0000-0100-0000C8130000}"/>
    <hyperlink ref="R1268" r:id="rId5066" xr:uid="{00000000-0004-0000-0100-0000C9130000}"/>
    <hyperlink ref="S1268" r:id="rId5067" xr:uid="{00000000-0004-0000-0100-0000CA130000}"/>
    <hyperlink ref="T1268" r:id="rId5068" xr:uid="{00000000-0004-0000-0100-0000CB130000}"/>
    <hyperlink ref="Q1269" r:id="rId5069" xr:uid="{00000000-0004-0000-0100-0000CC130000}"/>
    <hyperlink ref="R1269" r:id="rId5070" xr:uid="{00000000-0004-0000-0100-0000CD130000}"/>
    <hyperlink ref="S1269" r:id="rId5071" xr:uid="{00000000-0004-0000-0100-0000CE130000}"/>
    <hyperlink ref="T1269" r:id="rId5072" xr:uid="{00000000-0004-0000-0100-0000CF130000}"/>
    <hyperlink ref="Q1270" r:id="rId5073" xr:uid="{00000000-0004-0000-0100-0000D0130000}"/>
    <hyperlink ref="R1270" r:id="rId5074" xr:uid="{00000000-0004-0000-0100-0000D1130000}"/>
    <hyperlink ref="S1270" r:id="rId5075" xr:uid="{00000000-0004-0000-0100-0000D2130000}"/>
    <hyperlink ref="T1270" r:id="rId5076" xr:uid="{00000000-0004-0000-0100-0000D3130000}"/>
    <hyperlink ref="Q1271" r:id="rId5077" xr:uid="{00000000-0004-0000-0100-0000D4130000}"/>
    <hyperlink ref="R1271" r:id="rId5078" xr:uid="{00000000-0004-0000-0100-0000D5130000}"/>
    <hyperlink ref="S1271" r:id="rId5079" xr:uid="{00000000-0004-0000-0100-0000D6130000}"/>
    <hyperlink ref="T1271" r:id="rId5080" xr:uid="{00000000-0004-0000-0100-0000D7130000}"/>
    <hyperlink ref="Q1272" r:id="rId5081" xr:uid="{00000000-0004-0000-0100-0000D8130000}"/>
    <hyperlink ref="R1272" r:id="rId5082" xr:uid="{00000000-0004-0000-0100-0000D9130000}"/>
    <hyperlink ref="S1272" r:id="rId5083" xr:uid="{00000000-0004-0000-0100-0000DA130000}"/>
    <hyperlink ref="T1272" r:id="rId5084" xr:uid="{00000000-0004-0000-0100-0000DB130000}"/>
    <hyperlink ref="Q1273" r:id="rId5085" xr:uid="{00000000-0004-0000-0100-0000DC130000}"/>
    <hyperlink ref="R1273" r:id="rId5086" xr:uid="{00000000-0004-0000-0100-0000DD130000}"/>
    <hyperlink ref="S1273" r:id="rId5087" xr:uid="{00000000-0004-0000-0100-0000DE130000}"/>
    <hyperlink ref="T1273" r:id="rId5088" xr:uid="{00000000-0004-0000-0100-0000DF130000}"/>
    <hyperlink ref="Q1274" r:id="rId5089" xr:uid="{00000000-0004-0000-0100-0000E0130000}"/>
    <hyperlink ref="R1274" r:id="rId5090" xr:uid="{00000000-0004-0000-0100-0000E1130000}"/>
    <hyperlink ref="S1274" r:id="rId5091" xr:uid="{00000000-0004-0000-0100-0000E2130000}"/>
    <hyperlink ref="T1274" r:id="rId5092" xr:uid="{00000000-0004-0000-0100-0000E3130000}"/>
    <hyperlink ref="Q1275" r:id="rId5093" xr:uid="{00000000-0004-0000-0100-0000E4130000}"/>
    <hyperlink ref="R1275" r:id="rId5094" xr:uid="{00000000-0004-0000-0100-0000E5130000}"/>
    <hyperlink ref="S1275" r:id="rId5095" xr:uid="{00000000-0004-0000-0100-0000E6130000}"/>
    <hyperlink ref="T1275" r:id="rId5096" xr:uid="{00000000-0004-0000-0100-0000E7130000}"/>
    <hyperlink ref="Q1276" r:id="rId5097" xr:uid="{00000000-0004-0000-0100-0000E8130000}"/>
    <hyperlink ref="R1276" r:id="rId5098" xr:uid="{00000000-0004-0000-0100-0000E9130000}"/>
    <hyperlink ref="S1276" r:id="rId5099" xr:uid="{00000000-0004-0000-0100-0000EA130000}"/>
    <hyperlink ref="T1276" r:id="rId5100" xr:uid="{00000000-0004-0000-0100-0000EB130000}"/>
    <hyperlink ref="Q1277" r:id="rId5101" xr:uid="{00000000-0004-0000-0100-0000EC130000}"/>
    <hyperlink ref="R1277" r:id="rId5102" xr:uid="{00000000-0004-0000-0100-0000ED130000}"/>
    <hyperlink ref="S1277" r:id="rId5103" xr:uid="{00000000-0004-0000-0100-0000EE130000}"/>
    <hyperlink ref="T1277" r:id="rId5104" xr:uid="{00000000-0004-0000-0100-0000EF130000}"/>
    <hyperlink ref="Q1278" r:id="rId5105" xr:uid="{00000000-0004-0000-0100-0000F0130000}"/>
    <hyperlink ref="R1278" r:id="rId5106" xr:uid="{00000000-0004-0000-0100-0000F1130000}"/>
    <hyperlink ref="S1278" r:id="rId5107" xr:uid="{00000000-0004-0000-0100-0000F2130000}"/>
    <hyperlink ref="T1278" r:id="rId5108" xr:uid="{00000000-0004-0000-0100-0000F3130000}"/>
    <hyperlink ref="Q1279" r:id="rId5109" xr:uid="{00000000-0004-0000-0100-0000F4130000}"/>
    <hyperlink ref="R1279" r:id="rId5110" xr:uid="{00000000-0004-0000-0100-0000F5130000}"/>
    <hyperlink ref="S1279" r:id="rId5111" xr:uid="{00000000-0004-0000-0100-0000F6130000}"/>
    <hyperlink ref="T1279" r:id="rId5112" xr:uid="{00000000-0004-0000-0100-0000F7130000}"/>
    <hyperlink ref="Q1280" r:id="rId5113" xr:uid="{00000000-0004-0000-0100-0000F8130000}"/>
    <hyperlink ref="R1280" r:id="rId5114" xr:uid="{00000000-0004-0000-0100-0000F9130000}"/>
    <hyperlink ref="S1280" r:id="rId5115" xr:uid="{00000000-0004-0000-0100-0000FA130000}"/>
    <hyperlink ref="T1280" r:id="rId5116" xr:uid="{00000000-0004-0000-0100-0000FB130000}"/>
    <hyperlink ref="Q1281" r:id="rId5117" xr:uid="{00000000-0004-0000-0100-0000FC130000}"/>
    <hyperlink ref="R1281" r:id="rId5118" xr:uid="{00000000-0004-0000-0100-0000FD130000}"/>
    <hyperlink ref="S1281" r:id="rId5119" xr:uid="{00000000-0004-0000-0100-0000FE130000}"/>
    <hyperlink ref="T1281" r:id="rId5120" xr:uid="{00000000-0004-0000-0100-0000FF130000}"/>
    <hyperlink ref="Q1282" r:id="rId5121" xr:uid="{00000000-0004-0000-0100-000000140000}"/>
    <hyperlink ref="R1282" r:id="rId5122" xr:uid="{00000000-0004-0000-0100-000001140000}"/>
    <hyperlink ref="S1282" r:id="rId5123" xr:uid="{00000000-0004-0000-0100-000002140000}"/>
    <hyperlink ref="T1282" r:id="rId5124" xr:uid="{00000000-0004-0000-0100-000003140000}"/>
    <hyperlink ref="Q1283" r:id="rId5125" xr:uid="{00000000-0004-0000-0100-000004140000}"/>
    <hyperlink ref="R1283" r:id="rId5126" xr:uid="{00000000-0004-0000-0100-000005140000}"/>
    <hyperlink ref="S1283" r:id="rId5127" xr:uid="{00000000-0004-0000-0100-000006140000}"/>
    <hyperlink ref="T1283" r:id="rId5128" xr:uid="{00000000-0004-0000-0100-000007140000}"/>
    <hyperlink ref="Q1284" r:id="rId5129" xr:uid="{00000000-0004-0000-0100-000008140000}"/>
    <hyperlink ref="R1284" r:id="rId5130" xr:uid="{00000000-0004-0000-0100-000009140000}"/>
    <hyperlink ref="S1284" r:id="rId5131" xr:uid="{00000000-0004-0000-0100-00000A140000}"/>
    <hyperlink ref="T1284" r:id="rId5132" xr:uid="{00000000-0004-0000-0100-00000B140000}"/>
    <hyperlink ref="Q1285" r:id="rId5133" xr:uid="{00000000-0004-0000-0100-00000C140000}"/>
    <hyperlink ref="R1285" r:id="rId5134" xr:uid="{00000000-0004-0000-0100-00000D140000}"/>
    <hyperlink ref="S1285" r:id="rId5135" xr:uid="{00000000-0004-0000-0100-00000E140000}"/>
    <hyperlink ref="T1285" r:id="rId5136" xr:uid="{00000000-0004-0000-0100-00000F140000}"/>
    <hyperlink ref="Q1286" r:id="rId5137" xr:uid="{00000000-0004-0000-0100-000010140000}"/>
    <hyperlink ref="R1286" r:id="rId5138" xr:uid="{00000000-0004-0000-0100-000011140000}"/>
    <hyperlink ref="S1286" r:id="rId5139" xr:uid="{00000000-0004-0000-0100-000012140000}"/>
    <hyperlink ref="T1286" r:id="rId5140" xr:uid="{00000000-0004-0000-0100-000013140000}"/>
    <hyperlink ref="Q1287" r:id="rId5141" xr:uid="{00000000-0004-0000-0100-000014140000}"/>
    <hyperlink ref="R1287" r:id="rId5142" xr:uid="{00000000-0004-0000-0100-000015140000}"/>
    <hyperlink ref="S1287" r:id="rId5143" xr:uid="{00000000-0004-0000-0100-000016140000}"/>
    <hyperlink ref="T1287" r:id="rId5144" xr:uid="{00000000-0004-0000-0100-000017140000}"/>
    <hyperlink ref="Q1288" r:id="rId5145" xr:uid="{00000000-0004-0000-0100-000018140000}"/>
    <hyperlink ref="R1288" r:id="rId5146" xr:uid="{00000000-0004-0000-0100-000019140000}"/>
    <hyperlink ref="S1288" r:id="rId5147" xr:uid="{00000000-0004-0000-0100-00001A140000}"/>
    <hyperlink ref="T1288" r:id="rId5148" xr:uid="{00000000-0004-0000-0100-00001B140000}"/>
    <hyperlink ref="Q1289" r:id="rId5149" xr:uid="{00000000-0004-0000-0100-00001C140000}"/>
    <hyperlink ref="R1289" r:id="rId5150" xr:uid="{00000000-0004-0000-0100-00001D140000}"/>
    <hyperlink ref="S1289" r:id="rId5151" xr:uid="{00000000-0004-0000-0100-00001E140000}"/>
    <hyperlink ref="T1289" r:id="rId5152" xr:uid="{00000000-0004-0000-0100-00001F140000}"/>
    <hyperlink ref="Q1290" r:id="rId5153" xr:uid="{00000000-0004-0000-0100-000020140000}"/>
    <hyperlink ref="R1290" r:id="rId5154" xr:uid="{00000000-0004-0000-0100-000021140000}"/>
    <hyperlink ref="S1290" r:id="rId5155" xr:uid="{00000000-0004-0000-0100-000022140000}"/>
    <hyperlink ref="T1290" r:id="rId5156" xr:uid="{00000000-0004-0000-0100-000023140000}"/>
    <hyperlink ref="Q1291" r:id="rId5157" xr:uid="{00000000-0004-0000-0100-000024140000}"/>
    <hyperlink ref="R1291" r:id="rId5158" xr:uid="{00000000-0004-0000-0100-000025140000}"/>
    <hyperlink ref="S1291" r:id="rId5159" xr:uid="{00000000-0004-0000-0100-000026140000}"/>
    <hyperlink ref="T1291" r:id="rId5160" xr:uid="{00000000-0004-0000-0100-000027140000}"/>
    <hyperlink ref="Q1292" r:id="rId5161" xr:uid="{00000000-0004-0000-0100-000028140000}"/>
    <hyperlink ref="R1292" r:id="rId5162" xr:uid="{00000000-0004-0000-0100-000029140000}"/>
    <hyperlink ref="S1292" r:id="rId5163" xr:uid="{00000000-0004-0000-0100-00002A140000}"/>
    <hyperlink ref="T1292" r:id="rId5164" xr:uid="{00000000-0004-0000-0100-00002B140000}"/>
    <hyperlink ref="Q1293" r:id="rId5165" xr:uid="{00000000-0004-0000-0100-00002C140000}"/>
    <hyperlink ref="R1293" r:id="rId5166" xr:uid="{00000000-0004-0000-0100-00002D140000}"/>
    <hyperlink ref="S1293" r:id="rId5167" xr:uid="{00000000-0004-0000-0100-00002E140000}"/>
    <hyperlink ref="T1293" r:id="rId5168" xr:uid="{00000000-0004-0000-0100-00002F140000}"/>
    <hyperlink ref="Q1294" r:id="rId5169" xr:uid="{00000000-0004-0000-0100-000030140000}"/>
    <hyperlink ref="R1294" r:id="rId5170" xr:uid="{00000000-0004-0000-0100-000031140000}"/>
    <hyperlink ref="S1294" r:id="rId5171" xr:uid="{00000000-0004-0000-0100-000032140000}"/>
    <hyperlink ref="T1294" r:id="rId5172" xr:uid="{00000000-0004-0000-0100-000033140000}"/>
    <hyperlink ref="Q1295" r:id="rId5173" xr:uid="{00000000-0004-0000-0100-000034140000}"/>
    <hyperlink ref="R1295" r:id="rId5174" xr:uid="{00000000-0004-0000-0100-000035140000}"/>
    <hyperlink ref="S1295" r:id="rId5175" xr:uid="{00000000-0004-0000-0100-000036140000}"/>
    <hyperlink ref="T1295" r:id="rId5176" xr:uid="{00000000-0004-0000-0100-000037140000}"/>
    <hyperlink ref="Q1296" r:id="rId5177" xr:uid="{00000000-0004-0000-0100-000038140000}"/>
    <hyperlink ref="R1296" r:id="rId5178" xr:uid="{00000000-0004-0000-0100-000039140000}"/>
    <hyperlink ref="S1296" r:id="rId5179" xr:uid="{00000000-0004-0000-0100-00003A140000}"/>
    <hyperlink ref="T1296" r:id="rId5180" xr:uid="{00000000-0004-0000-0100-00003B140000}"/>
    <hyperlink ref="Q1297" r:id="rId5181" xr:uid="{00000000-0004-0000-0100-00003C140000}"/>
    <hyperlink ref="R1297" r:id="rId5182" xr:uid="{00000000-0004-0000-0100-00003D140000}"/>
    <hyperlink ref="S1297" r:id="rId5183" xr:uid="{00000000-0004-0000-0100-00003E140000}"/>
    <hyperlink ref="T1297" r:id="rId5184" xr:uid="{00000000-0004-0000-0100-00003F140000}"/>
    <hyperlink ref="Q1298" r:id="rId5185" xr:uid="{00000000-0004-0000-0100-000040140000}"/>
    <hyperlink ref="R1298" r:id="rId5186" xr:uid="{00000000-0004-0000-0100-000041140000}"/>
    <hyperlink ref="S1298" r:id="rId5187" xr:uid="{00000000-0004-0000-0100-000042140000}"/>
    <hyperlink ref="T1298" r:id="rId5188" xr:uid="{00000000-0004-0000-0100-000043140000}"/>
    <hyperlink ref="Q1299" r:id="rId5189" xr:uid="{00000000-0004-0000-0100-000044140000}"/>
    <hyperlink ref="R1299" r:id="rId5190" xr:uid="{00000000-0004-0000-0100-000045140000}"/>
    <hyperlink ref="S1299" r:id="rId5191" xr:uid="{00000000-0004-0000-0100-000046140000}"/>
    <hyperlink ref="T1299" r:id="rId5192" xr:uid="{00000000-0004-0000-0100-000047140000}"/>
    <hyperlink ref="Q1300" r:id="rId5193" xr:uid="{00000000-0004-0000-0100-000048140000}"/>
    <hyperlink ref="R1300" r:id="rId5194" xr:uid="{00000000-0004-0000-0100-000049140000}"/>
    <hyperlink ref="S1300" r:id="rId5195" xr:uid="{00000000-0004-0000-0100-00004A140000}"/>
    <hyperlink ref="T1300" r:id="rId5196" xr:uid="{00000000-0004-0000-0100-00004B140000}"/>
    <hyperlink ref="Q1301" r:id="rId5197" xr:uid="{00000000-0004-0000-0100-00004C140000}"/>
    <hyperlink ref="R1301" r:id="rId5198" xr:uid="{00000000-0004-0000-0100-00004D140000}"/>
    <hyperlink ref="S1301" r:id="rId5199" xr:uid="{00000000-0004-0000-0100-00004E140000}"/>
    <hyperlink ref="T1301" r:id="rId5200" xr:uid="{00000000-0004-0000-0100-00004F140000}"/>
    <hyperlink ref="Q1302" r:id="rId5201" xr:uid="{00000000-0004-0000-0100-000050140000}"/>
    <hyperlink ref="R1302" r:id="rId5202" xr:uid="{00000000-0004-0000-0100-000051140000}"/>
    <hyperlink ref="S1302" r:id="rId5203" xr:uid="{00000000-0004-0000-0100-000052140000}"/>
    <hyperlink ref="T1302" r:id="rId5204" xr:uid="{00000000-0004-0000-0100-000053140000}"/>
    <hyperlink ref="Q1303" r:id="rId5205" xr:uid="{00000000-0004-0000-0100-000054140000}"/>
    <hyperlink ref="R1303" r:id="rId5206" xr:uid="{00000000-0004-0000-0100-000055140000}"/>
    <hyperlink ref="S1303" r:id="rId5207" xr:uid="{00000000-0004-0000-0100-000056140000}"/>
    <hyperlink ref="T1303" r:id="rId5208" xr:uid="{00000000-0004-0000-0100-000057140000}"/>
    <hyperlink ref="Q1304" r:id="rId5209" xr:uid="{00000000-0004-0000-0100-000058140000}"/>
    <hyperlink ref="R1304" r:id="rId5210" xr:uid="{00000000-0004-0000-0100-000059140000}"/>
    <hyperlink ref="S1304" r:id="rId5211" xr:uid="{00000000-0004-0000-0100-00005A140000}"/>
    <hyperlink ref="T1304" r:id="rId5212" xr:uid="{00000000-0004-0000-0100-00005B140000}"/>
    <hyperlink ref="Q1305" r:id="rId5213" xr:uid="{00000000-0004-0000-0100-00005C140000}"/>
    <hyperlink ref="R1305" r:id="rId5214" xr:uid="{00000000-0004-0000-0100-00005D140000}"/>
    <hyperlink ref="S1305" r:id="rId5215" xr:uid="{00000000-0004-0000-0100-00005E140000}"/>
    <hyperlink ref="T1305" r:id="rId5216" xr:uid="{00000000-0004-0000-0100-00005F140000}"/>
    <hyperlink ref="Q1306" r:id="rId5217" xr:uid="{00000000-0004-0000-0100-000060140000}"/>
    <hyperlink ref="R1306" r:id="rId5218" xr:uid="{00000000-0004-0000-0100-000061140000}"/>
    <hyperlink ref="S1306" r:id="rId5219" xr:uid="{00000000-0004-0000-0100-000062140000}"/>
    <hyperlink ref="T1306" r:id="rId5220" xr:uid="{00000000-0004-0000-0100-000063140000}"/>
    <hyperlink ref="Q1307" r:id="rId5221" xr:uid="{00000000-0004-0000-0100-000064140000}"/>
    <hyperlink ref="R1307" r:id="rId5222" xr:uid="{00000000-0004-0000-0100-000065140000}"/>
    <hyperlink ref="S1307" r:id="rId5223" xr:uid="{00000000-0004-0000-0100-000066140000}"/>
    <hyperlink ref="T1307" r:id="rId5224" xr:uid="{00000000-0004-0000-0100-000067140000}"/>
    <hyperlink ref="Q1308" r:id="rId5225" xr:uid="{00000000-0004-0000-0100-000068140000}"/>
    <hyperlink ref="R1308" r:id="rId5226" xr:uid="{00000000-0004-0000-0100-000069140000}"/>
    <hyperlink ref="S1308" r:id="rId5227" xr:uid="{00000000-0004-0000-0100-00006A140000}"/>
    <hyperlink ref="T1308" r:id="rId5228" xr:uid="{00000000-0004-0000-0100-00006B140000}"/>
    <hyperlink ref="Q1309" r:id="rId5229" xr:uid="{00000000-0004-0000-0100-00006C140000}"/>
    <hyperlink ref="R1309" r:id="rId5230" xr:uid="{00000000-0004-0000-0100-00006D140000}"/>
    <hyperlink ref="S1309" r:id="rId5231" xr:uid="{00000000-0004-0000-0100-00006E140000}"/>
    <hyperlink ref="T1309" r:id="rId5232" xr:uid="{00000000-0004-0000-0100-00006F140000}"/>
    <hyperlink ref="Q1310" r:id="rId5233" xr:uid="{00000000-0004-0000-0100-000070140000}"/>
    <hyperlink ref="R1310" r:id="rId5234" xr:uid="{00000000-0004-0000-0100-000071140000}"/>
    <hyperlink ref="S1310" r:id="rId5235" xr:uid="{00000000-0004-0000-0100-000072140000}"/>
    <hyperlink ref="T1310" r:id="rId5236" xr:uid="{00000000-0004-0000-0100-000073140000}"/>
    <hyperlink ref="Q1311" r:id="rId5237" xr:uid="{00000000-0004-0000-0100-000074140000}"/>
    <hyperlink ref="R1311" r:id="rId5238" xr:uid="{00000000-0004-0000-0100-000075140000}"/>
    <hyperlink ref="S1311" r:id="rId5239" xr:uid="{00000000-0004-0000-0100-000076140000}"/>
    <hyperlink ref="T1311" r:id="rId5240" xr:uid="{00000000-0004-0000-0100-000077140000}"/>
    <hyperlink ref="Q1312" r:id="rId5241" xr:uid="{00000000-0004-0000-0100-000078140000}"/>
    <hyperlink ref="R1312" r:id="rId5242" xr:uid="{00000000-0004-0000-0100-000079140000}"/>
    <hyperlink ref="S1312" r:id="rId5243" xr:uid="{00000000-0004-0000-0100-00007A140000}"/>
    <hyperlink ref="T1312" r:id="rId5244" xr:uid="{00000000-0004-0000-0100-00007B140000}"/>
    <hyperlink ref="Q1313" r:id="rId5245" xr:uid="{00000000-0004-0000-0100-00007C140000}"/>
    <hyperlink ref="R1313" r:id="rId5246" xr:uid="{00000000-0004-0000-0100-00007D140000}"/>
    <hyperlink ref="S1313" r:id="rId5247" xr:uid="{00000000-0004-0000-0100-00007E140000}"/>
    <hyperlink ref="T1313" r:id="rId5248" xr:uid="{00000000-0004-0000-0100-00007F140000}"/>
    <hyperlink ref="Q1314" r:id="rId5249" xr:uid="{00000000-0004-0000-0100-000080140000}"/>
    <hyperlink ref="R1314" r:id="rId5250" xr:uid="{00000000-0004-0000-0100-000081140000}"/>
    <hyperlink ref="S1314" r:id="rId5251" xr:uid="{00000000-0004-0000-0100-000082140000}"/>
    <hyperlink ref="T1314" r:id="rId5252" xr:uid="{00000000-0004-0000-0100-000083140000}"/>
    <hyperlink ref="Q1315" r:id="rId5253" xr:uid="{00000000-0004-0000-0100-000084140000}"/>
    <hyperlink ref="R1315" r:id="rId5254" xr:uid="{00000000-0004-0000-0100-000085140000}"/>
    <hyperlink ref="S1315" r:id="rId5255" xr:uid="{00000000-0004-0000-0100-000086140000}"/>
    <hyperlink ref="T1315" r:id="rId5256" xr:uid="{00000000-0004-0000-0100-000087140000}"/>
    <hyperlink ref="Q1316" r:id="rId5257" xr:uid="{00000000-0004-0000-0100-000088140000}"/>
    <hyperlink ref="R1316" r:id="rId5258" xr:uid="{00000000-0004-0000-0100-000089140000}"/>
    <hyperlink ref="S1316" r:id="rId5259" xr:uid="{00000000-0004-0000-0100-00008A140000}"/>
    <hyperlink ref="T1316" r:id="rId5260" xr:uid="{00000000-0004-0000-0100-00008B140000}"/>
    <hyperlink ref="Q1317" r:id="rId5261" xr:uid="{00000000-0004-0000-0100-00008C140000}"/>
    <hyperlink ref="R1317" r:id="rId5262" xr:uid="{00000000-0004-0000-0100-00008D140000}"/>
    <hyperlink ref="S1317" r:id="rId5263" xr:uid="{00000000-0004-0000-0100-00008E140000}"/>
    <hyperlink ref="T1317" r:id="rId5264" xr:uid="{00000000-0004-0000-0100-00008F140000}"/>
    <hyperlink ref="Q1318" r:id="rId5265" xr:uid="{00000000-0004-0000-0100-000090140000}"/>
    <hyperlink ref="R1318" r:id="rId5266" xr:uid="{00000000-0004-0000-0100-000091140000}"/>
    <hyperlink ref="S1318" r:id="rId5267" xr:uid="{00000000-0004-0000-0100-000092140000}"/>
    <hyperlink ref="T1318" r:id="rId5268" xr:uid="{00000000-0004-0000-0100-000093140000}"/>
    <hyperlink ref="Q1319" r:id="rId5269" xr:uid="{00000000-0004-0000-0100-000094140000}"/>
    <hyperlink ref="R1319" r:id="rId5270" xr:uid="{00000000-0004-0000-0100-000095140000}"/>
    <hyperlink ref="S1319" r:id="rId5271" xr:uid="{00000000-0004-0000-0100-000096140000}"/>
    <hyperlink ref="T1319" r:id="rId5272" xr:uid="{00000000-0004-0000-0100-000097140000}"/>
    <hyperlink ref="Q1320" r:id="rId5273" xr:uid="{00000000-0004-0000-0100-000098140000}"/>
    <hyperlink ref="R1320" r:id="rId5274" xr:uid="{00000000-0004-0000-0100-000099140000}"/>
    <hyperlink ref="S1320" r:id="rId5275" xr:uid="{00000000-0004-0000-0100-00009A140000}"/>
    <hyperlink ref="T1320" r:id="rId5276" xr:uid="{00000000-0004-0000-0100-00009B140000}"/>
    <hyperlink ref="Q1321" r:id="rId5277" xr:uid="{00000000-0004-0000-0100-00009C140000}"/>
    <hyperlink ref="R1321" r:id="rId5278" xr:uid="{00000000-0004-0000-0100-00009D140000}"/>
    <hyperlink ref="S1321" r:id="rId5279" xr:uid="{00000000-0004-0000-0100-00009E140000}"/>
    <hyperlink ref="T1321" r:id="rId5280" xr:uid="{00000000-0004-0000-0100-00009F140000}"/>
    <hyperlink ref="Q1322" r:id="rId5281" xr:uid="{00000000-0004-0000-0100-0000A0140000}"/>
    <hyperlink ref="R1322" r:id="rId5282" xr:uid="{00000000-0004-0000-0100-0000A1140000}"/>
    <hyperlink ref="S1322" r:id="rId5283" xr:uid="{00000000-0004-0000-0100-0000A2140000}"/>
    <hyperlink ref="T1322" r:id="rId5284" xr:uid="{00000000-0004-0000-0100-0000A3140000}"/>
    <hyperlink ref="Q1323" r:id="rId5285" xr:uid="{00000000-0004-0000-0100-0000A4140000}"/>
    <hyperlink ref="R1323" r:id="rId5286" xr:uid="{00000000-0004-0000-0100-0000A5140000}"/>
    <hyperlink ref="S1323" r:id="rId5287" xr:uid="{00000000-0004-0000-0100-0000A6140000}"/>
    <hyperlink ref="T1323" r:id="rId5288" xr:uid="{00000000-0004-0000-0100-0000A7140000}"/>
    <hyperlink ref="Q1324" r:id="rId5289" xr:uid="{00000000-0004-0000-0100-0000A8140000}"/>
    <hyperlink ref="R1324" r:id="rId5290" xr:uid="{00000000-0004-0000-0100-0000A9140000}"/>
    <hyperlink ref="S1324" r:id="rId5291" xr:uid="{00000000-0004-0000-0100-0000AA140000}"/>
    <hyperlink ref="T1324" r:id="rId5292" xr:uid="{00000000-0004-0000-0100-0000AB140000}"/>
    <hyperlink ref="Q1325" r:id="rId5293" xr:uid="{00000000-0004-0000-0100-0000AC140000}"/>
    <hyperlink ref="R1325" r:id="rId5294" xr:uid="{00000000-0004-0000-0100-0000AD140000}"/>
    <hyperlink ref="S1325" r:id="rId5295" xr:uid="{00000000-0004-0000-0100-0000AE140000}"/>
    <hyperlink ref="T1325" r:id="rId5296" xr:uid="{00000000-0004-0000-0100-0000AF140000}"/>
    <hyperlink ref="Q1326" r:id="rId5297" xr:uid="{00000000-0004-0000-0100-0000B0140000}"/>
    <hyperlink ref="R1326" r:id="rId5298" xr:uid="{00000000-0004-0000-0100-0000B1140000}"/>
    <hyperlink ref="S1326" r:id="rId5299" xr:uid="{00000000-0004-0000-0100-0000B2140000}"/>
    <hyperlink ref="T1326" r:id="rId5300" xr:uid="{00000000-0004-0000-0100-0000B3140000}"/>
    <hyperlink ref="Q1327" r:id="rId5301" xr:uid="{00000000-0004-0000-0100-0000B4140000}"/>
    <hyperlink ref="R1327" r:id="rId5302" xr:uid="{00000000-0004-0000-0100-0000B5140000}"/>
    <hyperlink ref="S1327" r:id="rId5303" xr:uid="{00000000-0004-0000-0100-0000B6140000}"/>
    <hyperlink ref="T1327" r:id="rId5304" xr:uid="{00000000-0004-0000-0100-0000B7140000}"/>
    <hyperlink ref="Q1328" r:id="rId5305" xr:uid="{00000000-0004-0000-0100-0000B8140000}"/>
    <hyperlink ref="R1328" r:id="rId5306" xr:uid="{00000000-0004-0000-0100-0000B9140000}"/>
    <hyperlink ref="S1328" r:id="rId5307" xr:uid="{00000000-0004-0000-0100-0000BA140000}"/>
    <hyperlink ref="T1328" r:id="rId5308" xr:uid="{00000000-0004-0000-0100-0000BB140000}"/>
    <hyperlink ref="Q1329" r:id="rId5309" xr:uid="{00000000-0004-0000-0100-0000BC140000}"/>
    <hyperlink ref="R1329" r:id="rId5310" xr:uid="{00000000-0004-0000-0100-0000BD140000}"/>
    <hyperlink ref="S1329" r:id="rId5311" xr:uid="{00000000-0004-0000-0100-0000BE140000}"/>
    <hyperlink ref="T1329" r:id="rId5312" xr:uid="{00000000-0004-0000-0100-0000BF140000}"/>
    <hyperlink ref="Q1330" r:id="rId5313" xr:uid="{00000000-0004-0000-0100-0000C0140000}"/>
    <hyperlink ref="R1330" r:id="rId5314" xr:uid="{00000000-0004-0000-0100-0000C1140000}"/>
    <hyperlink ref="S1330" r:id="rId5315" xr:uid="{00000000-0004-0000-0100-0000C2140000}"/>
    <hyperlink ref="T1330" r:id="rId5316" xr:uid="{00000000-0004-0000-0100-0000C3140000}"/>
    <hyperlink ref="Q1331" r:id="rId5317" xr:uid="{00000000-0004-0000-0100-0000C4140000}"/>
    <hyperlink ref="R1331" r:id="rId5318" xr:uid="{00000000-0004-0000-0100-0000C5140000}"/>
    <hyperlink ref="S1331" r:id="rId5319" xr:uid="{00000000-0004-0000-0100-0000C6140000}"/>
    <hyperlink ref="T1331" r:id="rId5320" xr:uid="{00000000-0004-0000-0100-0000C7140000}"/>
    <hyperlink ref="Q1332" r:id="rId5321" xr:uid="{00000000-0004-0000-0100-0000C8140000}"/>
    <hyperlink ref="R1332" r:id="rId5322" xr:uid="{00000000-0004-0000-0100-0000C9140000}"/>
    <hyperlink ref="S1332" r:id="rId5323" xr:uid="{00000000-0004-0000-0100-0000CA140000}"/>
    <hyperlink ref="T1332" r:id="rId5324" xr:uid="{00000000-0004-0000-0100-0000CB140000}"/>
    <hyperlink ref="Q1333" r:id="rId5325" xr:uid="{00000000-0004-0000-0100-0000CC140000}"/>
    <hyperlink ref="R1333" r:id="rId5326" xr:uid="{00000000-0004-0000-0100-0000CD140000}"/>
    <hyperlink ref="S1333" r:id="rId5327" xr:uid="{00000000-0004-0000-0100-0000CE140000}"/>
    <hyperlink ref="T1333" r:id="rId5328" xr:uid="{00000000-0004-0000-0100-0000CF140000}"/>
    <hyperlink ref="Q1334" r:id="rId5329" xr:uid="{00000000-0004-0000-0100-0000D0140000}"/>
    <hyperlink ref="R1334" r:id="rId5330" xr:uid="{00000000-0004-0000-0100-0000D1140000}"/>
    <hyperlink ref="S1334" r:id="rId5331" xr:uid="{00000000-0004-0000-0100-0000D2140000}"/>
    <hyperlink ref="T1334" r:id="rId5332" xr:uid="{00000000-0004-0000-0100-0000D3140000}"/>
    <hyperlink ref="Q1335" r:id="rId5333" xr:uid="{00000000-0004-0000-0100-0000D4140000}"/>
    <hyperlink ref="R1335" r:id="rId5334" xr:uid="{00000000-0004-0000-0100-0000D5140000}"/>
    <hyperlink ref="S1335" r:id="rId5335" xr:uid="{00000000-0004-0000-0100-0000D6140000}"/>
    <hyperlink ref="T1335" r:id="rId5336" xr:uid="{00000000-0004-0000-0100-0000D7140000}"/>
    <hyperlink ref="Q1336" r:id="rId5337" xr:uid="{00000000-0004-0000-0100-0000D8140000}"/>
    <hyperlink ref="R1336" r:id="rId5338" xr:uid="{00000000-0004-0000-0100-0000D9140000}"/>
    <hyperlink ref="S1336" r:id="rId5339" xr:uid="{00000000-0004-0000-0100-0000DA140000}"/>
    <hyperlink ref="T1336" r:id="rId5340" xr:uid="{00000000-0004-0000-0100-0000DB140000}"/>
    <hyperlink ref="Q1337" r:id="rId5341" xr:uid="{00000000-0004-0000-0100-0000DC140000}"/>
    <hyperlink ref="R1337" r:id="rId5342" xr:uid="{00000000-0004-0000-0100-0000DD140000}"/>
    <hyperlink ref="S1337" r:id="rId5343" xr:uid="{00000000-0004-0000-0100-0000DE140000}"/>
    <hyperlink ref="T1337" r:id="rId5344" xr:uid="{00000000-0004-0000-0100-0000DF140000}"/>
    <hyperlink ref="Q1338" r:id="rId5345" xr:uid="{00000000-0004-0000-0100-0000E0140000}"/>
    <hyperlink ref="R1338" r:id="rId5346" xr:uid="{00000000-0004-0000-0100-0000E1140000}"/>
    <hyperlink ref="S1338" r:id="rId5347" xr:uid="{00000000-0004-0000-0100-0000E2140000}"/>
    <hyperlink ref="T1338" r:id="rId5348" xr:uid="{00000000-0004-0000-0100-0000E3140000}"/>
    <hyperlink ref="Q1339" r:id="rId5349" xr:uid="{00000000-0004-0000-0100-0000E4140000}"/>
    <hyperlink ref="R1339" r:id="rId5350" xr:uid="{00000000-0004-0000-0100-0000E5140000}"/>
    <hyperlink ref="S1339" r:id="rId5351" xr:uid="{00000000-0004-0000-0100-0000E6140000}"/>
    <hyperlink ref="T1339" r:id="rId5352" xr:uid="{00000000-0004-0000-0100-0000E7140000}"/>
    <hyperlink ref="Q1340" r:id="rId5353" xr:uid="{00000000-0004-0000-0100-0000E8140000}"/>
    <hyperlink ref="R1340" r:id="rId5354" xr:uid="{00000000-0004-0000-0100-0000E9140000}"/>
    <hyperlink ref="S1340" r:id="rId5355" xr:uid="{00000000-0004-0000-0100-0000EA140000}"/>
    <hyperlink ref="T1340" r:id="rId5356" xr:uid="{00000000-0004-0000-0100-0000EB140000}"/>
    <hyperlink ref="Q1341" r:id="rId5357" xr:uid="{00000000-0004-0000-0100-0000EC140000}"/>
    <hyperlink ref="R1341" r:id="rId5358" xr:uid="{00000000-0004-0000-0100-0000ED140000}"/>
    <hyperlink ref="S1341" r:id="rId5359" xr:uid="{00000000-0004-0000-0100-0000EE140000}"/>
    <hyperlink ref="T1341" r:id="rId5360" xr:uid="{00000000-0004-0000-0100-0000EF140000}"/>
    <hyperlink ref="Q1342" r:id="rId5361" xr:uid="{00000000-0004-0000-0100-0000F0140000}"/>
    <hyperlink ref="R1342" r:id="rId5362" xr:uid="{00000000-0004-0000-0100-0000F1140000}"/>
    <hyperlink ref="S1342" r:id="rId5363" xr:uid="{00000000-0004-0000-0100-0000F2140000}"/>
    <hyperlink ref="T1342" r:id="rId5364" xr:uid="{00000000-0004-0000-0100-0000F3140000}"/>
    <hyperlink ref="Q1343" r:id="rId5365" xr:uid="{00000000-0004-0000-0100-0000F4140000}"/>
    <hyperlink ref="R1343" r:id="rId5366" xr:uid="{00000000-0004-0000-0100-0000F5140000}"/>
    <hyperlink ref="S1343" r:id="rId5367" xr:uid="{00000000-0004-0000-0100-0000F6140000}"/>
    <hyperlink ref="T1343" r:id="rId5368" xr:uid="{00000000-0004-0000-0100-0000F7140000}"/>
    <hyperlink ref="Q1344" r:id="rId5369" xr:uid="{00000000-0004-0000-0100-0000F8140000}"/>
    <hyperlink ref="R1344" r:id="rId5370" xr:uid="{00000000-0004-0000-0100-0000F9140000}"/>
    <hyperlink ref="S1344" r:id="rId5371" xr:uid="{00000000-0004-0000-0100-0000FA140000}"/>
    <hyperlink ref="T1344" r:id="rId5372" xr:uid="{00000000-0004-0000-0100-0000FB140000}"/>
    <hyperlink ref="Q1345" r:id="rId5373" xr:uid="{00000000-0004-0000-0100-0000FC140000}"/>
    <hyperlink ref="R1345" r:id="rId5374" xr:uid="{00000000-0004-0000-0100-0000FD140000}"/>
    <hyperlink ref="S1345" r:id="rId5375" xr:uid="{00000000-0004-0000-0100-0000FE140000}"/>
    <hyperlink ref="T1345" r:id="rId5376" xr:uid="{00000000-0004-0000-0100-0000FF140000}"/>
    <hyperlink ref="Q1346" r:id="rId5377" xr:uid="{00000000-0004-0000-0100-000000150000}"/>
    <hyperlink ref="R1346" r:id="rId5378" xr:uid="{00000000-0004-0000-0100-000001150000}"/>
    <hyperlink ref="S1346" r:id="rId5379" xr:uid="{00000000-0004-0000-0100-000002150000}"/>
    <hyperlink ref="T1346" r:id="rId5380" xr:uid="{00000000-0004-0000-0100-000003150000}"/>
    <hyperlink ref="Q1347" r:id="rId5381" xr:uid="{00000000-0004-0000-0100-000004150000}"/>
    <hyperlink ref="R1347" r:id="rId5382" xr:uid="{00000000-0004-0000-0100-000005150000}"/>
    <hyperlink ref="S1347" r:id="rId5383" xr:uid="{00000000-0004-0000-0100-000006150000}"/>
    <hyperlink ref="T1347" r:id="rId5384" xr:uid="{00000000-0004-0000-0100-000007150000}"/>
    <hyperlink ref="Q1348" r:id="rId5385" xr:uid="{00000000-0004-0000-0100-000008150000}"/>
    <hyperlink ref="R1348" r:id="rId5386" xr:uid="{00000000-0004-0000-0100-000009150000}"/>
    <hyperlink ref="S1348" r:id="rId5387" xr:uid="{00000000-0004-0000-0100-00000A150000}"/>
    <hyperlink ref="T1348" r:id="rId5388" xr:uid="{00000000-0004-0000-0100-00000B150000}"/>
    <hyperlink ref="Q1349" r:id="rId5389" xr:uid="{00000000-0004-0000-0100-00000C150000}"/>
    <hyperlink ref="R1349" r:id="rId5390" xr:uid="{00000000-0004-0000-0100-00000D150000}"/>
    <hyperlink ref="S1349" r:id="rId5391" xr:uid="{00000000-0004-0000-0100-00000E150000}"/>
    <hyperlink ref="T1349" r:id="rId5392" xr:uid="{00000000-0004-0000-0100-00000F150000}"/>
    <hyperlink ref="Q1350" r:id="rId5393" xr:uid="{00000000-0004-0000-0100-000010150000}"/>
    <hyperlink ref="R1350" r:id="rId5394" xr:uid="{00000000-0004-0000-0100-000011150000}"/>
    <hyperlink ref="S1350" r:id="rId5395" xr:uid="{00000000-0004-0000-0100-000012150000}"/>
    <hyperlink ref="T1350" r:id="rId5396" xr:uid="{00000000-0004-0000-0100-000013150000}"/>
    <hyperlink ref="Q1351" r:id="rId5397" xr:uid="{00000000-0004-0000-0100-000014150000}"/>
    <hyperlink ref="R1351" r:id="rId5398" xr:uid="{00000000-0004-0000-0100-000015150000}"/>
    <hyperlink ref="S1351" r:id="rId5399" xr:uid="{00000000-0004-0000-0100-000016150000}"/>
    <hyperlink ref="T1351" r:id="rId5400" xr:uid="{00000000-0004-0000-0100-000017150000}"/>
    <hyperlink ref="Q1352" r:id="rId5401" xr:uid="{00000000-0004-0000-0100-000018150000}"/>
    <hyperlink ref="R1352" r:id="rId5402" xr:uid="{00000000-0004-0000-0100-000019150000}"/>
    <hyperlink ref="S1352" r:id="rId5403" xr:uid="{00000000-0004-0000-0100-00001A150000}"/>
    <hyperlink ref="T1352" r:id="rId5404" xr:uid="{00000000-0004-0000-0100-00001B150000}"/>
    <hyperlink ref="Q1353" r:id="rId5405" xr:uid="{00000000-0004-0000-0100-00001C150000}"/>
    <hyperlink ref="R1353" r:id="rId5406" xr:uid="{00000000-0004-0000-0100-00001D150000}"/>
    <hyperlink ref="S1353" r:id="rId5407" xr:uid="{00000000-0004-0000-0100-00001E150000}"/>
    <hyperlink ref="T1353" r:id="rId5408" xr:uid="{00000000-0004-0000-0100-00001F150000}"/>
    <hyperlink ref="Q1354" r:id="rId5409" xr:uid="{00000000-0004-0000-0100-000020150000}"/>
    <hyperlink ref="R1354" r:id="rId5410" xr:uid="{00000000-0004-0000-0100-000021150000}"/>
    <hyperlink ref="S1354" r:id="rId5411" xr:uid="{00000000-0004-0000-0100-000022150000}"/>
    <hyperlink ref="T1354" r:id="rId5412" xr:uid="{00000000-0004-0000-0100-000023150000}"/>
    <hyperlink ref="Q1355" r:id="rId5413" xr:uid="{00000000-0004-0000-0100-000024150000}"/>
    <hyperlink ref="R1355" r:id="rId5414" xr:uid="{00000000-0004-0000-0100-000025150000}"/>
    <hyperlink ref="S1355" r:id="rId5415" xr:uid="{00000000-0004-0000-0100-000026150000}"/>
    <hyperlink ref="T1355" r:id="rId5416" xr:uid="{00000000-0004-0000-0100-000027150000}"/>
    <hyperlink ref="Q1356" r:id="rId5417" xr:uid="{00000000-0004-0000-0100-000028150000}"/>
    <hyperlink ref="R1356" r:id="rId5418" xr:uid="{00000000-0004-0000-0100-000029150000}"/>
    <hyperlink ref="S1356" r:id="rId5419" xr:uid="{00000000-0004-0000-0100-00002A150000}"/>
    <hyperlink ref="T1356" r:id="rId5420" xr:uid="{00000000-0004-0000-0100-00002B150000}"/>
    <hyperlink ref="Q1357" r:id="rId5421" xr:uid="{00000000-0004-0000-0100-00002C150000}"/>
    <hyperlink ref="R1357" r:id="rId5422" xr:uid="{00000000-0004-0000-0100-00002D150000}"/>
    <hyperlink ref="S1357" r:id="rId5423" xr:uid="{00000000-0004-0000-0100-00002E150000}"/>
    <hyperlink ref="T1357" r:id="rId5424" xr:uid="{00000000-0004-0000-0100-00002F150000}"/>
    <hyperlink ref="Q1358" r:id="rId5425" xr:uid="{00000000-0004-0000-0100-000030150000}"/>
    <hyperlink ref="R1358" r:id="rId5426" xr:uid="{00000000-0004-0000-0100-000031150000}"/>
    <hyperlink ref="S1358" r:id="rId5427" xr:uid="{00000000-0004-0000-0100-000032150000}"/>
    <hyperlink ref="T1358" r:id="rId5428" xr:uid="{00000000-0004-0000-0100-000033150000}"/>
    <hyperlink ref="Q1359" r:id="rId5429" xr:uid="{00000000-0004-0000-0100-000034150000}"/>
    <hyperlink ref="R1359" r:id="rId5430" xr:uid="{00000000-0004-0000-0100-000035150000}"/>
    <hyperlink ref="S1359" r:id="rId5431" xr:uid="{00000000-0004-0000-0100-000036150000}"/>
    <hyperlink ref="T1359" r:id="rId5432" xr:uid="{00000000-0004-0000-0100-000037150000}"/>
    <hyperlink ref="Q1360" r:id="rId5433" xr:uid="{00000000-0004-0000-0100-000038150000}"/>
    <hyperlink ref="R1360" r:id="rId5434" xr:uid="{00000000-0004-0000-0100-000039150000}"/>
    <hyperlink ref="S1360" r:id="rId5435" xr:uid="{00000000-0004-0000-0100-00003A150000}"/>
    <hyperlink ref="T1360" r:id="rId5436" xr:uid="{00000000-0004-0000-0100-00003B150000}"/>
    <hyperlink ref="Q1361" r:id="rId5437" xr:uid="{00000000-0004-0000-0100-00003C150000}"/>
    <hyperlink ref="R1361" r:id="rId5438" xr:uid="{00000000-0004-0000-0100-00003D150000}"/>
    <hyperlink ref="S1361" r:id="rId5439" xr:uid="{00000000-0004-0000-0100-00003E150000}"/>
    <hyperlink ref="T1361" r:id="rId5440" xr:uid="{00000000-0004-0000-0100-00003F150000}"/>
    <hyperlink ref="Q1362" r:id="rId5441" xr:uid="{00000000-0004-0000-0100-000040150000}"/>
    <hyperlink ref="R1362" r:id="rId5442" xr:uid="{00000000-0004-0000-0100-000041150000}"/>
    <hyperlink ref="S1362" r:id="rId5443" xr:uid="{00000000-0004-0000-0100-000042150000}"/>
    <hyperlink ref="T1362" r:id="rId5444" xr:uid="{00000000-0004-0000-0100-000043150000}"/>
    <hyperlink ref="Q1363" r:id="rId5445" xr:uid="{00000000-0004-0000-0100-000044150000}"/>
    <hyperlink ref="R1363" r:id="rId5446" xr:uid="{00000000-0004-0000-0100-000045150000}"/>
    <hyperlink ref="S1363" r:id="rId5447" xr:uid="{00000000-0004-0000-0100-000046150000}"/>
    <hyperlink ref="T1363" r:id="rId5448" xr:uid="{00000000-0004-0000-0100-000047150000}"/>
    <hyperlink ref="Q1364" r:id="rId5449" xr:uid="{00000000-0004-0000-0100-000048150000}"/>
    <hyperlink ref="R1364" r:id="rId5450" xr:uid="{00000000-0004-0000-0100-000049150000}"/>
    <hyperlink ref="S1364" r:id="rId5451" xr:uid="{00000000-0004-0000-0100-00004A150000}"/>
    <hyperlink ref="T1364" r:id="rId5452" xr:uid="{00000000-0004-0000-0100-00004B150000}"/>
    <hyperlink ref="Q1365" r:id="rId5453" xr:uid="{00000000-0004-0000-0100-00004C150000}"/>
    <hyperlink ref="R1365" r:id="rId5454" xr:uid="{00000000-0004-0000-0100-00004D150000}"/>
    <hyperlink ref="S1365" r:id="rId5455" xr:uid="{00000000-0004-0000-0100-00004E150000}"/>
    <hyperlink ref="T1365" r:id="rId5456" xr:uid="{00000000-0004-0000-0100-00004F150000}"/>
    <hyperlink ref="Q1366" r:id="rId5457" xr:uid="{00000000-0004-0000-0100-000050150000}"/>
    <hyperlink ref="R1366" r:id="rId5458" xr:uid="{00000000-0004-0000-0100-000051150000}"/>
    <hyperlink ref="S1366" r:id="rId5459" xr:uid="{00000000-0004-0000-0100-000052150000}"/>
    <hyperlink ref="T1366" r:id="rId5460" xr:uid="{00000000-0004-0000-0100-000053150000}"/>
    <hyperlink ref="Q1367" r:id="rId5461" xr:uid="{00000000-0004-0000-0100-000054150000}"/>
    <hyperlink ref="R1367" r:id="rId5462" xr:uid="{00000000-0004-0000-0100-000055150000}"/>
    <hyperlink ref="S1367" r:id="rId5463" xr:uid="{00000000-0004-0000-0100-000056150000}"/>
    <hyperlink ref="T1367" r:id="rId5464" xr:uid="{00000000-0004-0000-0100-000057150000}"/>
    <hyperlink ref="Q1368" r:id="rId5465" xr:uid="{00000000-0004-0000-0100-000058150000}"/>
    <hyperlink ref="R1368" r:id="rId5466" xr:uid="{00000000-0004-0000-0100-000059150000}"/>
    <hyperlink ref="S1368" r:id="rId5467" xr:uid="{00000000-0004-0000-0100-00005A150000}"/>
    <hyperlink ref="T1368" r:id="rId5468" xr:uid="{00000000-0004-0000-0100-00005B150000}"/>
    <hyperlink ref="Q1369" r:id="rId5469" xr:uid="{00000000-0004-0000-0100-00005C150000}"/>
    <hyperlink ref="R1369" r:id="rId5470" xr:uid="{00000000-0004-0000-0100-00005D150000}"/>
    <hyperlink ref="S1369" r:id="rId5471" xr:uid="{00000000-0004-0000-0100-00005E150000}"/>
    <hyperlink ref="T1369" r:id="rId5472" xr:uid="{00000000-0004-0000-0100-00005F150000}"/>
    <hyperlink ref="Q1370" r:id="rId5473" xr:uid="{00000000-0004-0000-0100-000060150000}"/>
    <hyperlink ref="R1370" r:id="rId5474" xr:uid="{00000000-0004-0000-0100-000061150000}"/>
    <hyperlink ref="S1370" r:id="rId5475" xr:uid="{00000000-0004-0000-0100-000062150000}"/>
    <hyperlink ref="T1370" r:id="rId5476" xr:uid="{00000000-0004-0000-0100-000063150000}"/>
    <hyperlink ref="Q1371" r:id="rId5477" xr:uid="{00000000-0004-0000-0100-000064150000}"/>
    <hyperlink ref="R1371" r:id="rId5478" xr:uid="{00000000-0004-0000-0100-000065150000}"/>
    <hyperlink ref="S1371" r:id="rId5479" xr:uid="{00000000-0004-0000-0100-000066150000}"/>
    <hyperlink ref="T1371" r:id="rId5480" xr:uid="{00000000-0004-0000-0100-000067150000}"/>
    <hyperlink ref="Q1372" r:id="rId5481" xr:uid="{00000000-0004-0000-0100-000068150000}"/>
    <hyperlink ref="R1372" r:id="rId5482" xr:uid="{00000000-0004-0000-0100-000069150000}"/>
    <hyperlink ref="S1372" r:id="rId5483" xr:uid="{00000000-0004-0000-0100-00006A150000}"/>
    <hyperlink ref="T1372" r:id="rId5484" xr:uid="{00000000-0004-0000-0100-00006B150000}"/>
    <hyperlink ref="Q1373" r:id="rId5485" xr:uid="{00000000-0004-0000-0100-00006C150000}"/>
    <hyperlink ref="R1373" r:id="rId5486" xr:uid="{00000000-0004-0000-0100-00006D150000}"/>
    <hyperlink ref="S1373" r:id="rId5487" xr:uid="{00000000-0004-0000-0100-00006E150000}"/>
    <hyperlink ref="T1373" r:id="rId5488" xr:uid="{00000000-0004-0000-0100-00006F150000}"/>
    <hyperlink ref="Q1374" r:id="rId5489" xr:uid="{00000000-0004-0000-0100-000070150000}"/>
    <hyperlink ref="R1374" r:id="rId5490" xr:uid="{00000000-0004-0000-0100-000071150000}"/>
    <hyperlink ref="S1374" r:id="rId5491" xr:uid="{00000000-0004-0000-0100-000072150000}"/>
    <hyperlink ref="T1374" r:id="rId5492" xr:uid="{00000000-0004-0000-0100-000073150000}"/>
    <hyperlink ref="Q1375" r:id="rId5493" xr:uid="{00000000-0004-0000-0100-000074150000}"/>
    <hyperlink ref="R1375" r:id="rId5494" xr:uid="{00000000-0004-0000-0100-000075150000}"/>
    <hyperlink ref="S1375" r:id="rId5495" xr:uid="{00000000-0004-0000-0100-000076150000}"/>
    <hyperlink ref="T1375" r:id="rId5496" xr:uid="{00000000-0004-0000-0100-000077150000}"/>
    <hyperlink ref="Q1376" r:id="rId5497" xr:uid="{00000000-0004-0000-0100-000078150000}"/>
    <hyperlink ref="R1376" r:id="rId5498" xr:uid="{00000000-0004-0000-0100-000079150000}"/>
    <hyperlink ref="S1376" r:id="rId5499" xr:uid="{00000000-0004-0000-0100-00007A150000}"/>
    <hyperlink ref="T1376" r:id="rId5500" xr:uid="{00000000-0004-0000-0100-00007B150000}"/>
    <hyperlink ref="Q1377" r:id="rId5501" xr:uid="{00000000-0004-0000-0100-00007C150000}"/>
    <hyperlink ref="R1377" r:id="rId5502" xr:uid="{00000000-0004-0000-0100-00007D150000}"/>
    <hyperlink ref="S1377" r:id="rId5503" xr:uid="{00000000-0004-0000-0100-00007E150000}"/>
    <hyperlink ref="T1377" r:id="rId5504" xr:uid="{00000000-0004-0000-0100-00007F150000}"/>
    <hyperlink ref="Q1378" r:id="rId5505" xr:uid="{00000000-0004-0000-0100-000080150000}"/>
    <hyperlink ref="R1378" r:id="rId5506" xr:uid="{00000000-0004-0000-0100-000081150000}"/>
    <hyperlink ref="S1378" r:id="rId5507" xr:uid="{00000000-0004-0000-0100-000082150000}"/>
    <hyperlink ref="T1378" r:id="rId5508" xr:uid="{00000000-0004-0000-0100-000083150000}"/>
    <hyperlink ref="Q1379" r:id="rId5509" xr:uid="{00000000-0004-0000-0100-000084150000}"/>
    <hyperlink ref="R1379" r:id="rId5510" xr:uid="{00000000-0004-0000-0100-000085150000}"/>
    <hyperlink ref="S1379" r:id="rId5511" xr:uid="{00000000-0004-0000-0100-000086150000}"/>
    <hyperlink ref="T1379" r:id="rId5512" xr:uid="{00000000-0004-0000-0100-000087150000}"/>
    <hyperlink ref="Q1380" r:id="rId5513" xr:uid="{00000000-0004-0000-0100-000088150000}"/>
    <hyperlink ref="R1380" r:id="rId5514" xr:uid="{00000000-0004-0000-0100-000089150000}"/>
    <hyperlink ref="S1380" r:id="rId5515" xr:uid="{00000000-0004-0000-0100-00008A150000}"/>
    <hyperlink ref="T1380" r:id="rId5516" xr:uid="{00000000-0004-0000-0100-00008B150000}"/>
    <hyperlink ref="Q1381" r:id="rId5517" xr:uid="{00000000-0004-0000-0100-00008C150000}"/>
    <hyperlink ref="R1381" r:id="rId5518" xr:uid="{00000000-0004-0000-0100-00008D150000}"/>
    <hyperlink ref="S1381" r:id="rId5519" xr:uid="{00000000-0004-0000-0100-00008E150000}"/>
    <hyperlink ref="T1381" r:id="rId5520" xr:uid="{00000000-0004-0000-0100-00008F150000}"/>
    <hyperlink ref="Q1382" r:id="rId5521" xr:uid="{00000000-0004-0000-0100-000090150000}"/>
    <hyperlink ref="R1382" r:id="rId5522" xr:uid="{00000000-0004-0000-0100-000091150000}"/>
    <hyperlink ref="S1382" r:id="rId5523" xr:uid="{00000000-0004-0000-0100-000092150000}"/>
    <hyperlink ref="T1382" r:id="rId5524" xr:uid="{00000000-0004-0000-0100-000093150000}"/>
    <hyperlink ref="Q1383" r:id="rId5525" xr:uid="{00000000-0004-0000-0100-000094150000}"/>
    <hyperlink ref="R1383" r:id="rId5526" xr:uid="{00000000-0004-0000-0100-000095150000}"/>
    <hyperlink ref="S1383" r:id="rId5527" xr:uid="{00000000-0004-0000-0100-000096150000}"/>
    <hyperlink ref="T1383" r:id="rId5528" xr:uid="{00000000-0004-0000-0100-000097150000}"/>
    <hyperlink ref="Q1384" r:id="rId5529" xr:uid="{00000000-0004-0000-0100-000098150000}"/>
    <hyperlink ref="R1384" r:id="rId5530" xr:uid="{00000000-0004-0000-0100-000099150000}"/>
    <hyperlink ref="S1384" r:id="rId5531" xr:uid="{00000000-0004-0000-0100-00009A150000}"/>
    <hyperlink ref="T1384" r:id="rId5532" xr:uid="{00000000-0004-0000-0100-00009B150000}"/>
    <hyperlink ref="Q1385" r:id="rId5533" xr:uid="{00000000-0004-0000-0100-00009C150000}"/>
    <hyperlink ref="R1385" r:id="rId5534" xr:uid="{00000000-0004-0000-0100-00009D150000}"/>
    <hyperlink ref="S1385" r:id="rId5535" xr:uid="{00000000-0004-0000-0100-00009E150000}"/>
    <hyperlink ref="T1385" r:id="rId5536" xr:uid="{00000000-0004-0000-0100-00009F150000}"/>
    <hyperlink ref="Q1386" r:id="rId5537" xr:uid="{00000000-0004-0000-0100-0000A0150000}"/>
    <hyperlink ref="R1386" r:id="rId5538" xr:uid="{00000000-0004-0000-0100-0000A1150000}"/>
    <hyperlink ref="S1386" r:id="rId5539" xr:uid="{00000000-0004-0000-0100-0000A2150000}"/>
    <hyperlink ref="T1386" r:id="rId5540" xr:uid="{00000000-0004-0000-0100-0000A3150000}"/>
    <hyperlink ref="Q1387" r:id="rId5541" xr:uid="{00000000-0004-0000-0100-0000A4150000}"/>
    <hyperlink ref="R1387" r:id="rId5542" xr:uid="{00000000-0004-0000-0100-0000A5150000}"/>
    <hyperlink ref="S1387" r:id="rId5543" xr:uid="{00000000-0004-0000-0100-0000A6150000}"/>
    <hyperlink ref="T1387" r:id="rId5544" xr:uid="{00000000-0004-0000-0100-0000A7150000}"/>
    <hyperlink ref="Q1388" r:id="rId5545" xr:uid="{00000000-0004-0000-0100-0000A8150000}"/>
    <hyperlink ref="R1388" r:id="rId5546" xr:uid="{00000000-0004-0000-0100-0000A9150000}"/>
    <hyperlink ref="S1388" r:id="rId5547" xr:uid="{00000000-0004-0000-0100-0000AA150000}"/>
    <hyperlink ref="T1388" r:id="rId5548" xr:uid="{00000000-0004-0000-0100-0000AB150000}"/>
    <hyperlink ref="Q1389" r:id="rId5549" xr:uid="{00000000-0004-0000-0100-0000AC150000}"/>
    <hyperlink ref="R1389" r:id="rId5550" xr:uid="{00000000-0004-0000-0100-0000AD150000}"/>
    <hyperlink ref="S1389" r:id="rId5551" xr:uid="{00000000-0004-0000-0100-0000AE150000}"/>
    <hyperlink ref="T1389" r:id="rId5552" xr:uid="{00000000-0004-0000-0100-0000AF150000}"/>
    <hyperlink ref="Q1390" r:id="rId5553" xr:uid="{00000000-0004-0000-0100-0000B0150000}"/>
    <hyperlink ref="R1390" r:id="rId5554" xr:uid="{00000000-0004-0000-0100-0000B1150000}"/>
    <hyperlink ref="S1390" r:id="rId5555" xr:uid="{00000000-0004-0000-0100-0000B2150000}"/>
    <hyperlink ref="T1390" r:id="rId5556" xr:uid="{00000000-0004-0000-0100-0000B3150000}"/>
    <hyperlink ref="Q1391" r:id="rId5557" xr:uid="{00000000-0004-0000-0100-0000B4150000}"/>
    <hyperlink ref="R1391" r:id="rId5558" xr:uid="{00000000-0004-0000-0100-0000B5150000}"/>
    <hyperlink ref="S1391" r:id="rId5559" xr:uid="{00000000-0004-0000-0100-0000B6150000}"/>
    <hyperlink ref="T1391" r:id="rId5560" xr:uid="{00000000-0004-0000-0100-0000B7150000}"/>
    <hyperlink ref="Q1392" r:id="rId5561" xr:uid="{00000000-0004-0000-0100-0000B8150000}"/>
    <hyperlink ref="R1392" r:id="rId5562" xr:uid="{00000000-0004-0000-0100-0000B9150000}"/>
    <hyperlink ref="S1392" r:id="rId5563" xr:uid="{00000000-0004-0000-0100-0000BA150000}"/>
    <hyperlink ref="T1392" r:id="rId5564" xr:uid="{00000000-0004-0000-0100-0000BB150000}"/>
    <hyperlink ref="Q1393" r:id="rId5565" xr:uid="{00000000-0004-0000-0100-0000BC150000}"/>
    <hyperlink ref="R1393" r:id="rId5566" xr:uid="{00000000-0004-0000-0100-0000BD150000}"/>
    <hyperlink ref="S1393" r:id="rId5567" xr:uid="{00000000-0004-0000-0100-0000BE150000}"/>
    <hyperlink ref="T1393" r:id="rId5568" xr:uid="{00000000-0004-0000-0100-0000BF150000}"/>
    <hyperlink ref="Q1394" r:id="rId5569" xr:uid="{00000000-0004-0000-0100-0000C0150000}"/>
    <hyperlink ref="R1394" r:id="rId5570" xr:uid="{00000000-0004-0000-0100-0000C1150000}"/>
    <hyperlink ref="S1394" r:id="rId5571" xr:uid="{00000000-0004-0000-0100-0000C2150000}"/>
    <hyperlink ref="T1394" r:id="rId5572" xr:uid="{00000000-0004-0000-0100-0000C3150000}"/>
    <hyperlink ref="Q1395" r:id="rId5573" xr:uid="{00000000-0004-0000-0100-0000C4150000}"/>
    <hyperlink ref="R1395" r:id="rId5574" xr:uid="{00000000-0004-0000-0100-0000C5150000}"/>
    <hyperlink ref="S1395" r:id="rId5575" xr:uid="{00000000-0004-0000-0100-0000C6150000}"/>
    <hyperlink ref="T1395" r:id="rId5576" xr:uid="{00000000-0004-0000-0100-0000C7150000}"/>
    <hyperlink ref="Q1396" r:id="rId5577" xr:uid="{00000000-0004-0000-0100-0000C8150000}"/>
    <hyperlink ref="R1396" r:id="rId5578" xr:uid="{00000000-0004-0000-0100-0000C9150000}"/>
    <hyperlink ref="S1396" r:id="rId5579" xr:uid="{00000000-0004-0000-0100-0000CA150000}"/>
    <hyperlink ref="T1396" r:id="rId5580" xr:uid="{00000000-0004-0000-0100-0000CB150000}"/>
    <hyperlink ref="Q1397" r:id="rId5581" xr:uid="{00000000-0004-0000-0100-0000CC150000}"/>
    <hyperlink ref="R1397" r:id="rId5582" xr:uid="{00000000-0004-0000-0100-0000CD150000}"/>
    <hyperlink ref="S1397" r:id="rId5583" xr:uid="{00000000-0004-0000-0100-0000CE150000}"/>
    <hyperlink ref="T1397" r:id="rId5584" xr:uid="{00000000-0004-0000-0100-0000CF150000}"/>
    <hyperlink ref="Q1398" r:id="rId5585" xr:uid="{00000000-0004-0000-0100-0000D0150000}"/>
    <hyperlink ref="R1398" r:id="rId5586" xr:uid="{00000000-0004-0000-0100-0000D1150000}"/>
    <hyperlink ref="S1398" r:id="rId5587" xr:uid="{00000000-0004-0000-0100-0000D2150000}"/>
    <hyperlink ref="T1398" r:id="rId5588" xr:uid="{00000000-0004-0000-0100-0000D3150000}"/>
    <hyperlink ref="Q1399" r:id="rId5589" xr:uid="{00000000-0004-0000-0100-0000D4150000}"/>
    <hyperlink ref="R1399" r:id="rId5590" xr:uid="{00000000-0004-0000-0100-0000D5150000}"/>
    <hyperlink ref="S1399" r:id="rId5591" xr:uid="{00000000-0004-0000-0100-0000D6150000}"/>
    <hyperlink ref="T1399" r:id="rId5592" xr:uid="{00000000-0004-0000-0100-0000D7150000}"/>
    <hyperlink ref="Q1400" r:id="rId5593" xr:uid="{00000000-0004-0000-0100-0000D8150000}"/>
    <hyperlink ref="R1400" r:id="rId5594" xr:uid="{00000000-0004-0000-0100-0000D9150000}"/>
    <hyperlink ref="S1400" r:id="rId5595" xr:uid="{00000000-0004-0000-0100-0000DA150000}"/>
    <hyperlink ref="T1400" r:id="rId5596" xr:uid="{00000000-0004-0000-0100-0000DB150000}"/>
    <hyperlink ref="Q1401" r:id="rId5597" xr:uid="{00000000-0004-0000-0100-0000DC150000}"/>
    <hyperlink ref="R1401" r:id="rId5598" xr:uid="{00000000-0004-0000-0100-0000DD150000}"/>
    <hyperlink ref="S1401" r:id="rId5599" xr:uid="{00000000-0004-0000-0100-0000DE150000}"/>
    <hyperlink ref="T1401" r:id="rId5600" xr:uid="{00000000-0004-0000-0100-0000DF150000}"/>
    <hyperlink ref="Q1402" r:id="rId5601" xr:uid="{00000000-0004-0000-0100-0000E0150000}"/>
    <hyperlink ref="R1402" r:id="rId5602" xr:uid="{00000000-0004-0000-0100-0000E1150000}"/>
    <hyperlink ref="S1402" r:id="rId5603" xr:uid="{00000000-0004-0000-0100-0000E2150000}"/>
    <hyperlink ref="T1402" r:id="rId5604" xr:uid="{00000000-0004-0000-0100-0000E3150000}"/>
    <hyperlink ref="Q1403" r:id="rId5605" xr:uid="{00000000-0004-0000-0100-0000E4150000}"/>
    <hyperlink ref="R1403" r:id="rId5606" xr:uid="{00000000-0004-0000-0100-0000E5150000}"/>
    <hyperlink ref="S1403" r:id="rId5607" xr:uid="{00000000-0004-0000-0100-0000E6150000}"/>
    <hyperlink ref="T1403" r:id="rId5608" xr:uid="{00000000-0004-0000-0100-0000E7150000}"/>
    <hyperlink ref="Q1404" r:id="rId5609" xr:uid="{00000000-0004-0000-0100-0000E8150000}"/>
    <hyperlink ref="R1404" r:id="rId5610" xr:uid="{00000000-0004-0000-0100-0000E9150000}"/>
    <hyperlink ref="S1404" r:id="rId5611" xr:uid="{00000000-0004-0000-0100-0000EA150000}"/>
    <hyperlink ref="T1404" r:id="rId5612" xr:uid="{00000000-0004-0000-0100-0000EB150000}"/>
    <hyperlink ref="Q1405" r:id="rId5613" xr:uid="{00000000-0004-0000-0100-0000EC150000}"/>
    <hyperlink ref="R1405" r:id="rId5614" xr:uid="{00000000-0004-0000-0100-0000ED150000}"/>
    <hyperlink ref="S1405" r:id="rId5615" xr:uid="{00000000-0004-0000-0100-0000EE150000}"/>
    <hyperlink ref="T1405" r:id="rId5616" xr:uid="{00000000-0004-0000-0100-0000EF150000}"/>
    <hyperlink ref="Q1406" r:id="rId5617" xr:uid="{00000000-0004-0000-0100-0000F0150000}"/>
    <hyperlink ref="R1406" r:id="rId5618" xr:uid="{00000000-0004-0000-0100-0000F1150000}"/>
    <hyperlink ref="S1406" r:id="rId5619" xr:uid="{00000000-0004-0000-0100-0000F2150000}"/>
    <hyperlink ref="T1406" r:id="rId5620" xr:uid="{00000000-0004-0000-0100-0000F3150000}"/>
    <hyperlink ref="Q1407" r:id="rId5621" xr:uid="{00000000-0004-0000-0100-0000F4150000}"/>
    <hyperlink ref="R1407" r:id="rId5622" xr:uid="{00000000-0004-0000-0100-0000F5150000}"/>
    <hyperlink ref="S1407" r:id="rId5623" xr:uid="{00000000-0004-0000-0100-0000F6150000}"/>
    <hyperlink ref="T1407" r:id="rId5624" xr:uid="{00000000-0004-0000-0100-0000F7150000}"/>
    <hyperlink ref="Q1408" r:id="rId5625" xr:uid="{00000000-0004-0000-0100-0000F8150000}"/>
    <hyperlink ref="R1408" r:id="rId5626" xr:uid="{00000000-0004-0000-0100-0000F9150000}"/>
    <hyperlink ref="S1408" r:id="rId5627" xr:uid="{00000000-0004-0000-0100-0000FA150000}"/>
    <hyperlink ref="T1408" r:id="rId5628" xr:uid="{00000000-0004-0000-0100-0000FB150000}"/>
    <hyperlink ref="Q1409" r:id="rId5629" xr:uid="{00000000-0004-0000-0100-0000FC150000}"/>
    <hyperlink ref="R1409" r:id="rId5630" xr:uid="{00000000-0004-0000-0100-0000FD150000}"/>
    <hyperlink ref="S1409" r:id="rId5631" xr:uid="{00000000-0004-0000-0100-0000FE150000}"/>
    <hyperlink ref="T1409" r:id="rId5632" xr:uid="{00000000-0004-0000-0100-0000FF150000}"/>
    <hyperlink ref="Q1410" r:id="rId5633" xr:uid="{00000000-0004-0000-0100-000000160000}"/>
    <hyperlink ref="R1410" r:id="rId5634" xr:uid="{00000000-0004-0000-0100-000001160000}"/>
    <hyperlink ref="S1410" r:id="rId5635" xr:uid="{00000000-0004-0000-0100-000002160000}"/>
    <hyperlink ref="T1410" r:id="rId5636" xr:uid="{00000000-0004-0000-0100-000003160000}"/>
    <hyperlink ref="Q1411" r:id="rId5637" xr:uid="{00000000-0004-0000-0100-000004160000}"/>
    <hyperlink ref="R1411" r:id="rId5638" xr:uid="{00000000-0004-0000-0100-000005160000}"/>
    <hyperlink ref="S1411" r:id="rId5639" xr:uid="{00000000-0004-0000-0100-000006160000}"/>
    <hyperlink ref="T1411" r:id="rId5640" xr:uid="{00000000-0004-0000-0100-000007160000}"/>
    <hyperlink ref="Q1412" r:id="rId5641" xr:uid="{00000000-0004-0000-0100-000008160000}"/>
    <hyperlink ref="R1412" r:id="rId5642" xr:uid="{00000000-0004-0000-0100-000009160000}"/>
    <hyperlink ref="S1412" r:id="rId5643" xr:uid="{00000000-0004-0000-0100-00000A160000}"/>
    <hyperlink ref="T1412" r:id="rId5644" xr:uid="{00000000-0004-0000-0100-00000B160000}"/>
    <hyperlink ref="Q1413" r:id="rId5645" xr:uid="{00000000-0004-0000-0100-00000C160000}"/>
    <hyperlink ref="R1413" r:id="rId5646" xr:uid="{00000000-0004-0000-0100-00000D160000}"/>
    <hyperlink ref="S1413" r:id="rId5647" xr:uid="{00000000-0004-0000-0100-00000E160000}"/>
    <hyperlink ref="T1413" r:id="rId5648" xr:uid="{00000000-0004-0000-0100-00000F160000}"/>
    <hyperlink ref="Q1414" r:id="rId5649" xr:uid="{00000000-0004-0000-0100-000010160000}"/>
    <hyperlink ref="R1414" r:id="rId5650" xr:uid="{00000000-0004-0000-0100-000011160000}"/>
    <hyperlink ref="S1414" r:id="rId5651" xr:uid="{00000000-0004-0000-0100-000012160000}"/>
    <hyperlink ref="T1414" r:id="rId5652" xr:uid="{00000000-0004-0000-0100-000013160000}"/>
    <hyperlink ref="Q1415" r:id="rId5653" xr:uid="{00000000-0004-0000-0100-000014160000}"/>
    <hyperlink ref="R1415" r:id="rId5654" xr:uid="{00000000-0004-0000-0100-000015160000}"/>
    <hyperlink ref="S1415" r:id="rId5655" xr:uid="{00000000-0004-0000-0100-000016160000}"/>
    <hyperlink ref="T1415" r:id="rId5656" xr:uid="{00000000-0004-0000-0100-000017160000}"/>
    <hyperlink ref="Q1416" r:id="rId5657" xr:uid="{00000000-0004-0000-0100-000018160000}"/>
    <hyperlink ref="R1416" r:id="rId5658" xr:uid="{00000000-0004-0000-0100-000019160000}"/>
    <hyperlink ref="S1416" r:id="rId5659" xr:uid="{00000000-0004-0000-0100-00001A160000}"/>
    <hyperlink ref="T1416" r:id="rId5660" xr:uid="{00000000-0004-0000-0100-00001B160000}"/>
    <hyperlink ref="Q1417" r:id="rId5661" xr:uid="{00000000-0004-0000-0100-00001C160000}"/>
    <hyperlink ref="R1417" r:id="rId5662" xr:uid="{00000000-0004-0000-0100-00001D160000}"/>
    <hyperlink ref="S1417" r:id="rId5663" xr:uid="{00000000-0004-0000-0100-00001E160000}"/>
    <hyperlink ref="T1417" r:id="rId5664" xr:uid="{00000000-0004-0000-0100-00001F160000}"/>
    <hyperlink ref="Q1418" r:id="rId5665" xr:uid="{00000000-0004-0000-0100-000020160000}"/>
    <hyperlink ref="R1418" r:id="rId5666" xr:uid="{00000000-0004-0000-0100-000021160000}"/>
    <hyperlink ref="S1418" r:id="rId5667" xr:uid="{00000000-0004-0000-0100-000022160000}"/>
    <hyperlink ref="T1418" r:id="rId5668" xr:uid="{00000000-0004-0000-0100-000023160000}"/>
    <hyperlink ref="Q1419" r:id="rId5669" xr:uid="{00000000-0004-0000-0100-000024160000}"/>
    <hyperlink ref="R1419" r:id="rId5670" xr:uid="{00000000-0004-0000-0100-000025160000}"/>
    <hyperlink ref="S1419" r:id="rId5671" xr:uid="{00000000-0004-0000-0100-000026160000}"/>
    <hyperlink ref="T1419" r:id="rId5672" xr:uid="{00000000-0004-0000-0100-000027160000}"/>
    <hyperlink ref="Q1420" r:id="rId5673" xr:uid="{00000000-0004-0000-0100-000028160000}"/>
    <hyperlink ref="R1420" r:id="rId5674" xr:uid="{00000000-0004-0000-0100-000029160000}"/>
    <hyperlink ref="S1420" r:id="rId5675" xr:uid="{00000000-0004-0000-0100-00002A160000}"/>
    <hyperlink ref="T1420" r:id="rId5676" xr:uid="{00000000-0004-0000-0100-00002B160000}"/>
    <hyperlink ref="Q1421" r:id="rId5677" xr:uid="{00000000-0004-0000-0100-00002C160000}"/>
    <hyperlink ref="R1421" r:id="rId5678" xr:uid="{00000000-0004-0000-0100-00002D160000}"/>
    <hyperlink ref="S1421" r:id="rId5679" xr:uid="{00000000-0004-0000-0100-00002E160000}"/>
    <hyperlink ref="T1421" r:id="rId5680" xr:uid="{00000000-0004-0000-0100-00002F160000}"/>
    <hyperlink ref="Q1422" r:id="rId5681" xr:uid="{00000000-0004-0000-0100-000030160000}"/>
    <hyperlink ref="R1422" r:id="rId5682" xr:uid="{00000000-0004-0000-0100-000031160000}"/>
    <hyperlink ref="S1422" r:id="rId5683" xr:uid="{00000000-0004-0000-0100-000032160000}"/>
    <hyperlink ref="T1422" r:id="rId5684" xr:uid="{00000000-0004-0000-0100-000033160000}"/>
    <hyperlink ref="Q1423" r:id="rId5685" xr:uid="{00000000-0004-0000-0100-000034160000}"/>
    <hyperlink ref="R1423" r:id="rId5686" xr:uid="{00000000-0004-0000-0100-000035160000}"/>
    <hyperlink ref="S1423" r:id="rId5687" xr:uid="{00000000-0004-0000-0100-000036160000}"/>
    <hyperlink ref="T1423" r:id="rId5688" xr:uid="{00000000-0004-0000-0100-000037160000}"/>
    <hyperlink ref="Q1424" r:id="rId5689" xr:uid="{00000000-0004-0000-0100-000038160000}"/>
    <hyperlink ref="R1424" r:id="rId5690" xr:uid="{00000000-0004-0000-0100-000039160000}"/>
    <hyperlink ref="S1424" r:id="rId5691" xr:uid="{00000000-0004-0000-0100-00003A160000}"/>
    <hyperlink ref="T1424" r:id="rId5692" xr:uid="{00000000-0004-0000-0100-00003B160000}"/>
    <hyperlink ref="Q1425" r:id="rId5693" xr:uid="{00000000-0004-0000-0100-00003C160000}"/>
    <hyperlink ref="R1425" r:id="rId5694" xr:uid="{00000000-0004-0000-0100-00003D160000}"/>
    <hyperlink ref="S1425" r:id="rId5695" xr:uid="{00000000-0004-0000-0100-00003E160000}"/>
    <hyperlink ref="T1425" r:id="rId5696" xr:uid="{00000000-0004-0000-0100-00003F160000}"/>
    <hyperlink ref="Q1426" r:id="rId5697" xr:uid="{00000000-0004-0000-0100-000040160000}"/>
    <hyperlink ref="R1426" r:id="rId5698" xr:uid="{00000000-0004-0000-0100-000041160000}"/>
    <hyperlink ref="S1426" r:id="rId5699" xr:uid="{00000000-0004-0000-0100-000042160000}"/>
    <hyperlink ref="T1426" r:id="rId5700" xr:uid="{00000000-0004-0000-0100-000043160000}"/>
    <hyperlink ref="Q1427" r:id="rId5701" xr:uid="{00000000-0004-0000-0100-000044160000}"/>
    <hyperlink ref="R1427" r:id="rId5702" xr:uid="{00000000-0004-0000-0100-000045160000}"/>
    <hyperlink ref="S1427" r:id="rId5703" xr:uid="{00000000-0004-0000-0100-000046160000}"/>
    <hyperlink ref="T1427" r:id="rId5704" xr:uid="{00000000-0004-0000-0100-000047160000}"/>
    <hyperlink ref="Q1428" r:id="rId5705" xr:uid="{00000000-0004-0000-0100-000048160000}"/>
    <hyperlink ref="R1428" r:id="rId5706" xr:uid="{00000000-0004-0000-0100-000049160000}"/>
    <hyperlink ref="S1428" r:id="rId5707" xr:uid="{00000000-0004-0000-0100-00004A160000}"/>
    <hyperlink ref="T1428" r:id="rId5708" xr:uid="{00000000-0004-0000-0100-00004B160000}"/>
    <hyperlink ref="Q1429" r:id="rId5709" xr:uid="{00000000-0004-0000-0100-00004C160000}"/>
    <hyperlink ref="R1429" r:id="rId5710" xr:uid="{00000000-0004-0000-0100-00004D160000}"/>
    <hyperlink ref="S1429" r:id="rId5711" xr:uid="{00000000-0004-0000-0100-00004E160000}"/>
    <hyperlink ref="T1429" r:id="rId5712" xr:uid="{00000000-0004-0000-0100-00004F160000}"/>
    <hyperlink ref="Q1430" r:id="rId5713" xr:uid="{00000000-0004-0000-0100-000050160000}"/>
    <hyperlink ref="R1430" r:id="rId5714" xr:uid="{00000000-0004-0000-0100-000051160000}"/>
    <hyperlink ref="S1430" r:id="rId5715" xr:uid="{00000000-0004-0000-0100-000052160000}"/>
    <hyperlink ref="T1430" r:id="rId5716" xr:uid="{00000000-0004-0000-0100-000053160000}"/>
    <hyperlink ref="Q1431" r:id="rId5717" xr:uid="{00000000-0004-0000-0100-000054160000}"/>
    <hyperlink ref="R1431" r:id="rId5718" xr:uid="{00000000-0004-0000-0100-000055160000}"/>
    <hyperlink ref="S1431" r:id="rId5719" xr:uid="{00000000-0004-0000-0100-000056160000}"/>
    <hyperlink ref="T1431" r:id="rId5720" xr:uid="{00000000-0004-0000-0100-000057160000}"/>
    <hyperlink ref="Q1432" r:id="rId5721" xr:uid="{00000000-0004-0000-0100-000058160000}"/>
    <hyperlink ref="R1432" r:id="rId5722" xr:uid="{00000000-0004-0000-0100-000059160000}"/>
    <hyperlink ref="S1432" r:id="rId5723" xr:uid="{00000000-0004-0000-0100-00005A160000}"/>
    <hyperlink ref="T1432" r:id="rId5724" xr:uid="{00000000-0004-0000-0100-00005B160000}"/>
    <hyperlink ref="Q1433" r:id="rId5725" xr:uid="{00000000-0004-0000-0100-00005C160000}"/>
    <hyperlink ref="R1433" r:id="rId5726" xr:uid="{00000000-0004-0000-0100-00005D160000}"/>
    <hyperlink ref="S1433" r:id="rId5727" xr:uid="{00000000-0004-0000-0100-00005E160000}"/>
    <hyperlink ref="T1433" r:id="rId5728" xr:uid="{00000000-0004-0000-0100-00005F160000}"/>
    <hyperlink ref="Q1434" r:id="rId5729" xr:uid="{00000000-0004-0000-0100-000060160000}"/>
    <hyperlink ref="R1434" r:id="rId5730" xr:uid="{00000000-0004-0000-0100-000061160000}"/>
    <hyperlink ref="S1434" r:id="rId5731" xr:uid="{00000000-0004-0000-0100-000062160000}"/>
    <hyperlink ref="T1434" r:id="rId5732" xr:uid="{00000000-0004-0000-0100-000063160000}"/>
    <hyperlink ref="Q1435" r:id="rId5733" xr:uid="{00000000-0004-0000-0100-000064160000}"/>
    <hyperlink ref="R1435" r:id="rId5734" xr:uid="{00000000-0004-0000-0100-000065160000}"/>
    <hyperlink ref="S1435" r:id="rId5735" xr:uid="{00000000-0004-0000-0100-000066160000}"/>
    <hyperlink ref="T1435" r:id="rId5736" xr:uid="{00000000-0004-0000-0100-000067160000}"/>
    <hyperlink ref="Q1436" r:id="rId5737" xr:uid="{00000000-0004-0000-0100-000068160000}"/>
    <hyperlink ref="R1436" r:id="rId5738" xr:uid="{00000000-0004-0000-0100-000069160000}"/>
    <hyperlink ref="S1436" r:id="rId5739" xr:uid="{00000000-0004-0000-0100-00006A160000}"/>
    <hyperlink ref="T1436" r:id="rId5740" xr:uid="{00000000-0004-0000-0100-00006B160000}"/>
    <hyperlink ref="Q1437" r:id="rId5741" xr:uid="{00000000-0004-0000-0100-00006C160000}"/>
    <hyperlink ref="R1437" r:id="rId5742" xr:uid="{00000000-0004-0000-0100-00006D160000}"/>
    <hyperlink ref="S1437" r:id="rId5743" xr:uid="{00000000-0004-0000-0100-00006E160000}"/>
    <hyperlink ref="T1437" r:id="rId5744" xr:uid="{00000000-0004-0000-0100-00006F160000}"/>
    <hyperlink ref="Q1438" r:id="rId5745" xr:uid="{00000000-0004-0000-0100-000070160000}"/>
    <hyperlink ref="R1438" r:id="rId5746" xr:uid="{00000000-0004-0000-0100-000071160000}"/>
    <hyperlink ref="S1438" r:id="rId5747" xr:uid="{00000000-0004-0000-0100-000072160000}"/>
    <hyperlink ref="T1438" r:id="rId5748" xr:uid="{00000000-0004-0000-0100-000073160000}"/>
    <hyperlink ref="Q1439" r:id="rId5749" xr:uid="{00000000-0004-0000-0100-000074160000}"/>
    <hyperlink ref="R1439" r:id="rId5750" xr:uid="{00000000-0004-0000-0100-000075160000}"/>
    <hyperlink ref="S1439" r:id="rId5751" xr:uid="{00000000-0004-0000-0100-000076160000}"/>
    <hyperlink ref="T1439" r:id="rId5752" xr:uid="{00000000-0004-0000-0100-000077160000}"/>
    <hyperlink ref="Q1440" r:id="rId5753" xr:uid="{00000000-0004-0000-0100-000078160000}"/>
    <hyperlink ref="R1440" r:id="rId5754" xr:uid="{00000000-0004-0000-0100-000079160000}"/>
    <hyperlink ref="S1440" r:id="rId5755" xr:uid="{00000000-0004-0000-0100-00007A160000}"/>
    <hyperlink ref="T1440" r:id="rId5756" xr:uid="{00000000-0004-0000-0100-00007B160000}"/>
    <hyperlink ref="Q1441" r:id="rId5757" xr:uid="{00000000-0004-0000-0100-00007C160000}"/>
    <hyperlink ref="R1441" r:id="rId5758" xr:uid="{00000000-0004-0000-0100-00007D160000}"/>
    <hyperlink ref="S1441" r:id="rId5759" xr:uid="{00000000-0004-0000-0100-00007E160000}"/>
    <hyperlink ref="T1441" r:id="rId5760" xr:uid="{00000000-0004-0000-0100-00007F160000}"/>
    <hyperlink ref="Q1442" r:id="rId5761" xr:uid="{00000000-0004-0000-0100-000080160000}"/>
    <hyperlink ref="R1442" r:id="rId5762" xr:uid="{00000000-0004-0000-0100-000081160000}"/>
    <hyperlink ref="S1442" r:id="rId5763" xr:uid="{00000000-0004-0000-0100-000082160000}"/>
    <hyperlink ref="T1442" r:id="rId5764" xr:uid="{00000000-0004-0000-0100-000083160000}"/>
    <hyperlink ref="Q1443" r:id="rId5765" xr:uid="{00000000-0004-0000-0100-000084160000}"/>
    <hyperlink ref="R1443" r:id="rId5766" xr:uid="{00000000-0004-0000-0100-000085160000}"/>
    <hyperlink ref="S1443" r:id="rId5767" xr:uid="{00000000-0004-0000-0100-000086160000}"/>
    <hyperlink ref="T1443" r:id="rId5768" xr:uid="{00000000-0004-0000-0100-000087160000}"/>
    <hyperlink ref="Q1444" r:id="rId5769" xr:uid="{00000000-0004-0000-0100-000088160000}"/>
    <hyperlink ref="R1444" r:id="rId5770" xr:uid="{00000000-0004-0000-0100-000089160000}"/>
    <hyperlink ref="S1444" r:id="rId5771" xr:uid="{00000000-0004-0000-0100-00008A160000}"/>
    <hyperlink ref="T1444" r:id="rId5772" xr:uid="{00000000-0004-0000-0100-00008B160000}"/>
    <hyperlink ref="Q1445" r:id="rId5773" xr:uid="{00000000-0004-0000-0100-00008C160000}"/>
    <hyperlink ref="R1445" r:id="rId5774" xr:uid="{00000000-0004-0000-0100-00008D160000}"/>
    <hyperlink ref="S1445" r:id="rId5775" xr:uid="{00000000-0004-0000-0100-00008E160000}"/>
    <hyperlink ref="T1445" r:id="rId5776" xr:uid="{00000000-0004-0000-0100-00008F160000}"/>
    <hyperlink ref="Q1446" r:id="rId5777" xr:uid="{00000000-0004-0000-0100-000090160000}"/>
    <hyperlink ref="R1446" r:id="rId5778" xr:uid="{00000000-0004-0000-0100-000091160000}"/>
    <hyperlink ref="S1446" r:id="rId5779" xr:uid="{00000000-0004-0000-0100-000092160000}"/>
    <hyperlink ref="T1446" r:id="rId5780" xr:uid="{00000000-0004-0000-0100-000093160000}"/>
    <hyperlink ref="Q1447" r:id="rId5781" xr:uid="{00000000-0004-0000-0100-000094160000}"/>
    <hyperlink ref="R1447" r:id="rId5782" xr:uid="{00000000-0004-0000-0100-000095160000}"/>
    <hyperlink ref="S1447" r:id="rId5783" xr:uid="{00000000-0004-0000-0100-000096160000}"/>
    <hyperlink ref="T1447" r:id="rId5784" xr:uid="{00000000-0004-0000-0100-000097160000}"/>
    <hyperlink ref="Q1448" r:id="rId5785" xr:uid="{00000000-0004-0000-0100-000098160000}"/>
    <hyperlink ref="R1448" r:id="rId5786" xr:uid="{00000000-0004-0000-0100-000099160000}"/>
    <hyperlink ref="S1448" r:id="rId5787" xr:uid="{00000000-0004-0000-0100-00009A160000}"/>
    <hyperlink ref="T1448" r:id="rId5788" xr:uid="{00000000-0004-0000-0100-00009B160000}"/>
    <hyperlink ref="Q1449" r:id="rId5789" xr:uid="{00000000-0004-0000-0100-00009C160000}"/>
    <hyperlink ref="R1449" r:id="rId5790" xr:uid="{00000000-0004-0000-0100-00009D160000}"/>
    <hyperlink ref="S1449" r:id="rId5791" xr:uid="{00000000-0004-0000-0100-00009E160000}"/>
    <hyperlink ref="T1449" r:id="rId5792" xr:uid="{00000000-0004-0000-0100-00009F160000}"/>
    <hyperlink ref="Q1450" r:id="rId5793" xr:uid="{00000000-0004-0000-0100-0000A0160000}"/>
    <hyperlink ref="R1450" r:id="rId5794" xr:uid="{00000000-0004-0000-0100-0000A1160000}"/>
    <hyperlink ref="S1450" r:id="rId5795" xr:uid="{00000000-0004-0000-0100-0000A2160000}"/>
    <hyperlink ref="T1450" r:id="rId5796" xr:uid="{00000000-0004-0000-0100-0000A3160000}"/>
    <hyperlink ref="Q1451" r:id="rId5797" xr:uid="{00000000-0004-0000-0100-0000A4160000}"/>
    <hyperlink ref="R1451" r:id="rId5798" xr:uid="{00000000-0004-0000-0100-0000A5160000}"/>
    <hyperlink ref="S1451" r:id="rId5799" xr:uid="{00000000-0004-0000-0100-0000A6160000}"/>
    <hyperlink ref="T1451" r:id="rId5800" xr:uid="{00000000-0004-0000-0100-0000A7160000}"/>
    <hyperlink ref="Q1452" r:id="rId5801" xr:uid="{00000000-0004-0000-0100-0000A8160000}"/>
    <hyperlink ref="R1452" r:id="rId5802" xr:uid="{00000000-0004-0000-0100-0000A9160000}"/>
    <hyperlink ref="S1452" r:id="rId5803" xr:uid="{00000000-0004-0000-0100-0000AA160000}"/>
    <hyperlink ref="T1452" r:id="rId5804" xr:uid="{00000000-0004-0000-0100-0000AB160000}"/>
    <hyperlink ref="Q1453" r:id="rId5805" xr:uid="{00000000-0004-0000-0100-0000AC160000}"/>
    <hyperlink ref="R1453" r:id="rId5806" xr:uid="{00000000-0004-0000-0100-0000AD160000}"/>
    <hyperlink ref="S1453" r:id="rId5807" xr:uid="{00000000-0004-0000-0100-0000AE160000}"/>
    <hyperlink ref="T1453" r:id="rId5808" xr:uid="{00000000-0004-0000-0100-0000AF160000}"/>
    <hyperlink ref="Q1454" r:id="rId5809" xr:uid="{00000000-0004-0000-0100-0000B0160000}"/>
    <hyperlink ref="R1454" r:id="rId5810" xr:uid="{00000000-0004-0000-0100-0000B1160000}"/>
    <hyperlink ref="S1454" r:id="rId5811" xr:uid="{00000000-0004-0000-0100-0000B2160000}"/>
    <hyperlink ref="T1454" r:id="rId5812" xr:uid="{00000000-0004-0000-0100-0000B3160000}"/>
    <hyperlink ref="Q1455" r:id="rId5813" xr:uid="{00000000-0004-0000-0100-0000B4160000}"/>
    <hyperlink ref="R1455" r:id="rId5814" xr:uid="{00000000-0004-0000-0100-0000B5160000}"/>
    <hyperlink ref="S1455" r:id="rId5815" xr:uid="{00000000-0004-0000-0100-0000B6160000}"/>
    <hyperlink ref="T1455" r:id="rId5816" xr:uid="{00000000-0004-0000-0100-0000B7160000}"/>
    <hyperlink ref="Q1456" r:id="rId5817" xr:uid="{00000000-0004-0000-0100-0000B8160000}"/>
    <hyperlink ref="R1456" r:id="rId5818" xr:uid="{00000000-0004-0000-0100-0000B9160000}"/>
    <hyperlink ref="S1456" r:id="rId5819" xr:uid="{00000000-0004-0000-0100-0000BA160000}"/>
    <hyperlink ref="T1456" r:id="rId5820" xr:uid="{00000000-0004-0000-0100-0000BB160000}"/>
    <hyperlink ref="Q1457" r:id="rId5821" xr:uid="{00000000-0004-0000-0100-0000BC160000}"/>
    <hyperlink ref="R1457" r:id="rId5822" xr:uid="{00000000-0004-0000-0100-0000BD160000}"/>
    <hyperlink ref="S1457" r:id="rId5823" xr:uid="{00000000-0004-0000-0100-0000BE160000}"/>
    <hyperlink ref="T1457" r:id="rId5824" xr:uid="{00000000-0004-0000-0100-0000BF160000}"/>
    <hyperlink ref="Q1458" r:id="rId5825" xr:uid="{00000000-0004-0000-0100-0000C0160000}"/>
    <hyperlink ref="R1458" r:id="rId5826" xr:uid="{00000000-0004-0000-0100-0000C1160000}"/>
    <hyperlink ref="S1458" r:id="rId5827" xr:uid="{00000000-0004-0000-0100-0000C2160000}"/>
    <hyperlink ref="T1458" r:id="rId5828" xr:uid="{00000000-0004-0000-0100-0000C3160000}"/>
    <hyperlink ref="Q1459" r:id="rId5829" xr:uid="{00000000-0004-0000-0100-0000C4160000}"/>
    <hyperlink ref="R1459" r:id="rId5830" xr:uid="{00000000-0004-0000-0100-0000C5160000}"/>
    <hyperlink ref="S1459" r:id="rId5831" xr:uid="{00000000-0004-0000-0100-0000C6160000}"/>
    <hyperlink ref="T1459" r:id="rId5832" xr:uid="{00000000-0004-0000-0100-0000C7160000}"/>
    <hyperlink ref="Q1460" r:id="rId5833" xr:uid="{00000000-0004-0000-0100-0000C8160000}"/>
    <hyperlink ref="R1460" r:id="rId5834" xr:uid="{00000000-0004-0000-0100-0000C9160000}"/>
    <hyperlink ref="S1460" r:id="rId5835" xr:uid="{00000000-0004-0000-0100-0000CA160000}"/>
    <hyperlink ref="T1460" r:id="rId5836" xr:uid="{00000000-0004-0000-0100-0000CB160000}"/>
    <hyperlink ref="Q1461" r:id="rId5837" xr:uid="{00000000-0004-0000-0100-0000CC160000}"/>
    <hyperlink ref="R1461" r:id="rId5838" xr:uid="{00000000-0004-0000-0100-0000CD160000}"/>
    <hyperlink ref="S1461" r:id="rId5839" xr:uid="{00000000-0004-0000-0100-0000CE160000}"/>
    <hyperlink ref="T1461" r:id="rId5840" xr:uid="{00000000-0004-0000-0100-0000CF160000}"/>
    <hyperlink ref="Q1462" r:id="rId5841" xr:uid="{00000000-0004-0000-0100-0000D0160000}"/>
    <hyperlink ref="R1462" r:id="rId5842" xr:uid="{00000000-0004-0000-0100-0000D1160000}"/>
    <hyperlink ref="S1462" r:id="rId5843" xr:uid="{00000000-0004-0000-0100-0000D2160000}"/>
    <hyperlink ref="T1462" r:id="rId5844" xr:uid="{00000000-0004-0000-0100-0000D3160000}"/>
    <hyperlink ref="Q1463" r:id="rId5845" xr:uid="{00000000-0004-0000-0100-0000D4160000}"/>
    <hyperlink ref="R1463" r:id="rId5846" xr:uid="{00000000-0004-0000-0100-0000D5160000}"/>
    <hyperlink ref="S1463" r:id="rId5847" xr:uid="{00000000-0004-0000-0100-0000D6160000}"/>
    <hyperlink ref="T1463" r:id="rId5848" xr:uid="{00000000-0004-0000-0100-0000D7160000}"/>
    <hyperlink ref="Q1464" r:id="rId5849" xr:uid="{00000000-0004-0000-0100-0000D8160000}"/>
    <hyperlink ref="R1464" r:id="rId5850" xr:uid="{00000000-0004-0000-0100-0000D9160000}"/>
    <hyperlink ref="S1464" r:id="rId5851" xr:uid="{00000000-0004-0000-0100-0000DA160000}"/>
    <hyperlink ref="T1464" r:id="rId5852" xr:uid="{00000000-0004-0000-0100-0000DB160000}"/>
    <hyperlink ref="Q1465" r:id="rId5853" xr:uid="{00000000-0004-0000-0100-0000DC160000}"/>
    <hyperlink ref="R1465" r:id="rId5854" xr:uid="{00000000-0004-0000-0100-0000DD160000}"/>
    <hyperlink ref="S1465" r:id="rId5855" xr:uid="{00000000-0004-0000-0100-0000DE160000}"/>
    <hyperlink ref="T1465" r:id="rId5856" xr:uid="{00000000-0004-0000-0100-0000DF160000}"/>
    <hyperlink ref="Q1466" r:id="rId5857" xr:uid="{00000000-0004-0000-0100-0000E0160000}"/>
    <hyperlink ref="R1466" r:id="rId5858" xr:uid="{00000000-0004-0000-0100-0000E1160000}"/>
    <hyperlink ref="S1466" r:id="rId5859" xr:uid="{00000000-0004-0000-0100-0000E2160000}"/>
    <hyperlink ref="T1466" r:id="rId5860" xr:uid="{00000000-0004-0000-0100-0000E3160000}"/>
    <hyperlink ref="Q1467" r:id="rId5861" xr:uid="{00000000-0004-0000-0100-0000E4160000}"/>
    <hyperlink ref="R1467" r:id="rId5862" xr:uid="{00000000-0004-0000-0100-0000E5160000}"/>
    <hyperlink ref="S1467" r:id="rId5863" xr:uid="{00000000-0004-0000-0100-0000E6160000}"/>
    <hyperlink ref="T1467" r:id="rId5864" xr:uid="{00000000-0004-0000-0100-0000E7160000}"/>
    <hyperlink ref="Q1468" r:id="rId5865" xr:uid="{00000000-0004-0000-0100-0000E8160000}"/>
    <hyperlink ref="R1468" r:id="rId5866" xr:uid="{00000000-0004-0000-0100-0000E9160000}"/>
    <hyperlink ref="S1468" r:id="rId5867" xr:uid="{00000000-0004-0000-0100-0000EA160000}"/>
    <hyperlink ref="T1468" r:id="rId5868" xr:uid="{00000000-0004-0000-0100-0000EB160000}"/>
    <hyperlink ref="Q1469" r:id="rId5869" xr:uid="{00000000-0004-0000-0100-0000EC160000}"/>
    <hyperlink ref="R1469" r:id="rId5870" xr:uid="{00000000-0004-0000-0100-0000ED160000}"/>
    <hyperlink ref="S1469" r:id="rId5871" xr:uid="{00000000-0004-0000-0100-0000EE160000}"/>
    <hyperlink ref="T1469" r:id="rId5872" xr:uid="{00000000-0004-0000-0100-0000EF160000}"/>
    <hyperlink ref="Q1470" r:id="rId5873" xr:uid="{00000000-0004-0000-0100-0000F0160000}"/>
    <hyperlink ref="R1470" r:id="rId5874" xr:uid="{00000000-0004-0000-0100-0000F1160000}"/>
    <hyperlink ref="S1470" r:id="rId5875" xr:uid="{00000000-0004-0000-0100-0000F2160000}"/>
    <hyperlink ref="T1470" r:id="rId5876" xr:uid="{00000000-0004-0000-0100-0000F3160000}"/>
    <hyperlink ref="Q1471" r:id="rId5877" xr:uid="{00000000-0004-0000-0100-0000F4160000}"/>
    <hyperlink ref="R1471" r:id="rId5878" xr:uid="{00000000-0004-0000-0100-0000F5160000}"/>
    <hyperlink ref="S1471" r:id="rId5879" xr:uid="{00000000-0004-0000-0100-0000F6160000}"/>
    <hyperlink ref="T1471" r:id="rId5880" xr:uid="{00000000-0004-0000-0100-0000F7160000}"/>
    <hyperlink ref="Q1472" r:id="rId5881" xr:uid="{00000000-0004-0000-0100-0000F8160000}"/>
    <hyperlink ref="R1472" r:id="rId5882" xr:uid="{00000000-0004-0000-0100-0000F9160000}"/>
    <hyperlink ref="S1472" r:id="rId5883" xr:uid="{00000000-0004-0000-0100-0000FA160000}"/>
    <hyperlink ref="T1472" r:id="rId5884" xr:uid="{00000000-0004-0000-0100-0000FB160000}"/>
    <hyperlink ref="Q1473" r:id="rId5885" xr:uid="{00000000-0004-0000-0100-0000FC160000}"/>
    <hyperlink ref="R1473" r:id="rId5886" xr:uid="{00000000-0004-0000-0100-0000FD160000}"/>
    <hyperlink ref="S1473" r:id="rId5887" xr:uid="{00000000-0004-0000-0100-0000FE160000}"/>
    <hyperlink ref="T1473" r:id="rId5888" xr:uid="{00000000-0004-0000-0100-0000FF160000}"/>
    <hyperlink ref="Q1474" r:id="rId5889" xr:uid="{00000000-0004-0000-0100-000000170000}"/>
    <hyperlink ref="R1474" r:id="rId5890" xr:uid="{00000000-0004-0000-0100-000001170000}"/>
    <hyperlink ref="S1474" r:id="rId5891" xr:uid="{00000000-0004-0000-0100-000002170000}"/>
    <hyperlink ref="T1474" r:id="rId5892" xr:uid="{00000000-0004-0000-0100-000003170000}"/>
    <hyperlink ref="Q1475" r:id="rId5893" xr:uid="{00000000-0004-0000-0100-000004170000}"/>
    <hyperlink ref="R1475" r:id="rId5894" xr:uid="{00000000-0004-0000-0100-000005170000}"/>
    <hyperlink ref="S1475" r:id="rId5895" xr:uid="{00000000-0004-0000-0100-000006170000}"/>
    <hyperlink ref="T1475" r:id="rId5896" xr:uid="{00000000-0004-0000-0100-000007170000}"/>
    <hyperlink ref="Q1476" r:id="rId5897" xr:uid="{00000000-0004-0000-0100-000008170000}"/>
    <hyperlink ref="R1476" r:id="rId5898" xr:uid="{00000000-0004-0000-0100-000009170000}"/>
    <hyperlink ref="S1476" r:id="rId5899" xr:uid="{00000000-0004-0000-0100-00000A170000}"/>
    <hyperlink ref="T1476" r:id="rId5900" xr:uid="{00000000-0004-0000-0100-00000B170000}"/>
    <hyperlink ref="Q1477" r:id="rId5901" xr:uid="{00000000-0004-0000-0100-00000C170000}"/>
    <hyperlink ref="R1477" r:id="rId5902" xr:uid="{00000000-0004-0000-0100-00000D170000}"/>
    <hyperlink ref="S1477" r:id="rId5903" xr:uid="{00000000-0004-0000-0100-00000E170000}"/>
    <hyperlink ref="T1477" r:id="rId5904" xr:uid="{00000000-0004-0000-0100-00000F170000}"/>
    <hyperlink ref="Q1478" r:id="rId5905" xr:uid="{00000000-0004-0000-0100-000010170000}"/>
    <hyperlink ref="R1478" r:id="rId5906" xr:uid="{00000000-0004-0000-0100-000011170000}"/>
    <hyperlink ref="S1478" r:id="rId5907" xr:uid="{00000000-0004-0000-0100-000012170000}"/>
    <hyperlink ref="T1478" r:id="rId5908" xr:uid="{00000000-0004-0000-0100-000013170000}"/>
    <hyperlink ref="Q1479" r:id="rId5909" xr:uid="{00000000-0004-0000-0100-000014170000}"/>
    <hyperlink ref="R1479" r:id="rId5910" xr:uid="{00000000-0004-0000-0100-000015170000}"/>
    <hyperlink ref="S1479" r:id="rId5911" xr:uid="{00000000-0004-0000-0100-000016170000}"/>
    <hyperlink ref="T1479" r:id="rId5912" xr:uid="{00000000-0004-0000-0100-000017170000}"/>
    <hyperlink ref="Q1480" r:id="rId5913" xr:uid="{00000000-0004-0000-0100-000018170000}"/>
    <hyperlink ref="R1480" r:id="rId5914" xr:uid="{00000000-0004-0000-0100-000019170000}"/>
    <hyperlink ref="S1480" r:id="rId5915" xr:uid="{00000000-0004-0000-0100-00001A170000}"/>
    <hyperlink ref="T1480" r:id="rId5916" xr:uid="{00000000-0004-0000-0100-00001B170000}"/>
    <hyperlink ref="Q1481" r:id="rId5917" xr:uid="{00000000-0004-0000-0100-00001C170000}"/>
    <hyperlink ref="R1481" r:id="rId5918" xr:uid="{00000000-0004-0000-0100-00001D170000}"/>
    <hyperlink ref="S1481" r:id="rId5919" xr:uid="{00000000-0004-0000-0100-00001E170000}"/>
    <hyperlink ref="T1481" r:id="rId5920" xr:uid="{00000000-0004-0000-0100-00001F170000}"/>
    <hyperlink ref="Q1482" r:id="rId5921" xr:uid="{00000000-0004-0000-0100-000020170000}"/>
    <hyperlink ref="R1482" r:id="rId5922" xr:uid="{00000000-0004-0000-0100-000021170000}"/>
    <hyperlink ref="S1482" r:id="rId5923" xr:uid="{00000000-0004-0000-0100-000022170000}"/>
    <hyperlink ref="T1482" r:id="rId5924" xr:uid="{00000000-0004-0000-0100-000023170000}"/>
    <hyperlink ref="Q1483" r:id="rId5925" xr:uid="{00000000-0004-0000-0100-000024170000}"/>
    <hyperlink ref="R1483" r:id="rId5926" xr:uid="{00000000-0004-0000-0100-000025170000}"/>
    <hyperlink ref="S1483" r:id="rId5927" xr:uid="{00000000-0004-0000-0100-000026170000}"/>
    <hyperlink ref="T1483" r:id="rId5928" xr:uid="{00000000-0004-0000-0100-000027170000}"/>
    <hyperlink ref="Q1484" r:id="rId5929" xr:uid="{00000000-0004-0000-0100-000028170000}"/>
    <hyperlink ref="R1484" r:id="rId5930" xr:uid="{00000000-0004-0000-0100-000029170000}"/>
    <hyperlink ref="S1484" r:id="rId5931" xr:uid="{00000000-0004-0000-0100-00002A170000}"/>
    <hyperlink ref="T1484" r:id="rId5932" xr:uid="{00000000-0004-0000-0100-00002B170000}"/>
    <hyperlink ref="Q1485" r:id="rId5933" xr:uid="{00000000-0004-0000-0100-00002C170000}"/>
    <hyperlink ref="R1485" r:id="rId5934" xr:uid="{00000000-0004-0000-0100-00002D170000}"/>
    <hyperlink ref="S1485" r:id="rId5935" xr:uid="{00000000-0004-0000-0100-00002E170000}"/>
    <hyperlink ref="T1485" r:id="rId5936" xr:uid="{00000000-0004-0000-0100-00002F170000}"/>
    <hyperlink ref="Q1486" r:id="rId5937" xr:uid="{00000000-0004-0000-0100-000030170000}"/>
    <hyperlink ref="R1486" r:id="rId5938" xr:uid="{00000000-0004-0000-0100-000031170000}"/>
    <hyperlink ref="S1486" r:id="rId5939" xr:uid="{00000000-0004-0000-0100-000032170000}"/>
    <hyperlink ref="T1486" r:id="rId5940" xr:uid="{00000000-0004-0000-0100-000033170000}"/>
    <hyperlink ref="Q1487" r:id="rId5941" xr:uid="{00000000-0004-0000-0100-000034170000}"/>
    <hyperlink ref="R1487" r:id="rId5942" xr:uid="{00000000-0004-0000-0100-000035170000}"/>
    <hyperlink ref="S1487" r:id="rId5943" xr:uid="{00000000-0004-0000-0100-000036170000}"/>
    <hyperlink ref="T1487" r:id="rId5944" xr:uid="{00000000-0004-0000-0100-000037170000}"/>
    <hyperlink ref="Q1488" r:id="rId5945" xr:uid="{00000000-0004-0000-0100-000038170000}"/>
    <hyperlink ref="R1488" r:id="rId5946" xr:uid="{00000000-0004-0000-0100-000039170000}"/>
    <hyperlink ref="S1488" r:id="rId5947" xr:uid="{00000000-0004-0000-0100-00003A170000}"/>
    <hyperlink ref="T1488" r:id="rId5948" xr:uid="{00000000-0004-0000-0100-00003B170000}"/>
    <hyperlink ref="Q1489" r:id="rId5949" xr:uid="{00000000-0004-0000-0100-00003C170000}"/>
    <hyperlink ref="R1489" r:id="rId5950" xr:uid="{00000000-0004-0000-0100-00003D170000}"/>
    <hyperlink ref="S1489" r:id="rId5951" xr:uid="{00000000-0004-0000-0100-00003E170000}"/>
    <hyperlink ref="T1489" r:id="rId5952" xr:uid="{00000000-0004-0000-0100-00003F170000}"/>
    <hyperlink ref="Q1490" r:id="rId5953" xr:uid="{00000000-0004-0000-0100-000040170000}"/>
    <hyperlink ref="R1490" r:id="rId5954" xr:uid="{00000000-0004-0000-0100-000041170000}"/>
    <hyperlink ref="S1490" r:id="rId5955" xr:uid="{00000000-0004-0000-0100-000042170000}"/>
    <hyperlink ref="T1490" r:id="rId5956" xr:uid="{00000000-0004-0000-0100-000043170000}"/>
    <hyperlink ref="Q1491" r:id="rId5957" xr:uid="{00000000-0004-0000-0100-000044170000}"/>
    <hyperlink ref="R1491" r:id="rId5958" xr:uid="{00000000-0004-0000-0100-000045170000}"/>
    <hyperlink ref="S1491" r:id="rId5959" xr:uid="{00000000-0004-0000-0100-000046170000}"/>
    <hyperlink ref="T1491" r:id="rId5960" xr:uid="{00000000-0004-0000-0100-000047170000}"/>
    <hyperlink ref="Q1492" r:id="rId5961" xr:uid="{00000000-0004-0000-0100-000048170000}"/>
    <hyperlink ref="R1492" r:id="rId5962" xr:uid="{00000000-0004-0000-0100-000049170000}"/>
    <hyperlink ref="S1492" r:id="rId5963" xr:uid="{00000000-0004-0000-0100-00004A170000}"/>
    <hyperlink ref="T1492" r:id="rId5964" xr:uid="{00000000-0004-0000-0100-00004B170000}"/>
    <hyperlink ref="Q1493" r:id="rId5965" xr:uid="{00000000-0004-0000-0100-00004C170000}"/>
    <hyperlink ref="R1493" r:id="rId5966" xr:uid="{00000000-0004-0000-0100-00004D170000}"/>
    <hyperlink ref="S1493" r:id="rId5967" xr:uid="{00000000-0004-0000-0100-00004E170000}"/>
    <hyperlink ref="T1493" r:id="rId5968" xr:uid="{00000000-0004-0000-0100-00004F170000}"/>
    <hyperlink ref="Q1494" r:id="rId5969" xr:uid="{00000000-0004-0000-0100-000050170000}"/>
    <hyperlink ref="R1494" r:id="rId5970" xr:uid="{00000000-0004-0000-0100-000051170000}"/>
    <hyperlink ref="S1494" r:id="rId5971" xr:uid="{00000000-0004-0000-0100-000052170000}"/>
    <hyperlink ref="T1494" r:id="rId5972" xr:uid="{00000000-0004-0000-0100-000053170000}"/>
    <hyperlink ref="Q1495" r:id="rId5973" xr:uid="{00000000-0004-0000-0100-000054170000}"/>
    <hyperlink ref="R1495" r:id="rId5974" xr:uid="{00000000-0004-0000-0100-000055170000}"/>
    <hyperlink ref="S1495" r:id="rId5975" xr:uid="{00000000-0004-0000-0100-000056170000}"/>
    <hyperlink ref="T1495" r:id="rId5976" xr:uid="{00000000-0004-0000-0100-000057170000}"/>
    <hyperlink ref="Q1496" r:id="rId5977" xr:uid="{00000000-0004-0000-0100-000058170000}"/>
    <hyperlink ref="R1496" r:id="rId5978" xr:uid="{00000000-0004-0000-0100-000059170000}"/>
    <hyperlink ref="S1496" r:id="rId5979" xr:uid="{00000000-0004-0000-0100-00005A170000}"/>
    <hyperlink ref="T1496" r:id="rId5980" xr:uid="{00000000-0004-0000-0100-00005B170000}"/>
    <hyperlink ref="Q1497" r:id="rId5981" xr:uid="{00000000-0004-0000-0100-00005C170000}"/>
    <hyperlink ref="R1497" r:id="rId5982" xr:uid="{00000000-0004-0000-0100-00005D170000}"/>
    <hyperlink ref="S1497" r:id="rId5983" xr:uid="{00000000-0004-0000-0100-00005E170000}"/>
    <hyperlink ref="T1497" r:id="rId5984" xr:uid="{00000000-0004-0000-0100-00005F170000}"/>
    <hyperlink ref="Q1498" r:id="rId5985" xr:uid="{00000000-0004-0000-0100-000060170000}"/>
    <hyperlink ref="R1498" r:id="rId5986" xr:uid="{00000000-0004-0000-0100-000061170000}"/>
    <hyperlink ref="S1498" r:id="rId5987" xr:uid="{00000000-0004-0000-0100-000062170000}"/>
    <hyperlink ref="T1498" r:id="rId5988" xr:uid="{00000000-0004-0000-0100-000063170000}"/>
    <hyperlink ref="Q1499" r:id="rId5989" xr:uid="{00000000-0004-0000-0100-000064170000}"/>
    <hyperlink ref="R1499" r:id="rId5990" xr:uid="{00000000-0004-0000-0100-000065170000}"/>
    <hyperlink ref="S1499" r:id="rId5991" xr:uid="{00000000-0004-0000-0100-000066170000}"/>
    <hyperlink ref="T1499" r:id="rId5992" xr:uid="{00000000-0004-0000-0100-000067170000}"/>
    <hyperlink ref="Q1500" r:id="rId5993" xr:uid="{00000000-0004-0000-0100-000068170000}"/>
    <hyperlink ref="R1500" r:id="rId5994" xr:uid="{00000000-0004-0000-0100-000069170000}"/>
    <hyperlink ref="S1500" r:id="rId5995" xr:uid="{00000000-0004-0000-0100-00006A170000}"/>
    <hyperlink ref="T1500" r:id="rId5996" xr:uid="{00000000-0004-0000-0100-00006B170000}"/>
    <hyperlink ref="Q1501" r:id="rId5997" xr:uid="{00000000-0004-0000-0100-00006C170000}"/>
    <hyperlink ref="R1501" r:id="rId5998" xr:uid="{00000000-0004-0000-0100-00006D170000}"/>
    <hyperlink ref="S1501" r:id="rId5999" xr:uid="{00000000-0004-0000-0100-00006E170000}"/>
    <hyperlink ref="T1501" r:id="rId6000" xr:uid="{00000000-0004-0000-0100-00006F170000}"/>
    <hyperlink ref="Q1502" r:id="rId6001" xr:uid="{00000000-0004-0000-0100-000070170000}"/>
    <hyperlink ref="R1502" r:id="rId6002" xr:uid="{00000000-0004-0000-0100-000071170000}"/>
    <hyperlink ref="S1502" r:id="rId6003" xr:uid="{00000000-0004-0000-0100-000072170000}"/>
    <hyperlink ref="T1502" r:id="rId6004" xr:uid="{00000000-0004-0000-0100-000073170000}"/>
    <hyperlink ref="Q1503" r:id="rId6005" xr:uid="{00000000-0004-0000-0100-000074170000}"/>
    <hyperlink ref="R1503" r:id="rId6006" xr:uid="{00000000-0004-0000-0100-000075170000}"/>
    <hyperlink ref="S1503" r:id="rId6007" xr:uid="{00000000-0004-0000-0100-000076170000}"/>
    <hyperlink ref="T1503" r:id="rId6008" xr:uid="{00000000-0004-0000-0100-000077170000}"/>
    <hyperlink ref="Q1504" r:id="rId6009" xr:uid="{00000000-0004-0000-0100-000078170000}"/>
    <hyperlink ref="R1504" r:id="rId6010" xr:uid="{00000000-0004-0000-0100-000079170000}"/>
    <hyperlink ref="S1504" r:id="rId6011" xr:uid="{00000000-0004-0000-0100-00007A170000}"/>
    <hyperlink ref="T1504" r:id="rId6012" xr:uid="{00000000-0004-0000-0100-00007B170000}"/>
    <hyperlink ref="Q1505" r:id="rId6013" xr:uid="{00000000-0004-0000-0100-00007C170000}"/>
    <hyperlink ref="R1505" r:id="rId6014" xr:uid="{00000000-0004-0000-0100-00007D170000}"/>
    <hyperlink ref="S1505" r:id="rId6015" xr:uid="{00000000-0004-0000-0100-00007E170000}"/>
    <hyperlink ref="T1505" r:id="rId6016" xr:uid="{00000000-0004-0000-0100-00007F170000}"/>
    <hyperlink ref="Q1506" r:id="rId6017" xr:uid="{00000000-0004-0000-0100-000080170000}"/>
    <hyperlink ref="R1506" r:id="rId6018" xr:uid="{00000000-0004-0000-0100-000081170000}"/>
    <hyperlink ref="S1506" r:id="rId6019" xr:uid="{00000000-0004-0000-0100-000082170000}"/>
    <hyperlink ref="T1506" r:id="rId6020" xr:uid="{00000000-0004-0000-0100-000083170000}"/>
    <hyperlink ref="Q1507" r:id="rId6021" xr:uid="{00000000-0004-0000-0100-000084170000}"/>
    <hyperlink ref="R1507" r:id="rId6022" xr:uid="{00000000-0004-0000-0100-000085170000}"/>
    <hyperlink ref="S1507" r:id="rId6023" xr:uid="{00000000-0004-0000-0100-000086170000}"/>
    <hyperlink ref="T1507" r:id="rId6024" xr:uid="{00000000-0004-0000-0100-000087170000}"/>
    <hyperlink ref="Q1508" r:id="rId6025" xr:uid="{00000000-0004-0000-0100-000088170000}"/>
    <hyperlink ref="R1508" r:id="rId6026" xr:uid="{00000000-0004-0000-0100-000089170000}"/>
    <hyperlink ref="S1508" r:id="rId6027" xr:uid="{00000000-0004-0000-0100-00008A170000}"/>
    <hyperlink ref="T1508" r:id="rId6028" xr:uid="{00000000-0004-0000-0100-00008B170000}"/>
    <hyperlink ref="Q1509" r:id="rId6029" xr:uid="{00000000-0004-0000-0100-00008C170000}"/>
    <hyperlink ref="R1509" r:id="rId6030" xr:uid="{00000000-0004-0000-0100-00008D170000}"/>
    <hyperlink ref="S1509" r:id="rId6031" xr:uid="{00000000-0004-0000-0100-00008E170000}"/>
    <hyperlink ref="T1509" r:id="rId6032" xr:uid="{00000000-0004-0000-0100-00008F170000}"/>
    <hyperlink ref="Q1510" r:id="rId6033" xr:uid="{00000000-0004-0000-0100-000090170000}"/>
    <hyperlink ref="R1510" r:id="rId6034" xr:uid="{00000000-0004-0000-0100-000091170000}"/>
    <hyperlink ref="S1510" r:id="rId6035" xr:uid="{00000000-0004-0000-0100-000092170000}"/>
    <hyperlink ref="T1510" r:id="rId6036" xr:uid="{00000000-0004-0000-0100-000093170000}"/>
    <hyperlink ref="Q1511" r:id="rId6037" xr:uid="{00000000-0004-0000-0100-000094170000}"/>
    <hyperlink ref="R1511" r:id="rId6038" xr:uid="{00000000-0004-0000-0100-000095170000}"/>
    <hyperlink ref="S1511" r:id="rId6039" xr:uid="{00000000-0004-0000-0100-000096170000}"/>
    <hyperlink ref="T1511" r:id="rId6040" xr:uid="{00000000-0004-0000-0100-000097170000}"/>
    <hyperlink ref="Q1512" r:id="rId6041" xr:uid="{00000000-0004-0000-0100-000098170000}"/>
    <hyperlink ref="R1512" r:id="rId6042" xr:uid="{00000000-0004-0000-0100-000099170000}"/>
    <hyperlink ref="S1512" r:id="rId6043" xr:uid="{00000000-0004-0000-0100-00009A170000}"/>
    <hyperlink ref="T1512" r:id="rId6044" xr:uid="{00000000-0004-0000-0100-00009B170000}"/>
    <hyperlink ref="Q1513" r:id="rId6045" xr:uid="{00000000-0004-0000-0100-00009C170000}"/>
    <hyperlink ref="R1513" r:id="rId6046" xr:uid="{00000000-0004-0000-0100-00009D170000}"/>
    <hyperlink ref="S1513" r:id="rId6047" xr:uid="{00000000-0004-0000-0100-00009E170000}"/>
    <hyperlink ref="T1513" r:id="rId6048" xr:uid="{00000000-0004-0000-0100-00009F170000}"/>
    <hyperlink ref="Q1514" r:id="rId6049" xr:uid="{00000000-0004-0000-0100-0000A0170000}"/>
    <hyperlink ref="R1514" r:id="rId6050" xr:uid="{00000000-0004-0000-0100-0000A1170000}"/>
    <hyperlink ref="S1514" r:id="rId6051" xr:uid="{00000000-0004-0000-0100-0000A2170000}"/>
    <hyperlink ref="T1514" r:id="rId6052" xr:uid="{00000000-0004-0000-0100-0000A3170000}"/>
    <hyperlink ref="Q1515" r:id="rId6053" xr:uid="{00000000-0004-0000-0100-0000A4170000}"/>
    <hyperlink ref="R1515" r:id="rId6054" xr:uid="{00000000-0004-0000-0100-0000A5170000}"/>
    <hyperlink ref="S1515" r:id="rId6055" xr:uid="{00000000-0004-0000-0100-0000A6170000}"/>
    <hyperlink ref="T1515" r:id="rId6056" xr:uid="{00000000-0004-0000-0100-0000A7170000}"/>
    <hyperlink ref="Q1516" r:id="rId6057" xr:uid="{00000000-0004-0000-0100-0000A8170000}"/>
    <hyperlink ref="R1516" r:id="rId6058" xr:uid="{00000000-0004-0000-0100-0000A9170000}"/>
    <hyperlink ref="S1516" r:id="rId6059" xr:uid="{00000000-0004-0000-0100-0000AA170000}"/>
    <hyperlink ref="T1516" r:id="rId6060" xr:uid="{00000000-0004-0000-0100-0000AB170000}"/>
    <hyperlink ref="Q1517" r:id="rId6061" xr:uid="{00000000-0004-0000-0100-0000AC170000}"/>
    <hyperlink ref="R1517" r:id="rId6062" xr:uid="{00000000-0004-0000-0100-0000AD170000}"/>
    <hyperlink ref="S1517" r:id="rId6063" xr:uid="{00000000-0004-0000-0100-0000AE170000}"/>
    <hyperlink ref="T1517" r:id="rId6064" xr:uid="{00000000-0004-0000-0100-0000AF170000}"/>
    <hyperlink ref="Q1518" r:id="rId6065" xr:uid="{00000000-0004-0000-0100-0000B0170000}"/>
    <hyperlink ref="R1518" r:id="rId6066" xr:uid="{00000000-0004-0000-0100-0000B1170000}"/>
    <hyperlink ref="S1518" r:id="rId6067" xr:uid="{00000000-0004-0000-0100-0000B2170000}"/>
    <hyperlink ref="T1518" r:id="rId6068" xr:uid="{00000000-0004-0000-0100-0000B3170000}"/>
    <hyperlink ref="Q1519" r:id="rId6069" xr:uid="{00000000-0004-0000-0100-0000B4170000}"/>
    <hyperlink ref="R1519" r:id="rId6070" xr:uid="{00000000-0004-0000-0100-0000B5170000}"/>
    <hyperlink ref="S1519" r:id="rId6071" xr:uid="{00000000-0004-0000-0100-0000B6170000}"/>
    <hyperlink ref="T1519" r:id="rId6072" xr:uid="{00000000-0004-0000-0100-0000B7170000}"/>
    <hyperlink ref="Q1520" r:id="rId6073" xr:uid="{00000000-0004-0000-0100-0000B8170000}"/>
    <hyperlink ref="R1520" r:id="rId6074" xr:uid="{00000000-0004-0000-0100-0000B9170000}"/>
    <hyperlink ref="S1520" r:id="rId6075" xr:uid="{00000000-0004-0000-0100-0000BA170000}"/>
    <hyperlink ref="T1520" r:id="rId6076" xr:uid="{00000000-0004-0000-0100-0000BB170000}"/>
    <hyperlink ref="Q1521" r:id="rId6077" xr:uid="{00000000-0004-0000-0100-0000BC170000}"/>
    <hyperlink ref="R1521" r:id="rId6078" xr:uid="{00000000-0004-0000-0100-0000BD170000}"/>
    <hyperlink ref="S1521" r:id="rId6079" xr:uid="{00000000-0004-0000-0100-0000BE170000}"/>
    <hyperlink ref="T1521" r:id="rId6080" xr:uid="{00000000-0004-0000-0100-0000BF170000}"/>
    <hyperlink ref="Q1522" r:id="rId6081" xr:uid="{00000000-0004-0000-0100-0000C0170000}"/>
    <hyperlink ref="R1522" r:id="rId6082" xr:uid="{00000000-0004-0000-0100-0000C1170000}"/>
    <hyperlink ref="S1522" r:id="rId6083" xr:uid="{00000000-0004-0000-0100-0000C2170000}"/>
    <hyperlink ref="T1522" r:id="rId6084" xr:uid="{00000000-0004-0000-0100-0000C3170000}"/>
    <hyperlink ref="Q1523" r:id="rId6085" xr:uid="{00000000-0004-0000-0100-0000C4170000}"/>
    <hyperlink ref="R1523" r:id="rId6086" xr:uid="{00000000-0004-0000-0100-0000C5170000}"/>
    <hyperlink ref="S1523" r:id="rId6087" xr:uid="{00000000-0004-0000-0100-0000C6170000}"/>
    <hyperlink ref="T1523" r:id="rId6088" xr:uid="{00000000-0004-0000-0100-0000C7170000}"/>
    <hyperlink ref="Q1524" r:id="rId6089" xr:uid="{00000000-0004-0000-0100-0000C8170000}"/>
    <hyperlink ref="R1524" r:id="rId6090" xr:uid="{00000000-0004-0000-0100-0000C9170000}"/>
    <hyperlink ref="S1524" r:id="rId6091" xr:uid="{00000000-0004-0000-0100-0000CA170000}"/>
    <hyperlink ref="T1524" r:id="rId6092" xr:uid="{00000000-0004-0000-0100-0000CB170000}"/>
    <hyperlink ref="Q1525" r:id="rId6093" xr:uid="{00000000-0004-0000-0100-0000CC170000}"/>
    <hyperlink ref="R1525" r:id="rId6094" xr:uid="{00000000-0004-0000-0100-0000CD170000}"/>
    <hyperlink ref="S1525" r:id="rId6095" xr:uid="{00000000-0004-0000-0100-0000CE170000}"/>
    <hyperlink ref="T1525" r:id="rId6096" xr:uid="{00000000-0004-0000-0100-0000CF170000}"/>
    <hyperlink ref="Q1526" r:id="rId6097" xr:uid="{00000000-0004-0000-0100-0000D0170000}"/>
    <hyperlink ref="R1526" r:id="rId6098" xr:uid="{00000000-0004-0000-0100-0000D1170000}"/>
    <hyperlink ref="S1526" r:id="rId6099" xr:uid="{00000000-0004-0000-0100-0000D2170000}"/>
    <hyperlink ref="T1526" r:id="rId6100" xr:uid="{00000000-0004-0000-0100-0000D3170000}"/>
    <hyperlink ref="Q1527" r:id="rId6101" xr:uid="{00000000-0004-0000-0100-0000D4170000}"/>
    <hyperlink ref="R1527" r:id="rId6102" xr:uid="{00000000-0004-0000-0100-0000D5170000}"/>
    <hyperlink ref="S1527" r:id="rId6103" xr:uid="{00000000-0004-0000-0100-0000D6170000}"/>
    <hyperlink ref="T1527" r:id="rId6104" xr:uid="{00000000-0004-0000-0100-0000D7170000}"/>
    <hyperlink ref="Q1528" r:id="rId6105" xr:uid="{00000000-0004-0000-0100-0000D8170000}"/>
    <hyperlink ref="R1528" r:id="rId6106" xr:uid="{00000000-0004-0000-0100-0000D9170000}"/>
    <hyperlink ref="S1528" r:id="rId6107" xr:uid="{00000000-0004-0000-0100-0000DA170000}"/>
    <hyperlink ref="T1528" r:id="rId6108" xr:uid="{00000000-0004-0000-0100-0000DB170000}"/>
    <hyperlink ref="Q1529" r:id="rId6109" xr:uid="{00000000-0004-0000-0100-0000DC170000}"/>
    <hyperlink ref="R1529" r:id="rId6110" xr:uid="{00000000-0004-0000-0100-0000DD170000}"/>
    <hyperlink ref="S1529" r:id="rId6111" xr:uid="{00000000-0004-0000-0100-0000DE170000}"/>
    <hyperlink ref="T1529" r:id="rId6112" xr:uid="{00000000-0004-0000-0100-0000DF170000}"/>
    <hyperlink ref="Q1530" r:id="rId6113" xr:uid="{00000000-0004-0000-0100-0000E0170000}"/>
    <hyperlink ref="R1530" r:id="rId6114" xr:uid="{00000000-0004-0000-0100-0000E1170000}"/>
    <hyperlink ref="S1530" r:id="rId6115" xr:uid="{00000000-0004-0000-0100-0000E2170000}"/>
    <hyperlink ref="T1530" r:id="rId6116" xr:uid="{00000000-0004-0000-0100-0000E3170000}"/>
    <hyperlink ref="Q1531" r:id="rId6117" xr:uid="{00000000-0004-0000-0100-0000E4170000}"/>
    <hyperlink ref="R1531" r:id="rId6118" xr:uid="{00000000-0004-0000-0100-0000E5170000}"/>
    <hyperlink ref="S1531" r:id="rId6119" xr:uid="{00000000-0004-0000-0100-0000E6170000}"/>
    <hyperlink ref="T1531" r:id="rId6120" xr:uid="{00000000-0004-0000-0100-0000E7170000}"/>
    <hyperlink ref="Q1532" r:id="rId6121" xr:uid="{00000000-0004-0000-0100-0000E8170000}"/>
    <hyperlink ref="R1532" r:id="rId6122" xr:uid="{00000000-0004-0000-0100-0000E9170000}"/>
    <hyperlink ref="S1532" r:id="rId6123" xr:uid="{00000000-0004-0000-0100-0000EA170000}"/>
    <hyperlink ref="T1532" r:id="rId6124" xr:uid="{00000000-0004-0000-0100-0000EB170000}"/>
    <hyperlink ref="Q1533" r:id="rId6125" xr:uid="{00000000-0004-0000-0100-0000EC170000}"/>
    <hyperlink ref="R1533" r:id="rId6126" xr:uid="{00000000-0004-0000-0100-0000ED170000}"/>
    <hyperlink ref="S1533" r:id="rId6127" xr:uid="{00000000-0004-0000-0100-0000EE170000}"/>
    <hyperlink ref="T1533" r:id="rId6128" xr:uid="{00000000-0004-0000-0100-0000EF170000}"/>
    <hyperlink ref="Q1534" r:id="rId6129" xr:uid="{00000000-0004-0000-0100-0000F0170000}"/>
    <hyperlink ref="R1534" r:id="rId6130" xr:uid="{00000000-0004-0000-0100-0000F1170000}"/>
    <hyperlink ref="S1534" r:id="rId6131" xr:uid="{00000000-0004-0000-0100-0000F2170000}"/>
    <hyperlink ref="T1534" r:id="rId6132" xr:uid="{00000000-0004-0000-0100-0000F3170000}"/>
    <hyperlink ref="Q1535" r:id="rId6133" xr:uid="{00000000-0004-0000-0100-0000F4170000}"/>
    <hyperlink ref="R1535" r:id="rId6134" xr:uid="{00000000-0004-0000-0100-0000F5170000}"/>
    <hyperlink ref="S1535" r:id="rId6135" xr:uid="{00000000-0004-0000-0100-0000F6170000}"/>
    <hyperlink ref="T1535" r:id="rId6136" xr:uid="{00000000-0004-0000-0100-0000F7170000}"/>
    <hyperlink ref="Q1536" r:id="rId6137" xr:uid="{00000000-0004-0000-0100-0000F8170000}"/>
    <hyperlink ref="R1536" r:id="rId6138" xr:uid="{00000000-0004-0000-0100-0000F9170000}"/>
    <hyperlink ref="S1536" r:id="rId6139" xr:uid="{00000000-0004-0000-0100-0000FA170000}"/>
    <hyperlink ref="T1536" r:id="rId6140" xr:uid="{00000000-0004-0000-0100-0000FB170000}"/>
    <hyperlink ref="Q1537" r:id="rId6141" xr:uid="{00000000-0004-0000-0100-0000FC170000}"/>
    <hyperlink ref="R1537" r:id="rId6142" xr:uid="{00000000-0004-0000-0100-0000FD170000}"/>
    <hyperlink ref="S1537" r:id="rId6143" xr:uid="{00000000-0004-0000-0100-0000FE170000}"/>
    <hyperlink ref="T1537" r:id="rId6144" xr:uid="{00000000-0004-0000-0100-0000FF170000}"/>
    <hyperlink ref="Q1538" r:id="rId6145" xr:uid="{00000000-0004-0000-0100-000000180000}"/>
    <hyperlink ref="R1538" r:id="rId6146" xr:uid="{00000000-0004-0000-0100-000001180000}"/>
    <hyperlink ref="S1538" r:id="rId6147" xr:uid="{00000000-0004-0000-0100-000002180000}"/>
    <hyperlink ref="T1538" r:id="rId6148" xr:uid="{00000000-0004-0000-0100-000003180000}"/>
    <hyperlink ref="Q1539" r:id="rId6149" xr:uid="{00000000-0004-0000-0100-000004180000}"/>
    <hyperlink ref="R1539" r:id="rId6150" xr:uid="{00000000-0004-0000-0100-000005180000}"/>
    <hyperlink ref="S1539" r:id="rId6151" xr:uid="{00000000-0004-0000-0100-000006180000}"/>
    <hyperlink ref="T1539" r:id="rId6152" xr:uid="{00000000-0004-0000-0100-000007180000}"/>
    <hyperlink ref="Q1540" r:id="rId6153" xr:uid="{00000000-0004-0000-0100-000008180000}"/>
    <hyperlink ref="R1540" r:id="rId6154" xr:uid="{00000000-0004-0000-0100-000009180000}"/>
    <hyperlink ref="S1540" r:id="rId6155" xr:uid="{00000000-0004-0000-0100-00000A180000}"/>
    <hyperlink ref="T1540" r:id="rId6156" xr:uid="{00000000-0004-0000-0100-00000B180000}"/>
    <hyperlink ref="Q1541" r:id="rId6157" xr:uid="{00000000-0004-0000-0100-00000C180000}"/>
    <hyperlink ref="R1541" r:id="rId6158" xr:uid="{00000000-0004-0000-0100-00000D180000}"/>
    <hyperlink ref="S1541" r:id="rId6159" xr:uid="{00000000-0004-0000-0100-00000E180000}"/>
    <hyperlink ref="T1541" r:id="rId6160" xr:uid="{00000000-0004-0000-0100-00000F180000}"/>
    <hyperlink ref="Q1542" r:id="rId6161" xr:uid="{00000000-0004-0000-0100-000010180000}"/>
    <hyperlink ref="R1542" r:id="rId6162" xr:uid="{00000000-0004-0000-0100-000011180000}"/>
    <hyperlink ref="S1542" r:id="rId6163" xr:uid="{00000000-0004-0000-0100-000012180000}"/>
    <hyperlink ref="T1542" r:id="rId6164" xr:uid="{00000000-0004-0000-0100-000013180000}"/>
    <hyperlink ref="Q1543" r:id="rId6165" xr:uid="{00000000-0004-0000-0100-000014180000}"/>
    <hyperlink ref="R1543" r:id="rId6166" xr:uid="{00000000-0004-0000-0100-000015180000}"/>
    <hyperlink ref="S1543" r:id="rId6167" xr:uid="{00000000-0004-0000-0100-000016180000}"/>
    <hyperlink ref="T1543" r:id="rId6168" xr:uid="{00000000-0004-0000-0100-000017180000}"/>
    <hyperlink ref="Q1544" r:id="rId6169" xr:uid="{00000000-0004-0000-0100-000018180000}"/>
    <hyperlink ref="R1544" r:id="rId6170" xr:uid="{00000000-0004-0000-0100-000019180000}"/>
    <hyperlink ref="S1544" r:id="rId6171" xr:uid="{00000000-0004-0000-0100-00001A180000}"/>
    <hyperlink ref="T1544" r:id="rId6172" xr:uid="{00000000-0004-0000-0100-00001B180000}"/>
    <hyperlink ref="Q1545" r:id="rId6173" xr:uid="{00000000-0004-0000-0100-00001C180000}"/>
    <hyperlink ref="R1545" r:id="rId6174" xr:uid="{00000000-0004-0000-0100-00001D180000}"/>
    <hyperlink ref="S1545" r:id="rId6175" xr:uid="{00000000-0004-0000-0100-00001E180000}"/>
    <hyperlink ref="T1545" r:id="rId6176" xr:uid="{00000000-0004-0000-0100-00001F180000}"/>
    <hyperlink ref="Q1546" r:id="rId6177" xr:uid="{00000000-0004-0000-0100-000020180000}"/>
    <hyperlink ref="R1546" r:id="rId6178" xr:uid="{00000000-0004-0000-0100-000021180000}"/>
    <hyperlink ref="S1546" r:id="rId6179" xr:uid="{00000000-0004-0000-0100-000022180000}"/>
    <hyperlink ref="T1546" r:id="rId6180" xr:uid="{00000000-0004-0000-0100-000023180000}"/>
    <hyperlink ref="Q1547" r:id="rId6181" xr:uid="{00000000-0004-0000-0100-000024180000}"/>
    <hyperlink ref="R1547" r:id="rId6182" xr:uid="{00000000-0004-0000-0100-000025180000}"/>
    <hyperlink ref="S1547" r:id="rId6183" xr:uid="{00000000-0004-0000-0100-000026180000}"/>
    <hyperlink ref="T1547" r:id="rId6184" xr:uid="{00000000-0004-0000-0100-000027180000}"/>
    <hyperlink ref="Q1548" r:id="rId6185" xr:uid="{00000000-0004-0000-0100-000028180000}"/>
    <hyperlink ref="R1548" r:id="rId6186" xr:uid="{00000000-0004-0000-0100-000029180000}"/>
    <hyperlink ref="S1548" r:id="rId6187" xr:uid="{00000000-0004-0000-0100-00002A180000}"/>
    <hyperlink ref="T1548" r:id="rId6188" xr:uid="{00000000-0004-0000-0100-00002B180000}"/>
    <hyperlink ref="Q1549" r:id="rId6189" xr:uid="{00000000-0004-0000-0100-00002C180000}"/>
    <hyperlink ref="R1549" r:id="rId6190" xr:uid="{00000000-0004-0000-0100-00002D180000}"/>
    <hyperlink ref="S1549" r:id="rId6191" xr:uid="{00000000-0004-0000-0100-00002E180000}"/>
    <hyperlink ref="T1549" r:id="rId6192" xr:uid="{00000000-0004-0000-0100-00002F180000}"/>
    <hyperlink ref="Q1550" r:id="rId6193" xr:uid="{00000000-0004-0000-0100-000030180000}"/>
    <hyperlink ref="R1550" r:id="rId6194" xr:uid="{00000000-0004-0000-0100-000031180000}"/>
    <hyperlink ref="S1550" r:id="rId6195" xr:uid="{00000000-0004-0000-0100-000032180000}"/>
    <hyperlink ref="T1550" r:id="rId6196" xr:uid="{00000000-0004-0000-0100-000033180000}"/>
    <hyperlink ref="Q1551" r:id="rId6197" xr:uid="{00000000-0004-0000-0100-000034180000}"/>
    <hyperlink ref="R1551" r:id="rId6198" xr:uid="{00000000-0004-0000-0100-000035180000}"/>
    <hyperlink ref="S1551" r:id="rId6199" xr:uid="{00000000-0004-0000-0100-000036180000}"/>
    <hyperlink ref="T1551" r:id="rId6200" xr:uid="{00000000-0004-0000-0100-000037180000}"/>
    <hyperlink ref="Q1552" r:id="rId6201" xr:uid="{00000000-0004-0000-0100-000038180000}"/>
    <hyperlink ref="R1552" r:id="rId6202" xr:uid="{00000000-0004-0000-0100-000039180000}"/>
    <hyperlink ref="S1552" r:id="rId6203" xr:uid="{00000000-0004-0000-0100-00003A180000}"/>
    <hyperlink ref="T1552" r:id="rId6204" xr:uid="{00000000-0004-0000-0100-00003B180000}"/>
    <hyperlink ref="Q1553" r:id="rId6205" xr:uid="{00000000-0004-0000-0100-00003C180000}"/>
    <hyperlink ref="R1553" r:id="rId6206" xr:uid="{00000000-0004-0000-0100-00003D180000}"/>
    <hyperlink ref="S1553" r:id="rId6207" xr:uid="{00000000-0004-0000-0100-00003E180000}"/>
    <hyperlink ref="T1553" r:id="rId6208" xr:uid="{00000000-0004-0000-0100-00003F180000}"/>
    <hyperlink ref="Q1554" r:id="rId6209" xr:uid="{00000000-0004-0000-0100-000040180000}"/>
    <hyperlink ref="R1554" r:id="rId6210" xr:uid="{00000000-0004-0000-0100-000041180000}"/>
    <hyperlink ref="S1554" r:id="rId6211" xr:uid="{00000000-0004-0000-0100-000042180000}"/>
    <hyperlink ref="T1554" r:id="rId6212" xr:uid="{00000000-0004-0000-0100-000043180000}"/>
    <hyperlink ref="Q1555" r:id="rId6213" xr:uid="{00000000-0004-0000-0100-000044180000}"/>
    <hyperlink ref="R1555" r:id="rId6214" xr:uid="{00000000-0004-0000-0100-000045180000}"/>
    <hyperlink ref="S1555" r:id="rId6215" xr:uid="{00000000-0004-0000-0100-000046180000}"/>
    <hyperlink ref="T1555" r:id="rId6216" xr:uid="{00000000-0004-0000-0100-000047180000}"/>
    <hyperlink ref="Q1556" r:id="rId6217" xr:uid="{00000000-0004-0000-0100-000048180000}"/>
    <hyperlink ref="R1556" r:id="rId6218" xr:uid="{00000000-0004-0000-0100-000049180000}"/>
    <hyperlink ref="S1556" r:id="rId6219" xr:uid="{00000000-0004-0000-0100-00004A180000}"/>
    <hyperlink ref="T1556" r:id="rId6220" xr:uid="{00000000-0004-0000-0100-00004B180000}"/>
    <hyperlink ref="Q1557" r:id="rId6221" xr:uid="{00000000-0004-0000-0100-00004C180000}"/>
    <hyperlink ref="R1557" r:id="rId6222" xr:uid="{00000000-0004-0000-0100-00004D180000}"/>
    <hyperlink ref="S1557" r:id="rId6223" xr:uid="{00000000-0004-0000-0100-00004E180000}"/>
    <hyperlink ref="T1557" r:id="rId6224" xr:uid="{00000000-0004-0000-0100-00004F180000}"/>
    <hyperlink ref="Q1558" r:id="rId6225" xr:uid="{00000000-0004-0000-0100-000050180000}"/>
    <hyperlink ref="R1558" r:id="rId6226" xr:uid="{00000000-0004-0000-0100-000051180000}"/>
    <hyperlink ref="S1558" r:id="rId6227" xr:uid="{00000000-0004-0000-0100-000052180000}"/>
    <hyperlink ref="T1558" r:id="rId6228" xr:uid="{00000000-0004-0000-0100-000053180000}"/>
    <hyperlink ref="Q1559" r:id="rId6229" xr:uid="{00000000-0004-0000-0100-000054180000}"/>
    <hyperlink ref="R1559" r:id="rId6230" xr:uid="{00000000-0004-0000-0100-000055180000}"/>
    <hyperlink ref="S1559" r:id="rId6231" xr:uid="{00000000-0004-0000-0100-000056180000}"/>
    <hyperlink ref="T1559" r:id="rId6232" xr:uid="{00000000-0004-0000-0100-000057180000}"/>
    <hyperlink ref="Q1560" r:id="rId6233" xr:uid="{00000000-0004-0000-0100-000058180000}"/>
    <hyperlink ref="R1560" r:id="rId6234" xr:uid="{00000000-0004-0000-0100-000059180000}"/>
    <hyperlink ref="S1560" r:id="rId6235" xr:uid="{00000000-0004-0000-0100-00005A180000}"/>
    <hyperlink ref="T1560" r:id="rId6236" xr:uid="{00000000-0004-0000-0100-00005B180000}"/>
    <hyperlink ref="Q1561" r:id="rId6237" xr:uid="{00000000-0004-0000-0100-00005C180000}"/>
    <hyperlink ref="R1561" r:id="rId6238" xr:uid="{00000000-0004-0000-0100-00005D180000}"/>
    <hyperlink ref="S1561" r:id="rId6239" xr:uid="{00000000-0004-0000-0100-00005E180000}"/>
    <hyperlink ref="T1561" r:id="rId6240" xr:uid="{00000000-0004-0000-0100-00005F180000}"/>
    <hyperlink ref="Q1562" r:id="rId6241" xr:uid="{00000000-0004-0000-0100-000060180000}"/>
    <hyperlink ref="R1562" r:id="rId6242" xr:uid="{00000000-0004-0000-0100-000061180000}"/>
    <hyperlink ref="S1562" r:id="rId6243" xr:uid="{00000000-0004-0000-0100-000062180000}"/>
    <hyperlink ref="T1562" r:id="rId6244" xr:uid="{00000000-0004-0000-0100-000063180000}"/>
    <hyperlink ref="Q1563" r:id="rId6245" xr:uid="{00000000-0004-0000-0100-000064180000}"/>
    <hyperlink ref="R1563" r:id="rId6246" xr:uid="{00000000-0004-0000-0100-000065180000}"/>
    <hyperlink ref="S1563" r:id="rId6247" xr:uid="{00000000-0004-0000-0100-000066180000}"/>
    <hyperlink ref="T1563" r:id="rId6248" xr:uid="{00000000-0004-0000-0100-000067180000}"/>
    <hyperlink ref="Q1564" r:id="rId6249" xr:uid="{00000000-0004-0000-0100-000068180000}"/>
    <hyperlink ref="R1564" r:id="rId6250" xr:uid="{00000000-0004-0000-0100-000069180000}"/>
    <hyperlink ref="S1564" r:id="rId6251" xr:uid="{00000000-0004-0000-0100-00006A180000}"/>
    <hyperlink ref="T1564" r:id="rId6252" xr:uid="{00000000-0004-0000-0100-00006B180000}"/>
    <hyperlink ref="Q1565" r:id="rId6253" xr:uid="{00000000-0004-0000-0100-00006C180000}"/>
    <hyperlink ref="R1565" r:id="rId6254" xr:uid="{00000000-0004-0000-0100-00006D180000}"/>
    <hyperlink ref="S1565" r:id="rId6255" xr:uid="{00000000-0004-0000-0100-00006E180000}"/>
    <hyperlink ref="T1565" r:id="rId6256" xr:uid="{00000000-0004-0000-0100-00006F180000}"/>
    <hyperlink ref="Q1566" r:id="rId6257" xr:uid="{00000000-0004-0000-0100-000070180000}"/>
    <hyperlink ref="R1566" r:id="rId6258" xr:uid="{00000000-0004-0000-0100-000071180000}"/>
    <hyperlink ref="S1566" r:id="rId6259" xr:uid="{00000000-0004-0000-0100-000072180000}"/>
    <hyperlink ref="T1566" r:id="rId6260" xr:uid="{00000000-0004-0000-0100-000073180000}"/>
    <hyperlink ref="Q1567" r:id="rId6261" xr:uid="{00000000-0004-0000-0100-000074180000}"/>
    <hyperlink ref="R1567" r:id="rId6262" xr:uid="{00000000-0004-0000-0100-000075180000}"/>
    <hyperlink ref="S1567" r:id="rId6263" xr:uid="{00000000-0004-0000-0100-000076180000}"/>
    <hyperlink ref="T1567" r:id="rId6264" xr:uid="{00000000-0004-0000-0100-000077180000}"/>
    <hyperlink ref="Q1568" r:id="rId6265" xr:uid="{00000000-0004-0000-0100-000078180000}"/>
    <hyperlink ref="R1568" r:id="rId6266" xr:uid="{00000000-0004-0000-0100-000079180000}"/>
    <hyperlink ref="S1568" r:id="rId6267" xr:uid="{00000000-0004-0000-0100-00007A180000}"/>
    <hyperlink ref="T1568" r:id="rId6268" xr:uid="{00000000-0004-0000-0100-00007B180000}"/>
    <hyperlink ref="Q1569" r:id="rId6269" xr:uid="{00000000-0004-0000-0100-00007C180000}"/>
    <hyperlink ref="R1569" r:id="rId6270" xr:uid="{00000000-0004-0000-0100-00007D180000}"/>
    <hyperlink ref="S1569" r:id="rId6271" xr:uid="{00000000-0004-0000-0100-00007E180000}"/>
    <hyperlink ref="T1569" r:id="rId6272" xr:uid="{00000000-0004-0000-0100-00007F180000}"/>
    <hyperlink ref="Q1570" r:id="rId6273" xr:uid="{00000000-0004-0000-0100-000080180000}"/>
    <hyperlink ref="R1570" r:id="rId6274" xr:uid="{00000000-0004-0000-0100-000081180000}"/>
    <hyperlink ref="S1570" r:id="rId6275" xr:uid="{00000000-0004-0000-0100-000082180000}"/>
    <hyperlink ref="T1570" r:id="rId6276" xr:uid="{00000000-0004-0000-0100-000083180000}"/>
    <hyperlink ref="Q1571" r:id="rId6277" xr:uid="{00000000-0004-0000-0100-000084180000}"/>
    <hyperlink ref="R1571" r:id="rId6278" xr:uid="{00000000-0004-0000-0100-000085180000}"/>
    <hyperlink ref="S1571" r:id="rId6279" xr:uid="{00000000-0004-0000-0100-000086180000}"/>
    <hyperlink ref="T1571" r:id="rId6280" xr:uid="{00000000-0004-0000-0100-000087180000}"/>
    <hyperlink ref="Q1572" r:id="rId6281" xr:uid="{00000000-0004-0000-0100-000088180000}"/>
    <hyperlink ref="R1572" r:id="rId6282" xr:uid="{00000000-0004-0000-0100-000089180000}"/>
    <hyperlink ref="S1572" r:id="rId6283" xr:uid="{00000000-0004-0000-0100-00008A180000}"/>
    <hyperlink ref="T1572" r:id="rId6284" xr:uid="{00000000-0004-0000-0100-00008B180000}"/>
    <hyperlink ref="Q1573" r:id="rId6285" xr:uid="{00000000-0004-0000-0100-00008C180000}"/>
    <hyperlink ref="R1573" r:id="rId6286" xr:uid="{00000000-0004-0000-0100-00008D180000}"/>
    <hyperlink ref="S1573" r:id="rId6287" xr:uid="{00000000-0004-0000-0100-00008E180000}"/>
    <hyperlink ref="T1573" r:id="rId6288" xr:uid="{00000000-0004-0000-0100-00008F180000}"/>
    <hyperlink ref="Q1574" r:id="rId6289" xr:uid="{00000000-0004-0000-0100-000090180000}"/>
    <hyperlink ref="R1574" r:id="rId6290" xr:uid="{00000000-0004-0000-0100-000091180000}"/>
    <hyperlink ref="S1574" r:id="rId6291" xr:uid="{00000000-0004-0000-0100-000092180000}"/>
    <hyperlink ref="T1574" r:id="rId6292" xr:uid="{00000000-0004-0000-0100-000093180000}"/>
    <hyperlink ref="Q1575" r:id="rId6293" xr:uid="{00000000-0004-0000-0100-000094180000}"/>
    <hyperlink ref="R1575" r:id="rId6294" xr:uid="{00000000-0004-0000-0100-000095180000}"/>
    <hyperlink ref="S1575" r:id="rId6295" xr:uid="{00000000-0004-0000-0100-000096180000}"/>
    <hyperlink ref="T1575" r:id="rId6296" xr:uid="{00000000-0004-0000-0100-000097180000}"/>
    <hyperlink ref="Q1576" r:id="rId6297" xr:uid="{00000000-0004-0000-0100-000098180000}"/>
    <hyperlink ref="R1576" r:id="rId6298" xr:uid="{00000000-0004-0000-0100-000099180000}"/>
    <hyperlink ref="S1576" r:id="rId6299" xr:uid="{00000000-0004-0000-0100-00009A180000}"/>
    <hyperlink ref="T1576" r:id="rId6300" xr:uid="{00000000-0004-0000-0100-00009B180000}"/>
    <hyperlink ref="Q1577" r:id="rId6301" xr:uid="{00000000-0004-0000-0100-00009C180000}"/>
    <hyperlink ref="R1577" r:id="rId6302" xr:uid="{00000000-0004-0000-0100-00009D180000}"/>
    <hyperlink ref="S1577" r:id="rId6303" xr:uid="{00000000-0004-0000-0100-00009E180000}"/>
    <hyperlink ref="T1577" r:id="rId6304" xr:uid="{00000000-0004-0000-0100-00009F180000}"/>
    <hyperlink ref="Q1578" r:id="rId6305" xr:uid="{00000000-0004-0000-0100-0000A0180000}"/>
    <hyperlink ref="R1578" r:id="rId6306" xr:uid="{00000000-0004-0000-0100-0000A1180000}"/>
    <hyperlink ref="S1578" r:id="rId6307" xr:uid="{00000000-0004-0000-0100-0000A2180000}"/>
    <hyperlink ref="T1578" r:id="rId6308" xr:uid="{00000000-0004-0000-0100-0000A3180000}"/>
    <hyperlink ref="Q1579" r:id="rId6309" xr:uid="{00000000-0004-0000-0100-0000A4180000}"/>
    <hyperlink ref="R1579" r:id="rId6310" xr:uid="{00000000-0004-0000-0100-0000A5180000}"/>
    <hyperlink ref="S1579" r:id="rId6311" xr:uid="{00000000-0004-0000-0100-0000A6180000}"/>
    <hyperlink ref="T1579" r:id="rId6312" xr:uid="{00000000-0004-0000-0100-0000A7180000}"/>
    <hyperlink ref="Q1580" r:id="rId6313" xr:uid="{00000000-0004-0000-0100-0000A8180000}"/>
    <hyperlink ref="R1580" r:id="rId6314" xr:uid="{00000000-0004-0000-0100-0000A9180000}"/>
    <hyperlink ref="S1580" r:id="rId6315" xr:uid="{00000000-0004-0000-0100-0000AA180000}"/>
    <hyperlink ref="T1580" r:id="rId6316" xr:uid="{00000000-0004-0000-0100-0000AB180000}"/>
    <hyperlink ref="Q1581" r:id="rId6317" xr:uid="{00000000-0004-0000-0100-0000AC180000}"/>
    <hyperlink ref="R1581" r:id="rId6318" xr:uid="{00000000-0004-0000-0100-0000AD180000}"/>
    <hyperlink ref="S1581" r:id="rId6319" xr:uid="{00000000-0004-0000-0100-0000AE180000}"/>
    <hyperlink ref="T1581" r:id="rId6320" xr:uid="{00000000-0004-0000-0100-0000AF180000}"/>
    <hyperlink ref="Q1582" r:id="rId6321" xr:uid="{00000000-0004-0000-0100-0000B0180000}"/>
    <hyperlink ref="R1582" r:id="rId6322" xr:uid="{00000000-0004-0000-0100-0000B1180000}"/>
    <hyperlink ref="S1582" r:id="rId6323" xr:uid="{00000000-0004-0000-0100-0000B2180000}"/>
    <hyperlink ref="T1582" r:id="rId6324" xr:uid="{00000000-0004-0000-0100-0000B3180000}"/>
    <hyperlink ref="Q1583" r:id="rId6325" xr:uid="{00000000-0004-0000-0100-0000B4180000}"/>
    <hyperlink ref="R1583" r:id="rId6326" xr:uid="{00000000-0004-0000-0100-0000B5180000}"/>
    <hyperlink ref="S1583" r:id="rId6327" xr:uid="{00000000-0004-0000-0100-0000B6180000}"/>
    <hyperlink ref="T1583" r:id="rId6328" xr:uid="{00000000-0004-0000-0100-0000B7180000}"/>
    <hyperlink ref="Q1584" r:id="rId6329" xr:uid="{00000000-0004-0000-0100-0000B8180000}"/>
    <hyperlink ref="R1584" r:id="rId6330" xr:uid="{00000000-0004-0000-0100-0000B9180000}"/>
    <hyperlink ref="S1584" r:id="rId6331" xr:uid="{00000000-0004-0000-0100-0000BA180000}"/>
    <hyperlink ref="T1584" r:id="rId6332" xr:uid="{00000000-0004-0000-0100-0000BB180000}"/>
    <hyperlink ref="Q1585" r:id="rId6333" xr:uid="{00000000-0004-0000-0100-0000BC180000}"/>
    <hyperlink ref="R1585" r:id="rId6334" xr:uid="{00000000-0004-0000-0100-0000BD180000}"/>
    <hyperlink ref="S1585" r:id="rId6335" xr:uid="{00000000-0004-0000-0100-0000BE180000}"/>
    <hyperlink ref="T1585" r:id="rId6336" xr:uid="{00000000-0004-0000-0100-0000BF180000}"/>
    <hyperlink ref="Q1586" r:id="rId6337" xr:uid="{00000000-0004-0000-0100-0000C0180000}"/>
    <hyperlink ref="R1586" r:id="rId6338" xr:uid="{00000000-0004-0000-0100-0000C1180000}"/>
    <hyperlink ref="S1586" r:id="rId6339" xr:uid="{00000000-0004-0000-0100-0000C2180000}"/>
    <hyperlink ref="T1586" r:id="rId6340" xr:uid="{00000000-0004-0000-0100-0000C3180000}"/>
    <hyperlink ref="Q1587" r:id="rId6341" xr:uid="{00000000-0004-0000-0100-0000C4180000}"/>
    <hyperlink ref="R1587" r:id="rId6342" xr:uid="{00000000-0004-0000-0100-0000C5180000}"/>
    <hyperlink ref="S1587" r:id="rId6343" xr:uid="{00000000-0004-0000-0100-0000C6180000}"/>
    <hyperlink ref="T1587" r:id="rId6344" xr:uid="{00000000-0004-0000-0100-0000C7180000}"/>
    <hyperlink ref="Q1588" r:id="rId6345" xr:uid="{00000000-0004-0000-0100-0000C8180000}"/>
    <hyperlink ref="R1588" r:id="rId6346" xr:uid="{00000000-0004-0000-0100-0000C9180000}"/>
    <hyperlink ref="S1588" r:id="rId6347" xr:uid="{00000000-0004-0000-0100-0000CA180000}"/>
    <hyperlink ref="T1588" r:id="rId6348" xr:uid="{00000000-0004-0000-0100-0000CB180000}"/>
    <hyperlink ref="Q1589" r:id="rId6349" xr:uid="{00000000-0004-0000-0100-0000CC180000}"/>
    <hyperlink ref="R1589" r:id="rId6350" xr:uid="{00000000-0004-0000-0100-0000CD180000}"/>
    <hyperlink ref="S1589" r:id="rId6351" xr:uid="{00000000-0004-0000-0100-0000CE180000}"/>
    <hyperlink ref="T1589" r:id="rId6352" xr:uid="{00000000-0004-0000-0100-0000CF180000}"/>
    <hyperlink ref="Q1590" r:id="rId6353" xr:uid="{00000000-0004-0000-0100-0000D0180000}"/>
    <hyperlink ref="R1590" r:id="rId6354" xr:uid="{00000000-0004-0000-0100-0000D1180000}"/>
    <hyperlink ref="S1590" r:id="rId6355" xr:uid="{00000000-0004-0000-0100-0000D2180000}"/>
    <hyperlink ref="T1590" r:id="rId6356" xr:uid="{00000000-0004-0000-0100-0000D3180000}"/>
    <hyperlink ref="Q1591" r:id="rId6357" xr:uid="{00000000-0004-0000-0100-0000D4180000}"/>
    <hyperlink ref="R1591" r:id="rId6358" xr:uid="{00000000-0004-0000-0100-0000D5180000}"/>
    <hyperlink ref="S1591" r:id="rId6359" xr:uid="{00000000-0004-0000-0100-0000D6180000}"/>
    <hyperlink ref="T1591" r:id="rId6360" xr:uid="{00000000-0004-0000-0100-0000D7180000}"/>
    <hyperlink ref="Q1592" r:id="rId6361" xr:uid="{00000000-0004-0000-0100-0000D8180000}"/>
    <hyperlink ref="R1592" r:id="rId6362" xr:uid="{00000000-0004-0000-0100-0000D9180000}"/>
    <hyperlink ref="S1592" r:id="rId6363" xr:uid="{00000000-0004-0000-0100-0000DA180000}"/>
    <hyperlink ref="T1592" r:id="rId6364" xr:uid="{00000000-0004-0000-0100-0000DB180000}"/>
    <hyperlink ref="Q1593" r:id="rId6365" xr:uid="{00000000-0004-0000-0100-0000DC180000}"/>
    <hyperlink ref="R1593" r:id="rId6366" xr:uid="{00000000-0004-0000-0100-0000DD180000}"/>
    <hyperlink ref="S1593" r:id="rId6367" xr:uid="{00000000-0004-0000-0100-0000DE180000}"/>
    <hyperlink ref="T1593" r:id="rId6368" xr:uid="{00000000-0004-0000-0100-0000DF180000}"/>
    <hyperlink ref="Q1594" r:id="rId6369" xr:uid="{00000000-0004-0000-0100-0000E0180000}"/>
    <hyperlink ref="R1594" r:id="rId6370" xr:uid="{00000000-0004-0000-0100-0000E1180000}"/>
    <hyperlink ref="S1594" r:id="rId6371" xr:uid="{00000000-0004-0000-0100-0000E2180000}"/>
    <hyperlink ref="T1594" r:id="rId6372" xr:uid="{00000000-0004-0000-0100-0000E3180000}"/>
    <hyperlink ref="Q1595" r:id="rId6373" xr:uid="{00000000-0004-0000-0100-0000E4180000}"/>
    <hyperlink ref="R1595" r:id="rId6374" xr:uid="{00000000-0004-0000-0100-0000E5180000}"/>
    <hyperlink ref="S1595" r:id="rId6375" xr:uid="{00000000-0004-0000-0100-0000E6180000}"/>
    <hyperlink ref="T1595" r:id="rId6376" xr:uid="{00000000-0004-0000-0100-0000E7180000}"/>
    <hyperlink ref="Q1596" r:id="rId6377" xr:uid="{00000000-0004-0000-0100-0000E8180000}"/>
    <hyperlink ref="R1596" r:id="rId6378" xr:uid="{00000000-0004-0000-0100-0000E9180000}"/>
    <hyperlink ref="S1596" r:id="rId6379" xr:uid="{00000000-0004-0000-0100-0000EA180000}"/>
    <hyperlink ref="T1596" r:id="rId6380" xr:uid="{00000000-0004-0000-0100-0000EB180000}"/>
    <hyperlink ref="Q1597" r:id="rId6381" xr:uid="{00000000-0004-0000-0100-0000EC180000}"/>
    <hyperlink ref="R1597" r:id="rId6382" xr:uid="{00000000-0004-0000-0100-0000ED180000}"/>
    <hyperlink ref="S1597" r:id="rId6383" xr:uid="{00000000-0004-0000-0100-0000EE180000}"/>
    <hyperlink ref="T1597" r:id="rId6384" xr:uid="{00000000-0004-0000-0100-0000EF180000}"/>
    <hyperlink ref="Q1598" r:id="rId6385" xr:uid="{00000000-0004-0000-0100-0000F0180000}"/>
    <hyperlink ref="R1598" r:id="rId6386" xr:uid="{00000000-0004-0000-0100-0000F1180000}"/>
    <hyperlink ref="S1598" r:id="rId6387" xr:uid="{00000000-0004-0000-0100-0000F2180000}"/>
    <hyperlink ref="T1598" r:id="rId6388" xr:uid="{00000000-0004-0000-0100-0000F3180000}"/>
    <hyperlink ref="Q1599" r:id="rId6389" xr:uid="{00000000-0004-0000-0100-0000F4180000}"/>
    <hyperlink ref="R1599" r:id="rId6390" xr:uid="{00000000-0004-0000-0100-0000F5180000}"/>
    <hyperlink ref="S1599" r:id="rId6391" xr:uid="{00000000-0004-0000-0100-0000F6180000}"/>
    <hyperlink ref="T1599" r:id="rId6392" xr:uid="{00000000-0004-0000-0100-0000F7180000}"/>
    <hyperlink ref="Q1600" r:id="rId6393" xr:uid="{00000000-0004-0000-0100-0000F8180000}"/>
    <hyperlink ref="R1600" r:id="rId6394" xr:uid="{00000000-0004-0000-0100-0000F9180000}"/>
    <hyperlink ref="S1600" r:id="rId6395" xr:uid="{00000000-0004-0000-0100-0000FA180000}"/>
    <hyperlink ref="T1600" r:id="rId6396" xr:uid="{00000000-0004-0000-0100-0000FB180000}"/>
    <hyperlink ref="Q1601" r:id="rId6397" xr:uid="{00000000-0004-0000-0100-0000FC180000}"/>
    <hyperlink ref="R1601" r:id="rId6398" xr:uid="{00000000-0004-0000-0100-0000FD180000}"/>
    <hyperlink ref="S1601" r:id="rId6399" xr:uid="{00000000-0004-0000-0100-0000FE180000}"/>
    <hyperlink ref="T1601" r:id="rId6400" xr:uid="{00000000-0004-0000-0100-0000FF180000}"/>
    <hyperlink ref="Q1602" r:id="rId6401" xr:uid="{00000000-0004-0000-0100-000000190000}"/>
    <hyperlink ref="R1602" r:id="rId6402" xr:uid="{00000000-0004-0000-0100-000001190000}"/>
    <hyperlink ref="S1602" r:id="rId6403" xr:uid="{00000000-0004-0000-0100-000002190000}"/>
    <hyperlink ref="T1602" r:id="rId6404" xr:uid="{00000000-0004-0000-0100-000003190000}"/>
    <hyperlink ref="Q1603" r:id="rId6405" xr:uid="{00000000-0004-0000-0100-000004190000}"/>
    <hyperlink ref="R1603" r:id="rId6406" xr:uid="{00000000-0004-0000-0100-000005190000}"/>
    <hyperlink ref="S1603" r:id="rId6407" xr:uid="{00000000-0004-0000-0100-000006190000}"/>
    <hyperlink ref="T1603" r:id="rId6408" xr:uid="{00000000-0004-0000-0100-000007190000}"/>
    <hyperlink ref="Q1604" r:id="rId6409" xr:uid="{00000000-0004-0000-0100-000008190000}"/>
    <hyperlink ref="R1604" r:id="rId6410" xr:uid="{00000000-0004-0000-0100-000009190000}"/>
    <hyperlink ref="S1604" r:id="rId6411" xr:uid="{00000000-0004-0000-0100-00000A190000}"/>
    <hyperlink ref="T1604" r:id="rId6412" xr:uid="{00000000-0004-0000-0100-00000B190000}"/>
    <hyperlink ref="Q1605" r:id="rId6413" xr:uid="{00000000-0004-0000-0100-00000C190000}"/>
    <hyperlink ref="R1605" r:id="rId6414" xr:uid="{00000000-0004-0000-0100-00000D190000}"/>
    <hyperlink ref="S1605" r:id="rId6415" xr:uid="{00000000-0004-0000-0100-00000E190000}"/>
    <hyperlink ref="T1605" r:id="rId6416" xr:uid="{00000000-0004-0000-0100-00000F190000}"/>
    <hyperlink ref="Q1606" r:id="rId6417" xr:uid="{00000000-0004-0000-0100-000010190000}"/>
    <hyperlink ref="R1606" r:id="rId6418" xr:uid="{00000000-0004-0000-0100-000011190000}"/>
    <hyperlink ref="S1606" r:id="rId6419" xr:uid="{00000000-0004-0000-0100-000012190000}"/>
    <hyperlink ref="T1606" r:id="rId6420" xr:uid="{00000000-0004-0000-0100-000013190000}"/>
    <hyperlink ref="Q1607" r:id="rId6421" xr:uid="{00000000-0004-0000-0100-000014190000}"/>
    <hyperlink ref="R1607" r:id="rId6422" xr:uid="{00000000-0004-0000-0100-000015190000}"/>
    <hyperlink ref="S1607" r:id="rId6423" xr:uid="{00000000-0004-0000-0100-000016190000}"/>
    <hyperlink ref="T1607" r:id="rId6424" xr:uid="{00000000-0004-0000-0100-000017190000}"/>
    <hyperlink ref="Q1608" r:id="rId6425" xr:uid="{00000000-0004-0000-0100-000018190000}"/>
    <hyperlink ref="R1608" r:id="rId6426" xr:uid="{00000000-0004-0000-0100-000019190000}"/>
    <hyperlink ref="S1608" r:id="rId6427" xr:uid="{00000000-0004-0000-0100-00001A190000}"/>
    <hyperlink ref="T1608" r:id="rId6428" xr:uid="{00000000-0004-0000-0100-00001B190000}"/>
    <hyperlink ref="Q1609" r:id="rId6429" xr:uid="{00000000-0004-0000-0100-00001C190000}"/>
    <hyperlink ref="R1609" r:id="rId6430" xr:uid="{00000000-0004-0000-0100-00001D190000}"/>
    <hyperlink ref="S1609" r:id="rId6431" xr:uid="{00000000-0004-0000-0100-00001E190000}"/>
    <hyperlink ref="T1609" r:id="rId6432" xr:uid="{00000000-0004-0000-0100-00001F190000}"/>
    <hyperlink ref="Q1610" r:id="rId6433" xr:uid="{00000000-0004-0000-0100-000020190000}"/>
    <hyperlink ref="R1610" r:id="rId6434" xr:uid="{00000000-0004-0000-0100-000021190000}"/>
    <hyperlink ref="S1610" r:id="rId6435" xr:uid="{00000000-0004-0000-0100-000022190000}"/>
    <hyperlink ref="T1610" r:id="rId6436" xr:uid="{00000000-0004-0000-0100-000023190000}"/>
    <hyperlink ref="Q1611" r:id="rId6437" xr:uid="{00000000-0004-0000-0100-000024190000}"/>
    <hyperlink ref="R1611" r:id="rId6438" xr:uid="{00000000-0004-0000-0100-000025190000}"/>
    <hyperlink ref="S1611" r:id="rId6439" xr:uid="{00000000-0004-0000-0100-000026190000}"/>
    <hyperlink ref="T1611" r:id="rId6440" xr:uid="{00000000-0004-0000-0100-000027190000}"/>
    <hyperlink ref="Q1612" r:id="rId6441" xr:uid="{00000000-0004-0000-0100-000028190000}"/>
    <hyperlink ref="R1612" r:id="rId6442" xr:uid="{00000000-0004-0000-0100-000029190000}"/>
    <hyperlink ref="S1612" r:id="rId6443" xr:uid="{00000000-0004-0000-0100-00002A190000}"/>
    <hyperlink ref="T1612" r:id="rId6444" xr:uid="{00000000-0004-0000-0100-00002B190000}"/>
    <hyperlink ref="Q1613" r:id="rId6445" xr:uid="{00000000-0004-0000-0100-00002C190000}"/>
    <hyperlink ref="R1613" r:id="rId6446" xr:uid="{00000000-0004-0000-0100-00002D190000}"/>
    <hyperlink ref="S1613" r:id="rId6447" xr:uid="{00000000-0004-0000-0100-00002E190000}"/>
    <hyperlink ref="T1613" r:id="rId6448" xr:uid="{00000000-0004-0000-0100-00002F190000}"/>
    <hyperlink ref="Q1614" r:id="rId6449" xr:uid="{00000000-0004-0000-0100-000030190000}"/>
    <hyperlink ref="R1614" r:id="rId6450" xr:uid="{00000000-0004-0000-0100-000031190000}"/>
    <hyperlink ref="S1614" r:id="rId6451" xr:uid="{00000000-0004-0000-0100-000032190000}"/>
    <hyperlink ref="T1614" r:id="rId6452" xr:uid="{00000000-0004-0000-0100-000033190000}"/>
    <hyperlink ref="Q1615" r:id="rId6453" xr:uid="{00000000-0004-0000-0100-000034190000}"/>
    <hyperlink ref="R1615" r:id="rId6454" xr:uid="{00000000-0004-0000-0100-000035190000}"/>
    <hyperlink ref="S1615" r:id="rId6455" xr:uid="{00000000-0004-0000-0100-000036190000}"/>
    <hyperlink ref="T1615" r:id="rId6456" xr:uid="{00000000-0004-0000-0100-000037190000}"/>
    <hyperlink ref="Q1616" r:id="rId6457" xr:uid="{00000000-0004-0000-0100-000038190000}"/>
    <hyperlink ref="R1616" r:id="rId6458" xr:uid="{00000000-0004-0000-0100-000039190000}"/>
    <hyperlink ref="S1616" r:id="rId6459" xr:uid="{00000000-0004-0000-0100-00003A190000}"/>
    <hyperlink ref="T1616" r:id="rId6460" xr:uid="{00000000-0004-0000-0100-00003B190000}"/>
    <hyperlink ref="Q1617" r:id="rId6461" xr:uid="{00000000-0004-0000-0100-00003C190000}"/>
    <hyperlink ref="R1617" r:id="rId6462" xr:uid="{00000000-0004-0000-0100-00003D190000}"/>
    <hyperlink ref="S1617" r:id="rId6463" xr:uid="{00000000-0004-0000-0100-00003E190000}"/>
    <hyperlink ref="T1617" r:id="rId6464" xr:uid="{00000000-0004-0000-0100-00003F190000}"/>
    <hyperlink ref="Q1618" r:id="rId6465" xr:uid="{00000000-0004-0000-0100-000040190000}"/>
    <hyperlink ref="R1618" r:id="rId6466" xr:uid="{00000000-0004-0000-0100-000041190000}"/>
    <hyperlink ref="S1618" r:id="rId6467" xr:uid="{00000000-0004-0000-0100-000042190000}"/>
    <hyperlink ref="T1618" r:id="rId6468" xr:uid="{00000000-0004-0000-0100-000043190000}"/>
    <hyperlink ref="Q1619" r:id="rId6469" xr:uid="{00000000-0004-0000-0100-000044190000}"/>
    <hyperlink ref="R1619" r:id="rId6470" xr:uid="{00000000-0004-0000-0100-000045190000}"/>
    <hyperlink ref="S1619" r:id="rId6471" xr:uid="{00000000-0004-0000-0100-000046190000}"/>
    <hyperlink ref="T1619" r:id="rId6472" xr:uid="{00000000-0004-0000-0100-000047190000}"/>
    <hyperlink ref="Q1620" r:id="rId6473" xr:uid="{00000000-0004-0000-0100-000048190000}"/>
    <hyperlink ref="R1620" r:id="rId6474" xr:uid="{00000000-0004-0000-0100-000049190000}"/>
    <hyperlink ref="S1620" r:id="rId6475" xr:uid="{00000000-0004-0000-0100-00004A190000}"/>
    <hyperlink ref="T1620" r:id="rId6476" xr:uid="{00000000-0004-0000-0100-00004B190000}"/>
    <hyperlink ref="Q1621" r:id="rId6477" xr:uid="{00000000-0004-0000-0100-00004C190000}"/>
    <hyperlink ref="R1621" r:id="rId6478" xr:uid="{00000000-0004-0000-0100-00004D190000}"/>
    <hyperlink ref="S1621" r:id="rId6479" xr:uid="{00000000-0004-0000-0100-00004E190000}"/>
    <hyperlink ref="T1621" r:id="rId6480" xr:uid="{00000000-0004-0000-0100-00004F190000}"/>
    <hyperlink ref="Q1622" r:id="rId6481" xr:uid="{00000000-0004-0000-0100-000050190000}"/>
    <hyperlink ref="R1622" r:id="rId6482" xr:uid="{00000000-0004-0000-0100-000051190000}"/>
    <hyperlink ref="S1622" r:id="rId6483" xr:uid="{00000000-0004-0000-0100-000052190000}"/>
    <hyperlink ref="T1622" r:id="rId6484" xr:uid="{00000000-0004-0000-0100-000053190000}"/>
    <hyperlink ref="Q1623" r:id="rId6485" xr:uid="{00000000-0004-0000-0100-000054190000}"/>
    <hyperlink ref="R1623" r:id="rId6486" xr:uid="{00000000-0004-0000-0100-000055190000}"/>
    <hyperlink ref="S1623" r:id="rId6487" xr:uid="{00000000-0004-0000-0100-000056190000}"/>
    <hyperlink ref="T1623" r:id="rId6488" xr:uid="{00000000-0004-0000-0100-000057190000}"/>
    <hyperlink ref="Q1624" r:id="rId6489" xr:uid="{00000000-0004-0000-0100-000058190000}"/>
    <hyperlink ref="R1624" r:id="rId6490" xr:uid="{00000000-0004-0000-0100-000059190000}"/>
    <hyperlink ref="S1624" r:id="rId6491" xr:uid="{00000000-0004-0000-0100-00005A190000}"/>
    <hyperlink ref="T1624" r:id="rId6492" xr:uid="{00000000-0004-0000-0100-00005B190000}"/>
    <hyperlink ref="Q1625" r:id="rId6493" xr:uid="{00000000-0004-0000-0100-00005C190000}"/>
    <hyperlink ref="R1625" r:id="rId6494" xr:uid="{00000000-0004-0000-0100-00005D190000}"/>
    <hyperlink ref="S1625" r:id="rId6495" xr:uid="{00000000-0004-0000-0100-00005E190000}"/>
    <hyperlink ref="T1625" r:id="rId6496" xr:uid="{00000000-0004-0000-0100-00005F190000}"/>
    <hyperlink ref="Q1626" r:id="rId6497" xr:uid="{00000000-0004-0000-0100-000060190000}"/>
    <hyperlink ref="R1626" r:id="rId6498" xr:uid="{00000000-0004-0000-0100-000061190000}"/>
    <hyperlink ref="S1626" r:id="rId6499" xr:uid="{00000000-0004-0000-0100-000062190000}"/>
    <hyperlink ref="T1626" r:id="rId6500" xr:uid="{00000000-0004-0000-0100-000063190000}"/>
    <hyperlink ref="Q1627" r:id="rId6501" xr:uid="{00000000-0004-0000-0100-000064190000}"/>
    <hyperlink ref="R1627" r:id="rId6502" xr:uid="{00000000-0004-0000-0100-000065190000}"/>
    <hyperlink ref="S1627" r:id="rId6503" xr:uid="{00000000-0004-0000-0100-000066190000}"/>
    <hyperlink ref="T1627" r:id="rId6504" xr:uid="{00000000-0004-0000-0100-000067190000}"/>
    <hyperlink ref="Q1628" r:id="rId6505" xr:uid="{00000000-0004-0000-0100-000068190000}"/>
    <hyperlink ref="R1628" r:id="rId6506" xr:uid="{00000000-0004-0000-0100-000069190000}"/>
    <hyperlink ref="S1628" r:id="rId6507" xr:uid="{00000000-0004-0000-0100-00006A190000}"/>
    <hyperlink ref="T1628" r:id="rId6508" xr:uid="{00000000-0004-0000-0100-00006B190000}"/>
    <hyperlink ref="Q1629" r:id="rId6509" xr:uid="{00000000-0004-0000-0100-00006C190000}"/>
    <hyperlink ref="R1629" r:id="rId6510" xr:uid="{00000000-0004-0000-0100-00006D190000}"/>
    <hyperlink ref="S1629" r:id="rId6511" xr:uid="{00000000-0004-0000-0100-00006E190000}"/>
    <hyperlink ref="T1629" r:id="rId6512" xr:uid="{00000000-0004-0000-0100-00006F190000}"/>
    <hyperlink ref="Q1630" r:id="rId6513" xr:uid="{00000000-0004-0000-0100-000070190000}"/>
    <hyperlink ref="R1630" r:id="rId6514" xr:uid="{00000000-0004-0000-0100-000071190000}"/>
    <hyperlink ref="S1630" r:id="rId6515" xr:uid="{00000000-0004-0000-0100-000072190000}"/>
    <hyperlink ref="T1630" r:id="rId6516" xr:uid="{00000000-0004-0000-0100-000073190000}"/>
    <hyperlink ref="Q1631" r:id="rId6517" xr:uid="{00000000-0004-0000-0100-000074190000}"/>
    <hyperlink ref="R1631" r:id="rId6518" xr:uid="{00000000-0004-0000-0100-000075190000}"/>
    <hyperlink ref="S1631" r:id="rId6519" xr:uid="{00000000-0004-0000-0100-000076190000}"/>
    <hyperlink ref="T1631" r:id="rId6520" xr:uid="{00000000-0004-0000-0100-000077190000}"/>
    <hyperlink ref="Q1632" r:id="rId6521" xr:uid="{00000000-0004-0000-0100-000078190000}"/>
    <hyperlink ref="R1632" r:id="rId6522" xr:uid="{00000000-0004-0000-0100-000079190000}"/>
    <hyperlink ref="S1632" r:id="rId6523" xr:uid="{00000000-0004-0000-0100-00007A190000}"/>
    <hyperlink ref="T1632" r:id="rId6524" xr:uid="{00000000-0004-0000-0100-00007B190000}"/>
    <hyperlink ref="Q1633" r:id="rId6525" xr:uid="{00000000-0004-0000-0100-00007C190000}"/>
    <hyperlink ref="R1633" r:id="rId6526" xr:uid="{00000000-0004-0000-0100-00007D190000}"/>
    <hyperlink ref="S1633" r:id="rId6527" xr:uid="{00000000-0004-0000-0100-00007E190000}"/>
    <hyperlink ref="T1633" r:id="rId6528" xr:uid="{00000000-0004-0000-0100-00007F190000}"/>
    <hyperlink ref="Q1634" r:id="rId6529" xr:uid="{00000000-0004-0000-0100-000080190000}"/>
    <hyperlink ref="R1634" r:id="rId6530" xr:uid="{00000000-0004-0000-0100-000081190000}"/>
    <hyperlink ref="S1634" r:id="rId6531" xr:uid="{00000000-0004-0000-0100-000082190000}"/>
    <hyperlink ref="T1634" r:id="rId6532" xr:uid="{00000000-0004-0000-0100-000083190000}"/>
    <hyperlink ref="Q1635" r:id="rId6533" xr:uid="{00000000-0004-0000-0100-000084190000}"/>
    <hyperlink ref="R1635" r:id="rId6534" xr:uid="{00000000-0004-0000-0100-000085190000}"/>
    <hyperlink ref="S1635" r:id="rId6535" xr:uid="{00000000-0004-0000-0100-000086190000}"/>
    <hyperlink ref="T1635" r:id="rId6536" xr:uid="{00000000-0004-0000-0100-000087190000}"/>
    <hyperlink ref="Q1636" r:id="rId6537" xr:uid="{00000000-0004-0000-0100-000088190000}"/>
    <hyperlink ref="R1636" r:id="rId6538" xr:uid="{00000000-0004-0000-0100-000089190000}"/>
    <hyperlink ref="S1636" r:id="rId6539" xr:uid="{00000000-0004-0000-0100-00008A190000}"/>
    <hyperlink ref="T1636" r:id="rId6540" xr:uid="{00000000-0004-0000-0100-00008B190000}"/>
    <hyperlink ref="Q1637" r:id="rId6541" xr:uid="{00000000-0004-0000-0100-00008C190000}"/>
    <hyperlink ref="R1637" r:id="rId6542" xr:uid="{00000000-0004-0000-0100-00008D190000}"/>
    <hyperlink ref="S1637" r:id="rId6543" xr:uid="{00000000-0004-0000-0100-00008E190000}"/>
    <hyperlink ref="T1637" r:id="rId6544" xr:uid="{00000000-0004-0000-0100-00008F190000}"/>
    <hyperlink ref="Q1638" r:id="rId6545" xr:uid="{00000000-0004-0000-0100-000090190000}"/>
    <hyperlink ref="R1638" r:id="rId6546" xr:uid="{00000000-0004-0000-0100-000091190000}"/>
    <hyperlink ref="S1638" r:id="rId6547" xr:uid="{00000000-0004-0000-0100-000092190000}"/>
    <hyperlink ref="T1638" r:id="rId6548" xr:uid="{00000000-0004-0000-0100-000093190000}"/>
    <hyperlink ref="Q1639" r:id="rId6549" xr:uid="{00000000-0004-0000-0100-000094190000}"/>
    <hyperlink ref="R1639" r:id="rId6550" xr:uid="{00000000-0004-0000-0100-000095190000}"/>
    <hyperlink ref="S1639" r:id="rId6551" xr:uid="{00000000-0004-0000-0100-000096190000}"/>
    <hyperlink ref="T1639" r:id="rId6552" xr:uid="{00000000-0004-0000-0100-000097190000}"/>
    <hyperlink ref="Q1640" r:id="rId6553" xr:uid="{00000000-0004-0000-0100-000098190000}"/>
    <hyperlink ref="R1640" r:id="rId6554" xr:uid="{00000000-0004-0000-0100-000099190000}"/>
    <hyperlink ref="S1640" r:id="rId6555" xr:uid="{00000000-0004-0000-0100-00009A190000}"/>
    <hyperlink ref="T1640" r:id="rId6556" xr:uid="{00000000-0004-0000-0100-00009B190000}"/>
    <hyperlink ref="Q1641" r:id="rId6557" xr:uid="{00000000-0004-0000-0100-00009C190000}"/>
    <hyperlink ref="R1641" r:id="rId6558" xr:uid="{00000000-0004-0000-0100-00009D190000}"/>
    <hyperlink ref="S1641" r:id="rId6559" xr:uid="{00000000-0004-0000-0100-00009E190000}"/>
    <hyperlink ref="T1641" r:id="rId6560" xr:uid="{00000000-0004-0000-0100-00009F190000}"/>
    <hyperlink ref="Q1642" r:id="rId6561" xr:uid="{00000000-0004-0000-0100-0000A0190000}"/>
    <hyperlink ref="R1642" r:id="rId6562" xr:uid="{00000000-0004-0000-0100-0000A1190000}"/>
    <hyperlink ref="S1642" r:id="rId6563" xr:uid="{00000000-0004-0000-0100-0000A2190000}"/>
    <hyperlink ref="T1642" r:id="rId6564" xr:uid="{00000000-0004-0000-0100-0000A3190000}"/>
    <hyperlink ref="Q1643" r:id="rId6565" xr:uid="{00000000-0004-0000-0100-0000A4190000}"/>
    <hyperlink ref="R1643" r:id="rId6566" xr:uid="{00000000-0004-0000-0100-0000A5190000}"/>
    <hyperlink ref="S1643" r:id="rId6567" xr:uid="{00000000-0004-0000-0100-0000A6190000}"/>
    <hyperlink ref="T1643" r:id="rId6568" xr:uid="{00000000-0004-0000-0100-0000A7190000}"/>
    <hyperlink ref="Q1644" r:id="rId6569" xr:uid="{00000000-0004-0000-0100-0000A8190000}"/>
    <hyperlink ref="R1644" r:id="rId6570" xr:uid="{00000000-0004-0000-0100-0000A9190000}"/>
    <hyperlink ref="S1644" r:id="rId6571" xr:uid="{00000000-0004-0000-0100-0000AA190000}"/>
    <hyperlink ref="T1644" r:id="rId6572" xr:uid="{00000000-0004-0000-0100-0000AB190000}"/>
    <hyperlink ref="Q1645" r:id="rId6573" xr:uid="{00000000-0004-0000-0100-0000AC190000}"/>
    <hyperlink ref="R1645" r:id="rId6574" xr:uid="{00000000-0004-0000-0100-0000AD190000}"/>
    <hyperlink ref="S1645" r:id="rId6575" xr:uid="{00000000-0004-0000-0100-0000AE190000}"/>
    <hyperlink ref="T1645" r:id="rId6576" xr:uid="{00000000-0004-0000-0100-0000AF190000}"/>
    <hyperlink ref="Q1646" r:id="rId6577" xr:uid="{00000000-0004-0000-0100-0000B0190000}"/>
    <hyperlink ref="R1646" r:id="rId6578" xr:uid="{00000000-0004-0000-0100-0000B1190000}"/>
    <hyperlink ref="S1646" r:id="rId6579" xr:uid="{00000000-0004-0000-0100-0000B2190000}"/>
    <hyperlink ref="T1646" r:id="rId6580" xr:uid="{00000000-0004-0000-0100-0000B3190000}"/>
    <hyperlink ref="Q1647" r:id="rId6581" xr:uid="{00000000-0004-0000-0100-0000B4190000}"/>
    <hyperlink ref="R1647" r:id="rId6582" xr:uid="{00000000-0004-0000-0100-0000B5190000}"/>
    <hyperlink ref="S1647" r:id="rId6583" xr:uid="{00000000-0004-0000-0100-0000B6190000}"/>
    <hyperlink ref="T1647" r:id="rId6584" xr:uid="{00000000-0004-0000-0100-0000B7190000}"/>
    <hyperlink ref="Q1648" r:id="rId6585" xr:uid="{00000000-0004-0000-0100-0000B8190000}"/>
    <hyperlink ref="R1648" r:id="rId6586" xr:uid="{00000000-0004-0000-0100-0000B9190000}"/>
    <hyperlink ref="S1648" r:id="rId6587" xr:uid="{00000000-0004-0000-0100-0000BA190000}"/>
    <hyperlink ref="T1648" r:id="rId6588" xr:uid="{00000000-0004-0000-0100-0000BB190000}"/>
    <hyperlink ref="Q1649" r:id="rId6589" xr:uid="{00000000-0004-0000-0100-0000BC190000}"/>
    <hyperlink ref="R1649" r:id="rId6590" xr:uid="{00000000-0004-0000-0100-0000BD190000}"/>
    <hyperlink ref="S1649" r:id="rId6591" xr:uid="{00000000-0004-0000-0100-0000BE190000}"/>
    <hyperlink ref="T1649" r:id="rId6592" xr:uid="{00000000-0004-0000-0100-0000BF190000}"/>
    <hyperlink ref="Q1650" r:id="rId6593" xr:uid="{00000000-0004-0000-0100-0000C0190000}"/>
    <hyperlink ref="R1650" r:id="rId6594" xr:uid="{00000000-0004-0000-0100-0000C1190000}"/>
    <hyperlink ref="S1650" r:id="rId6595" xr:uid="{00000000-0004-0000-0100-0000C2190000}"/>
    <hyperlink ref="T1650" r:id="rId6596" xr:uid="{00000000-0004-0000-0100-0000C3190000}"/>
    <hyperlink ref="Q1651" r:id="rId6597" xr:uid="{00000000-0004-0000-0100-0000C4190000}"/>
    <hyperlink ref="R1651" r:id="rId6598" xr:uid="{00000000-0004-0000-0100-0000C5190000}"/>
    <hyperlink ref="S1651" r:id="rId6599" xr:uid="{00000000-0004-0000-0100-0000C6190000}"/>
    <hyperlink ref="T1651" r:id="rId6600" xr:uid="{00000000-0004-0000-0100-0000C7190000}"/>
    <hyperlink ref="Q1652" r:id="rId6601" xr:uid="{00000000-0004-0000-0100-0000C8190000}"/>
    <hyperlink ref="R1652" r:id="rId6602" xr:uid="{00000000-0004-0000-0100-0000C9190000}"/>
    <hyperlink ref="S1652" r:id="rId6603" xr:uid="{00000000-0004-0000-0100-0000CA190000}"/>
    <hyperlink ref="T1652" r:id="rId6604" xr:uid="{00000000-0004-0000-0100-0000CB190000}"/>
    <hyperlink ref="Q1653" r:id="rId6605" xr:uid="{00000000-0004-0000-0100-0000CC190000}"/>
    <hyperlink ref="R1653" r:id="rId6606" xr:uid="{00000000-0004-0000-0100-0000CD190000}"/>
    <hyperlink ref="S1653" r:id="rId6607" xr:uid="{00000000-0004-0000-0100-0000CE190000}"/>
    <hyperlink ref="T1653" r:id="rId6608" xr:uid="{00000000-0004-0000-0100-0000CF190000}"/>
    <hyperlink ref="Q1654" r:id="rId6609" xr:uid="{00000000-0004-0000-0100-0000D0190000}"/>
    <hyperlink ref="R1654" r:id="rId6610" xr:uid="{00000000-0004-0000-0100-0000D1190000}"/>
    <hyperlink ref="S1654" r:id="rId6611" xr:uid="{00000000-0004-0000-0100-0000D2190000}"/>
    <hyperlink ref="T1654" r:id="rId6612" xr:uid="{00000000-0004-0000-0100-0000D3190000}"/>
    <hyperlink ref="Q1655" r:id="rId6613" xr:uid="{00000000-0004-0000-0100-0000D4190000}"/>
    <hyperlink ref="R1655" r:id="rId6614" xr:uid="{00000000-0004-0000-0100-0000D5190000}"/>
    <hyperlink ref="S1655" r:id="rId6615" xr:uid="{00000000-0004-0000-0100-0000D6190000}"/>
    <hyperlink ref="T1655" r:id="rId6616" xr:uid="{00000000-0004-0000-0100-0000D7190000}"/>
    <hyperlink ref="Q1656" r:id="rId6617" xr:uid="{00000000-0004-0000-0100-0000D8190000}"/>
    <hyperlink ref="R1656" r:id="rId6618" xr:uid="{00000000-0004-0000-0100-0000D9190000}"/>
    <hyperlink ref="S1656" r:id="rId6619" xr:uid="{00000000-0004-0000-0100-0000DA190000}"/>
    <hyperlink ref="T1656" r:id="rId6620" xr:uid="{00000000-0004-0000-0100-0000DB190000}"/>
    <hyperlink ref="Q1657" r:id="rId6621" xr:uid="{00000000-0004-0000-0100-0000DC190000}"/>
    <hyperlink ref="R1657" r:id="rId6622" xr:uid="{00000000-0004-0000-0100-0000DD190000}"/>
    <hyperlink ref="S1657" r:id="rId6623" xr:uid="{00000000-0004-0000-0100-0000DE190000}"/>
    <hyperlink ref="T1657" r:id="rId6624" xr:uid="{00000000-0004-0000-0100-0000DF190000}"/>
    <hyperlink ref="Q1658" r:id="rId6625" xr:uid="{00000000-0004-0000-0100-0000E0190000}"/>
    <hyperlink ref="R1658" r:id="rId6626" xr:uid="{00000000-0004-0000-0100-0000E1190000}"/>
    <hyperlink ref="S1658" r:id="rId6627" xr:uid="{00000000-0004-0000-0100-0000E2190000}"/>
    <hyperlink ref="T1658" r:id="rId6628" xr:uid="{00000000-0004-0000-0100-0000E3190000}"/>
    <hyperlink ref="Q1659" r:id="rId6629" xr:uid="{00000000-0004-0000-0100-0000E4190000}"/>
    <hyperlink ref="R1659" r:id="rId6630" xr:uid="{00000000-0004-0000-0100-0000E5190000}"/>
    <hyperlink ref="S1659" r:id="rId6631" xr:uid="{00000000-0004-0000-0100-0000E6190000}"/>
    <hyperlink ref="T1659" r:id="rId6632" xr:uid="{00000000-0004-0000-0100-0000E7190000}"/>
    <hyperlink ref="Q1660" r:id="rId6633" xr:uid="{00000000-0004-0000-0100-0000E8190000}"/>
    <hyperlink ref="R1660" r:id="rId6634" xr:uid="{00000000-0004-0000-0100-0000E9190000}"/>
    <hyperlink ref="S1660" r:id="rId6635" xr:uid="{00000000-0004-0000-0100-0000EA190000}"/>
    <hyperlink ref="T1660" r:id="rId6636" xr:uid="{00000000-0004-0000-0100-0000EB190000}"/>
    <hyperlink ref="Q1661" r:id="rId6637" xr:uid="{00000000-0004-0000-0100-0000EC190000}"/>
    <hyperlink ref="R1661" r:id="rId6638" xr:uid="{00000000-0004-0000-0100-0000ED190000}"/>
    <hyperlink ref="S1661" r:id="rId6639" xr:uid="{00000000-0004-0000-0100-0000EE190000}"/>
    <hyperlink ref="T1661" r:id="rId6640" xr:uid="{00000000-0004-0000-0100-0000EF190000}"/>
    <hyperlink ref="Q1662" r:id="rId6641" xr:uid="{00000000-0004-0000-0100-0000F0190000}"/>
    <hyperlink ref="R1662" r:id="rId6642" xr:uid="{00000000-0004-0000-0100-0000F1190000}"/>
    <hyperlink ref="S1662" r:id="rId6643" xr:uid="{00000000-0004-0000-0100-0000F2190000}"/>
    <hyperlink ref="T1662" r:id="rId6644" xr:uid="{00000000-0004-0000-0100-0000F3190000}"/>
    <hyperlink ref="Q1663" r:id="rId6645" xr:uid="{00000000-0004-0000-0100-0000F4190000}"/>
    <hyperlink ref="R1663" r:id="rId6646" xr:uid="{00000000-0004-0000-0100-0000F5190000}"/>
    <hyperlink ref="S1663" r:id="rId6647" xr:uid="{00000000-0004-0000-0100-0000F6190000}"/>
    <hyperlink ref="T1663" r:id="rId6648" xr:uid="{00000000-0004-0000-0100-0000F7190000}"/>
    <hyperlink ref="Q1664" r:id="rId6649" xr:uid="{00000000-0004-0000-0100-0000F8190000}"/>
    <hyperlink ref="R1664" r:id="rId6650" xr:uid="{00000000-0004-0000-0100-0000F9190000}"/>
    <hyperlink ref="S1664" r:id="rId6651" xr:uid="{00000000-0004-0000-0100-0000FA190000}"/>
    <hyperlink ref="T1664" r:id="rId6652" xr:uid="{00000000-0004-0000-0100-0000FB190000}"/>
    <hyperlink ref="Q1665" r:id="rId6653" xr:uid="{00000000-0004-0000-0100-0000FC190000}"/>
    <hyperlink ref="R1665" r:id="rId6654" xr:uid="{00000000-0004-0000-0100-0000FD190000}"/>
    <hyperlink ref="S1665" r:id="rId6655" xr:uid="{00000000-0004-0000-0100-0000FE190000}"/>
    <hyperlink ref="T1665" r:id="rId6656" xr:uid="{00000000-0004-0000-0100-0000FF190000}"/>
    <hyperlink ref="Q1666" r:id="rId6657" xr:uid="{00000000-0004-0000-0100-0000001A0000}"/>
    <hyperlink ref="R1666" r:id="rId6658" xr:uid="{00000000-0004-0000-0100-0000011A0000}"/>
    <hyperlink ref="S1666" r:id="rId6659" xr:uid="{00000000-0004-0000-0100-0000021A0000}"/>
    <hyperlink ref="T1666" r:id="rId6660" xr:uid="{00000000-0004-0000-0100-0000031A0000}"/>
    <hyperlink ref="Q1667" r:id="rId6661" xr:uid="{00000000-0004-0000-0100-0000041A0000}"/>
    <hyperlink ref="R1667" r:id="rId6662" xr:uid="{00000000-0004-0000-0100-0000051A0000}"/>
    <hyperlink ref="S1667" r:id="rId6663" xr:uid="{00000000-0004-0000-0100-0000061A0000}"/>
    <hyperlink ref="T1667" r:id="rId6664" xr:uid="{00000000-0004-0000-0100-0000071A0000}"/>
    <hyperlink ref="Q1668" r:id="rId6665" xr:uid="{00000000-0004-0000-0100-0000081A0000}"/>
    <hyperlink ref="R1668" r:id="rId6666" xr:uid="{00000000-0004-0000-0100-0000091A0000}"/>
    <hyperlink ref="S1668" r:id="rId6667" xr:uid="{00000000-0004-0000-0100-00000A1A0000}"/>
    <hyperlink ref="T1668" r:id="rId6668" xr:uid="{00000000-0004-0000-0100-00000B1A0000}"/>
    <hyperlink ref="Q1669" r:id="rId6669" xr:uid="{00000000-0004-0000-0100-00000C1A0000}"/>
    <hyperlink ref="R1669" r:id="rId6670" xr:uid="{00000000-0004-0000-0100-00000D1A0000}"/>
    <hyperlink ref="S1669" r:id="rId6671" xr:uid="{00000000-0004-0000-0100-00000E1A0000}"/>
    <hyperlink ref="T1669" r:id="rId6672" xr:uid="{00000000-0004-0000-0100-00000F1A0000}"/>
    <hyperlink ref="Q1670" r:id="rId6673" xr:uid="{00000000-0004-0000-0100-0000101A0000}"/>
    <hyperlink ref="R1670" r:id="rId6674" xr:uid="{00000000-0004-0000-0100-0000111A0000}"/>
    <hyperlink ref="S1670" r:id="rId6675" xr:uid="{00000000-0004-0000-0100-0000121A0000}"/>
    <hyperlink ref="T1670" r:id="rId6676" xr:uid="{00000000-0004-0000-0100-0000131A0000}"/>
    <hyperlink ref="Q1671" r:id="rId6677" xr:uid="{00000000-0004-0000-0100-0000141A0000}"/>
    <hyperlink ref="R1671" r:id="rId6678" xr:uid="{00000000-0004-0000-0100-0000151A0000}"/>
    <hyperlink ref="S1671" r:id="rId6679" xr:uid="{00000000-0004-0000-0100-0000161A0000}"/>
    <hyperlink ref="T1671" r:id="rId6680" xr:uid="{00000000-0004-0000-0100-0000171A0000}"/>
    <hyperlink ref="Q1672" r:id="rId6681" xr:uid="{00000000-0004-0000-0100-0000181A0000}"/>
    <hyperlink ref="R1672" r:id="rId6682" xr:uid="{00000000-0004-0000-0100-0000191A0000}"/>
    <hyperlink ref="S1672" r:id="rId6683" xr:uid="{00000000-0004-0000-0100-00001A1A0000}"/>
    <hyperlink ref="T1672" r:id="rId6684" xr:uid="{00000000-0004-0000-0100-00001B1A0000}"/>
    <hyperlink ref="Q1673" r:id="rId6685" xr:uid="{00000000-0004-0000-0100-00001C1A0000}"/>
    <hyperlink ref="R1673" r:id="rId6686" xr:uid="{00000000-0004-0000-0100-00001D1A0000}"/>
    <hyperlink ref="S1673" r:id="rId6687" xr:uid="{00000000-0004-0000-0100-00001E1A0000}"/>
    <hyperlink ref="T1673" r:id="rId6688" xr:uid="{00000000-0004-0000-0100-00001F1A0000}"/>
    <hyperlink ref="Q1674" r:id="rId6689" xr:uid="{00000000-0004-0000-0100-0000201A0000}"/>
    <hyperlink ref="R1674" r:id="rId6690" xr:uid="{00000000-0004-0000-0100-0000211A0000}"/>
    <hyperlink ref="S1674" r:id="rId6691" xr:uid="{00000000-0004-0000-0100-0000221A0000}"/>
    <hyperlink ref="T1674" r:id="rId6692" xr:uid="{00000000-0004-0000-0100-0000231A0000}"/>
    <hyperlink ref="Q1675" r:id="rId6693" xr:uid="{00000000-0004-0000-0100-0000241A0000}"/>
    <hyperlink ref="R1675" r:id="rId6694" xr:uid="{00000000-0004-0000-0100-0000251A0000}"/>
    <hyperlink ref="S1675" r:id="rId6695" xr:uid="{00000000-0004-0000-0100-0000261A0000}"/>
    <hyperlink ref="T1675" r:id="rId6696" xr:uid="{00000000-0004-0000-0100-0000271A0000}"/>
    <hyperlink ref="Q1676" r:id="rId6697" xr:uid="{00000000-0004-0000-0100-0000281A0000}"/>
    <hyperlink ref="R1676" r:id="rId6698" xr:uid="{00000000-0004-0000-0100-0000291A0000}"/>
    <hyperlink ref="S1676" r:id="rId6699" xr:uid="{00000000-0004-0000-0100-00002A1A0000}"/>
    <hyperlink ref="T1676" r:id="rId6700" xr:uid="{00000000-0004-0000-0100-00002B1A0000}"/>
    <hyperlink ref="Q1677" r:id="rId6701" xr:uid="{00000000-0004-0000-0100-00002C1A0000}"/>
    <hyperlink ref="R1677" r:id="rId6702" xr:uid="{00000000-0004-0000-0100-00002D1A0000}"/>
    <hyperlink ref="S1677" r:id="rId6703" xr:uid="{00000000-0004-0000-0100-00002E1A0000}"/>
    <hyperlink ref="T1677" r:id="rId6704" xr:uid="{00000000-0004-0000-0100-00002F1A0000}"/>
    <hyperlink ref="Q1678" r:id="rId6705" xr:uid="{00000000-0004-0000-0100-0000301A0000}"/>
    <hyperlink ref="R1678" r:id="rId6706" xr:uid="{00000000-0004-0000-0100-0000311A0000}"/>
    <hyperlink ref="S1678" r:id="rId6707" xr:uid="{00000000-0004-0000-0100-0000321A0000}"/>
    <hyperlink ref="T1678" r:id="rId6708" xr:uid="{00000000-0004-0000-0100-0000331A0000}"/>
    <hyperlink ref="Q1679" r:id="rId6709" xr:uid="{00000000-0004-0000-0100-0000341A0000}"/>
    <hyperlink ref="R1679" r:id="rId6710" xr:uid="{00000000-0004-0000-0100-0000351A0000}"/>
    <hyperlink ref="S1679" r:id="rId6711" xr:uid="{00000000-0004-0000-0100-0000361A0000}"/>
    <hyperlink ref="T1679" r:id="rId6712" xr:uid="{00000000-0004-0000-0100-0000371A0000}"/>
    <hyperlink ref="Q1680" r:id="rId6713" xr:uid="{00000000-0004-0000-0100-0000381A0000}"/>
    <hyperlink ref="R1680" r:id="rId6714" xr:uid="{00000000-0004-0000-0100-0000391A0000}"/>
    <hyperlink ref="S1680" r:id="rId6715" xr:uid="{00000000-0004-0000-0100-00003A1A0000}"/>
    <hyperlink ref="T1680" r:id="rId6716" xr:uid="{00000000-0004-0000-0100-00003B1A0000}"/>
    <hyperlink ref="Q1681" r:id="rId6717" xr:uid="{00000000-0004-0000-0100-00003C1A0000}"/>
    <hyperlink ref="R1681" r:id="rId6718" xr:uid="{00000000-0004-0000-0100-00003D1A0000}"/>
    <hyperlink ref="S1681" r:id="rId6719" xr:uid="{00000000-0004-0000-0100-00003E1A0000}"/>
    <hyperlink ref="T1681" r:id="rId6720" xr:uid="{00000000-0004-0000-0100-00003F1A0000}"/>
    <hyperlink ref="Q1682" r:id="rId6721" xr:uid="{00000000-0004-0000-0100-0000401A0000}"/>
    <hyperlink ref="R1682" r:id="rId6722" xr:uid="{00000000-0004-0000-0100-0000411A0000}"/>
    <hyperlink ref="S1682" r:id="rId6723" xr:uid="{00000000-0004-0000-0100-0000421A0000}"/>
    <hyperlink ref="T1682" r:id="rId6724" xr:uid="{00000000-0004-0000-0100-0000431A0000}"/>
    <hyperlink ref="Q1683" r:id="rId6725" xr:uid="{00000000-0004-0000-0100-0000441A0000}"/>
    <hyperlink ref="R1683" r:id="rId6726" xr:uid="{00000000-0004-0000-0100-0000451A0000}"/>
    <hyperlink ref="S1683" r:id="rId6727" xr:uid="{00000000-0004-0000-0100-0000461A0000}"/>
    <hyperlink ref="T1683" r:id="rId6728" xr:uid="{00000000-0004-0000-0100-0000471A0000}"/>
    <hyperlink ref="Q1684" r:id="rId6729" xr:uid="{00000000-0004-0000-0100-0000481A0000}"/>
    <hyperlink ref="R1684" r:id="rId6730" xr:uid="{00000000-0004-0000-0100-0000491A0000}"/>
    <hyperlink ref="S1684" r:id="rId6731" xr:uid="{00000000-0004-0000-0100-00004A1A0000}"/>
    <hyperlink ref="T1684" r:id="rId6732" xr:uid="{00000000-0004-0000-0100-00004B1A0000}"/>
    <hyperlink ref="Q1685" r:id="rId6733" xr:uid="{00000000-0004-0000-0100-00004C1A0000}"/>
    <hyperlink ref="R1685" r:id="rId6734" xr:uid="{00000000-0004-0000-0100-00004D1A0000}"/>
    <hyperlink ref="S1685" r:id="rId6735" xr:uid="{00000000-0004-0000-0100-00004E1A0000}"/>
    <hyperlink ref="T1685" r:id="rId6736" xr:uid="{00000000-0004-0000-0100-00004F1A0000}"/>
    <hyperlink ref="Q1686" r:id="rId6737" xr:uid="{00000000-0004-0000-0100-0000501A0000}"/>
    <hyperlink ref="R1686" r:id="rId6738" xr:uid="{00000000-0004-0000-0100-0000511A0000}"/>
    <hyperlink ref="S1686" r:id="rId6739" xr:uid="{00000000-0004-0000-0100-0000521A0000}"/>
    <hyperlink ref="T1686" r:id="rId6740" xr:uid="{00000000-0004-0000-0100-0000531A0000}"/>
    <hyperlink ref="Q1687" r:id="rId6741" xr:uid="{00000000-0004-0000-0100-0000541A0000}"/>
    <hyperlink ref="R1687" r:id="rId6742" xr:uid="{00000000-0004-0000-0100-0000551A0000}"/>
    <hyperlink ref="S1687" r:id="rId6743" xr:uid="{00000000-0004-0000-0100-0000561A0000}"/>
    <hyperlink ref="T1687" r:id="rId6744" xr:uid="{00000000-0004-0000-0100-0000571A0000}"/>
    <hyperlink ref="Q1688" r:id="rId6745" xr:uid="{00000000-0004-0000-0100-0000581A0000}"/>
    <hyperlink ref="R1688" r:id="rId6746" xr:uid="{00000000-0004-0000-0100-0000591A0000}"/>
    <hyperlink ref="S1688" r:id="rId6747" xr:uid="{00000000-0004-0000-0100-00005A1A0000}"/>
    <hyperlink ref="T1688" r:id="rId6748" xr:uid="{00000000-0004-0000-0100-00005B1A0000}"/>
    <hyperlink ref="Q1689" r:id="rId6749" xr:uid="{00000000-0004-0000-0100-00005C1A0000}"/>
    <hyperlink ref="R1689" r:id="rId6750" xr:uid="{00000000-0004-0000-0100-00005D1A0000}"/>
    <hyperlink ref="S1689" r:id="rId6751" xr:uid="{00000000-0004-0000-0100-00005E1A0000}"/>
    <hyperlink ref="T1689" r:id="rId6752" xr:uid="{00000000-0004-0000-0100-00005F1A0000}"/>
    <hyperlink ref="Q1690" r:id="rId6753" xr:uid="{00000000-0004-0000-0100-0000601A0000}"/>
    <hyperlink ref="R1690" r:id="rId6754" xr:uid="{00000000-0004-0000-0100-0000611A0000}"/>
    <hyperlink ref="S1690" r:id="rId6755" xr:uid="{00000000-0004-0000-0100-0000621A0000}"/>
    <hyperlink ref="T1690" r:id="rId6756" xr:uid="{00000000-0004-0000-0100-0000631A0000}"/>
    <hyperlink ref="Q1691" r:id="rId6757" xr:uid="{00000000-0004-0000-0100-0000641A0000}"/>
    <hyperlink ref="R1691" r:id="rId6758" xr:uid="{00000000-0004-0000-0100-0000651A0000}"/>
    <hyperlink ref="S1691" r:id="rId6759" xr:uid="{00000000-0004-0000-0100-0000661A0000}"/>
    <hyperlink ref="T1691" r:id="rId6760" xr:uid="{00000000-0004-0000-0100-0000671A0000}"/>
    <hyperlink ref="Q1692" r:id="rId6761" xr:uid="{00000000-0004-0000-0100-0000681A0000}"/>
    <hyperlink ref="R1692" r:id="rId6762" xr:uid="{00000000-0004-0000-0100-0000691A0000}"/>
    <hyperlink ref="S1692" r:id="rId6763" xr:uid="{00000000-0004-0000-0100-00006A1A0000}"/>
    <hyperlink ref="T1692" r:id="rId6764" xr:uid="{00000000-0004-0000-0100-00006B1A0000}"/>
    <hyperlink ref="Q1693" r:id="rId6765" xr:uid="{00000000-0004-0000-0100-00006C1A0000}"/>
    <hyperlink ref="R1693" r:id="rId6766" xr:uid="{00000000-0004-0000-0100-00006D1A0000}"/>
    <hyperlink ref="S1693" r:id="rId6767" xr:uid="{00000000-0004-0000-0100-00006E1A0000}"/>
    <hyperlink ref="T1693" r:id="rId6768" xr:uid="{00000000-0004-0000-0100-00006F1A0000}"/>
    <hyperlink ref="Q1694" r:id="rId6769" xr:uid="{00000000-0004-0000-0100-0000701A0000}"/>
    <hyperlink ref="R1694" r:id="rId6770" xr:uid="{00000000-0004-0000-0100-0000711A0000}"/>
    <hyperlink ref="S1694" r:id="rId6771" xr:uid="{00000000-0004-0000-0100-0000721A0000}"/>
    <hyperlink ref="T1694" r:id="rId6772" xr:uid="{00000000-0004-0000-0100-0000731A0000}"/>
    <hyperlink ref="Q1695" r:id="rId6773" xr:uid="{00000000-0004-0000-0100-0000741A0000}"/>
    <hyperlink ref="R1695" r:id="rId6774" xr:uid="{00000000-0004-0000-0100-0000751A0000}"/>
    <hyperlink ref="S1695" r:id="rId6775" xr:uid="{00000000-0004-0000-0100-0000761A0000}"/>
    <hyperlink ref="T1695" r:id="rId6776" xr:uid="{00000000-0004-0000-0100-0000771A0000}"/>
    <hyperlink ref="Q1696" r:id="rId6777" xr:uid="{00000000-0004-0000-0100-0000781A0000}"/>
    <hyperlink ref="R1696" r:id="rId6778" xr:uid="{00000000-0004-0000-0100-0000791A0000}"/>
    <hyperlink ref="S1696" r:id="rId6779" xr:uid="{00000000-0004-0000-0100-00007A1A0000}"/>
    <hyperlink ref="T1696" r:id="rId6780" xr:uid="{00000000-0004-0000-0100-00007B1A0000}"/>
    <hyperlink ref="Q1697" r:id="rId6781" xr:uid="{00000000-0004-0000-0100-00007C1A0000}"/>
    <hyperlink ref="R1697" r:id="rId6782" xr:uid="{00000000-0004-0000-0100-00007D1A0000}"/>
    <hyperlink ref="S1697" r:id="rId6783" xr:uid="{00000000-0004-0000-0100-00007E1A0000}"/>
    <hyperlink ref="T1697" r:id="rId6784" xr:uid="{00000000-0004-0000-0100-00007F1A0000}"/>
    <hyperlink ref="Q1698" r:id="rId6785" xr:uid="{00000000-0004-0000-0100-0000801A0000}"/>
    <hyperlink ref="R1698" r:id="rId6786" xr:uid="{00000000-0004-0000-0100-0000811A0000}"/>
    <hyperlink ref="S1698" r:id="rId6787" xr:uid="{00000000-0004-0000-0100-0000821A0000}"/>
    <hyperlink ref="T1698" r:id="rId6788" xr:uid="{00000000-0004-0000-0100-0000831A0000}"/>
    <hyperlink ref="Q1699" r:id="rId6789" xr:uid="{00000000-0004-0000-0100-0000841A0000}"/>
    <hyperlink ref="R1699" r:id="rId6790" xr:uid="{00000000-0004-0000-0100-0000851A0000}"/>
    <hyperlink ref="S1699" r:id="rId6791" xr:uid="{00000000-0004-0000-0100-0000861A0000}"/>
    <hyperlink ref="T1699" r:id="rId6792" xr:uid="{00000000-0004-0000-0100-0000871A0000}"/>
    <hyperlink ref="Q1700" r:id="rId6793" xr:uid="{00000000-0004-0000-0100-0000881A0000}"/>
    <hyperlink ref="R1700" r:id="rId6794" xr:uid="{00000000-0004-0000-0100-0000891A0000}"/>
    <hyperlink ref="S1700" r:id="rId6795" xr:uid="{00000000-0004-0000-0100-00008A1A0000}"/>
    <hyperlink ref="T1700" r:id="rId6796" xr:uid="{00000000-0004-0000-0100-00008B1A0000}"/>
    <hyperlink ref="Q1701" r:id="rId6797" xr:uid="{00000000-0004-0000-0100-00008C1A0000}"/>
    <hyperlink ref="R1701" r:id="rId6798" xr:uid="{00000000-0004-0000-0100-00008D1A0000}"/>
    <hyperlink ref="S1701" r:id="rId6799" xr:uid="{00000000-0004-0000-0100-00008E1A0000}"/>
    <hyperlink ref="T1701" r:id="rId6800" xr:uid="{00000000-0004-0000-0100-00008F1A0000}"/>
    <hyperlink ref="Q1702" r:id="rId6801" xr:uid="{00000000-0004-0000-0100-0000901A0000}"/>
    <hyperlink ref="R1702" r:id="rId6802" xr:uid="{00000000-0004-0000-0100-0000911A0000}"/>
    <hyperlink ref="S1702" r:id="rId6803" xr:uid="{00000000-0004-0000-0100-0000921A0000}"/>
    <hyperlink ref="T1702" r:id="rId6804" xr:uid="{00000000-0004-0000-0100-0000931A0000}"/>
    <hyperlink ref="Q1703" r:id="rId6805" xr:uid="{00000000-0004-0000-0100-0000941A0000}"/>
    <hyperlink ref="R1703" r:id="rId6806" xr:uid="{00000000-0004-0000-0100-0000951A0000}"/>
    <hyperlink ref="S1703" r:id="rId6807" xr:uid="{00000000-0004-0000-0100-0000961A0000}"/>
    <hyperlink ref="T1703" r:id="rId6808" xr:uid="{00000000-0004-0000-0100-0000971A0000}"/>
    <hyperlink ref="Q1704" r:id="rId6809" xr:uid="{00000000-0004-0000-0100-0000981A0000}"/>
    <hyperlink ref="R1704" r:id="rId6810" xr:uid="{00000000-0004-0000-0100-0000991A0000}"/>
    <hyperlink ref="S1704" r:id="rId6811" xr:uid="{00000000-0004-0000-0100-00009A1A0000}"/>
    <hyperlink ref="T1704" r:id="rId6812" xr:uid="{00000000-0004-0000-0100-00009B1A0000}"/>
    <hyperlink ref="Q1705" r:id="rId6813" xr:uid="{00000000-0004-0000-0100-00009C1A0000}"/>
    <hyperlink ref="R1705" r:id="rId6814" xr:uid="{00000000-0004-0000-0100-00009D1A0000}"/>
    <hyperlink ref="S1705" r:id="rId6815" xr:uid="{00000000-0004-0000-0100-00009E1A0000}"/>
    <hyperlink ref="T1705" r:id="rId6816" xr:uid="{00000000-0004-0000-0100-00009F1A0000}"/>
    <hyperlink ref="Q1706" r:id="rId6817" xr:uid="{00000000-0004-0000-0100-0000A01A0000}"/>
    <hyperlink ref="R1706" r:id="rId6818" xr:uid="{00000000-0004-0000-0100-0000A11A0000}"/>
    <hyperlink ref="S1706" r:id="rId6819" xr:uid="{00000000-0004-0000-0100-0000A21A0000}"/>
    <hyperlink ref="T1706" r:id="rId6820" xr:uid="{00000000-0004-0000-0100-0000A31A0000}"/>
    <hyperlink ref="Q1707" r:id="rId6821" xr:uid="{00000000-0004-0000-0100-0000A41A0000}"/>
    <hyperlink ref="R1707" r:id="rId6822" xr:uid="{00000000-0004-0000-0100-0000A51A0000}"/>
    <hyperlink ref="S1707" r:id="rId6823" xr:uid="{00000000-0004-0000-0100-0000A61A0000}"/>
    <hyperlink ref="T1707" r:id="rId6824" xr:uid="{00000000-0004-0000-0100-0000A71A0000}"/>
    <hyperlink ref="Q1708" r:id="rId6825" xr:uid="{00000000-0004-0000-0100-0000A81A0000}"/>
    <hyperlink ref="R1708" r:id="rId6826" xr:uid="{00000000-0004-0000-0100-0000A91A0000}"/>
    <hyperlink ref="S1708" r:id="rId6827" xr:uid="{00000000-0004-0000-0100-0000AA1A0000}"/>
    <hyperlink ref="T1708" r:id="rId6828" xr:uid="{00000000-0004-0000-0100-0000AB1A0000}"/>
    <hyperlink ref="Q1709" r:id="rId6829" xr:uid="{00000000-0004-0000-0100-0000AC1A0000}"/>
    <hyperlink ref="R1709" r:id="rId6830" xr:uid="{00000000-0004-0000-0100-0000AD1A0000}"/>
    <hyperlink ref="S1709" r:id="rId6831" xr:uid="{00000000-0004-0000-0100-0000AE1A0000}"/>
    <hyperlink ref="T1709" r:id="rId6832" xr:uid="{00000000-0004-0000-0100-0000AF1A0000}"/>
    <hyperlink ref="Q1710" r:id="rId6833" xr:uid="{00000000-0004-0000-0100-0000B01A0000}"/>
    <hyperlink ref="R1710" r:id="rId6834" xr:uid="{00000000-0004-0000-0100-0000B11A0000}"/>
    <hyperlink ref="S1710" r:id="rId6835" xr:uid="{00000000-0004-0000-0100-0000B21A0000}"/>
    <hyperlink ref="T1710" r:id="rId6836" xr:uid="{00000000-0004-0000-0100-0000B31A0000}"/>
    <hyperlink ref="Q1711" r:id="rId6837" xr:uid="{00000000-0004-0000-0100-0000B41A0000}"/>
    <hyperlink ref="R1711" r:id="rId6838" xr:uid="{00000000-0004-0000-0100-0000B51A0000}"/>
    <hyperlink ref="S1711" r:id="rId6839" xr:uid="{00000000-0004-0000-0100-0000B61A0000}"/>
    <hyperlink ref="T1711" r:id="rId6840" xr:uid="{00000000-0004-0000-0100-0000B71A0000}"/>
    <hyperlink ref="Q1712" r:id="rId6841" xr:uid="{00000000-0004-0000-0100-0000B81A0000}"/>
    <hyperlink ref="R1712" r:id="rId6842" xr:uid="{00000000-0004-0000-0100-0000B91A0000}"/>
    <hyperlink ref="S1712" r:id="rId6843" xr:uid="{00000000-0004-0000-0100-0000BA1A0000}"/>
    <hyperlink ref="T1712" r:id="rId6844" xr:uid="{00000000-0004-0000-0100-0000BB1A0000}"/>
    <hyperlink ref="Q1713" r:id="rId6845" xr:uid="{00000000-0004-0000-0100-0000BC1A0000}"/>
    <hyperlink ref="R1713" r:id="rId6846" xr:uid="{00000000-0004-0000-0100-0000BD1A0000}"/>
    <hyperlink ref="S1713" r:id="rId6847" xr:uid="{00000000-0004-0000-0100-0000BE1A0000}"/>
    <hyperlink ref="T1713" r:id="rId6848" xr:uid="{00000000-0004-0000-0100-0000BF1A0000}"/>
  </hyperlinks>
  <pageMargins left="0.75" right="0.75" top="1" bottom="1" header="0.511811023622047" footer="0.511811023622047"/>
  <pageSetup paperSize="9" orientation="portrait" horizontalDpi="300" verticalDpi="300"/>
  <tableParts count="1">
    <tablePart r:id="rId68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6"/>
  <dimension ref="A1:E24"/>
  <sheetViews>
    <sheetView zoomScaleNormal="100" workbookViewId="0">
      <selection activeCell="P7" sqref="P7"/>
    </sheetView>
  </sheetViews>
  <sheetFormatPr defaultColWidth="8.7109375" defaultRowHeight="15" customHeight="1" x14ac:dyDescent="0.25"/>
  <cols>
    <col min="1" max="1" width="6" customWidth="1"/>
    <col min="2" max="2" width="12" customWidth="1"/>
    <col min="4" max="4" width="14" customWidth="1"/>
    <col min="8" max="8" width="28" customWidth="1"/>
    <col min="9" max="9" width="14" customWidth="1"/>
    <col min="10" max="10" width="22" customWidth="1"/>
    <col min="11" max="11" width="14" customWidth="1"/>
    <col min="12" max="12" width="16" customWidth="1"/>
    <col min="13" max="13" width="14" customWidth="1"/>
    <col min="30" max="30" width="10" customWidth="1"/>
    <col min="33" max="33" width="18" customWidth="1"/>
    <col min="34" max="34" width="35" customWidth="1"/>
  </cols>
  <sheetData>
    <row r="1" spans="1:5" ht="15" customHeight="1" x14ac:dyDescent="0.25">
      <c r="A1" t="s">
        <v>0</v>
      </c>
    </row>
    <row r="3" spans="1:5" ht="15" customHeight="1" x14ac:dyDescent="0.25">
      <c r="A3" t="s">
        <v>10019</v>
      </c>
      <c r="B3">
        <v>1</v>
      </c>
    </row>
    <row r="5" spans="1:5" ht="15" customHeight="1" x14ac:dyDescent="0.25">
      <c r="A5" t="s">
        <v>29</v>
      </c>
      <c r="B5" s="40" t="str">
        <f>IFERROR(INDEX(COSHH!B:B,MATCH($B$3,COSHH!$A:$A,0)),"")</f>
        <v/>
      </c>
      <c r="D5" t="s">
        <v>10020</v>
      </c>
      <c r="E5" t="str">
        <f>IFERROR(INDEX(COSHH!C:C,MATCH($B$3,COSHH!$A:$A,0)),"")</f>
        <v/>
      </c>
    </row>
    <row r="6" spans="1:5" ht="15" customHeight="1" x14ac:dyDescent="0.25">
      <c r="A6" t="s">
        <v>31</v>
      </c>
      <c r="B6" s="40" t="str">
        <f>IFERROR(INDEX(COSHH!D:D,MATCH($B$3,COSHH!$A:$A,0)),"")</f>
        <v/>
      </c>
      <c r="D6" t="s">
        <v>24</v>
      </c>
      <c r="E6" t="str">
        <f>IFERROR(INDEX(COSHH!E:E,MATCH($B$3,COSHH!$A:$A,0)),"")</f>
        <v/>
      </c>
    </row>
    <row r="7" spans="1:5" ht="15" customHeight="1" x14ac:dyDescent="0.25">
      <c r="A7" t="s">
        <v>7</v>
      </c>
      <c r="B7" t="str">
        <f>IFERROR(INDEX(COSHH!F:F,MATCH($B$3,COSHH!$A:$A,0)),"")</f>
        <v/>
      </c>
      <c r="D7" t="s">
        <v>27</v>
      </c>
      <c r="E7" t="str">
        <f>IFERROR(INDEX(COSHH!G:G,MATCH($B$3,COSHH!$A:$A,0)),"")</f>
        <v/>
      </c>
    </row>
    <row r="8" spans="1:5" ht="15" customHeight="1" x14ac:dyDescent="0.25">
      <c r="A8" t="s">
        <v>3</v>
      </c>
      <c r="B8" t="str">
        <f>IFERROR(INDEX(COSHH!H:H,MATCH($B$3,COSHH!$A:$A,0)),"")</f>
        <v/>
      </c>
      <c r="D8" t="s">
        <v>6</v>
      </c>
      <c r="E8" t="str">
        <f>IFERROR(INDEX(COSHH!I:I,MATCH($B$3,COSHH!$A:$A,0)),"")</f>
        <v/>
      </c>
    </row>
    <row r="9" spans="1:5" ht="15" customHeight="1" x14ac:dyDescent="0.25">
      <c r="A9" t="s">
        <v>32</v>
      </c>
      <c r="B9" t="str">
        <f>IFERROR(INDEX(COSHH!J:J,MATCH($B$3,COSHH!$A:$A,0)),"")</f>
        <v/>
      </c>
      <c r="D9" t="s">
        <v>10</v>
      </c>
      <c r="E9" t="str">
        <f>IFERROR(INDEX(COSHH!K:K,MATCH($B$3,COSHH!$A:$A,0)),"")</f>
        <v/>
      </c>
    </row>
    <row r="10" spans="1:5" ht="15" customHeight="1" x14ac:dyDescent="0.25">
      <c r="A10" t="s">
        <v>12</v>
      </c>
      <c r="B10" t="str">
        <f>IFERROR(INDEX(COSHH!L:L,MATCH($B$3,COSHH!$A:$A,0)),"")</f>
        <v/>
      </c>
      <c r="D10" t="s">
        <v>14</v>
      </c>
      <c r="E10" t="str">
        <f>IFERROR(INDEX(COSHH!M:M,MATCH($B$3,COSHH!$A:$A,0)),"")</f>
        <v/>
      </c>
    </row>
    <row r="11" spans="1:5" ht="15" customHeight="1" x14ac:dyDescent="0.25">
      <c r="A11" t="s">
        <v>16</v>
      </c>
      <c r="B11" t="str">
        <f>IFERROR(INDEX(COSHH!N:N,MATCH($B$3,COSHH!$A:$A,0)),"")</f>
        <v/>
      </c>
      <c r="D11" t="s">
        <v>13</v>
      </c>
    </row>
    <row r="12" spans="1:5" ht="15" customHeight="1" x14ac:dyDescent="0.25">
      <c r="A12" t="s">
        <v>11</v>
      </c>
      <c r="B12" t="str">
        <f>IFERROR(INDEX(COSHH!P:P,MATCH($B$3,COSHH!$A:$A,0)),"")</f>
        <v/>
      </c>
      <c r="D12" t="s">
        <v>33</v>
      </c>
      <c r="E12" t="str">
        <f>IFERROR(INDEX(COSHH!Q:Q,MATCH($B$3,COSHH!$A:$A,0)),"")</f>
        <v/>
      </c>
    </row>
    <row r="13" spans="1:5" ht="15" customHeight="1" x14ac:dyDescent="0.25">
      <c r="A13" t="s">
        <v>19</v>
      </c>
      <c r="B13" t="str">
        <f>IFERROR(INDEX(COSHH!R:R,MATCH($B$3,COSHH!$A:$A,0)),"")</f>
        <v/>
      </c>
      <c r="D13" t="s">
        <v>15</v>
      </c>
      <c r="E13" t="str">
        <f>IFERROR(INDEX(COSHH!S:S,MATCH($B$3,COSHH!$A:$A,0)),"")</f>
        <v/>
      </c>
    </row>
    <row r="14" spans="1:5" ht="15" customHeight="1" x14ac:dyDescent="0.25">
      <c r="A14" t="s">
        <v>17</v>
      </c>
      <c r="B14" t="str">
        <f>IFERROR(INDEX(COSHH!T:T,MATCH($B$3,COSHH!$A:$A,0)),"")</f>
        <v/>
      </c>
      <c r="D14" t="s">
        <v>21</v>
      </c>
      <c r="E14" t="str">
        <f>IFERROR(INDEX(COSHH!U:U,MATCH($B$3,COSHH!$A:$A,0)),"")</f>
        <v/>
      </c>
    </row>
    <row r="15" spans="1:5" ht="15" customHeight="1" x14ac:dyDescent="0.25">
      <c r="A15" t="s">
        <v>35</v>
      </c>
      <c r="B15" t="str">
        <f>IFERROR(INDEX(COSHH!V:V,MATCH($B$3,COSHH!$A:$A,0)),"")</f>
        <v/>
      </c>
      <c r="D15" t="s">
        <v>36</v>
      </c>
      <c r="E15" t="str">
        <f>IFERROR(INDEX(COSHH!W:W,MATCH($B$3,COSHH!$A:$A,0)),"")</f>
        <v/>
      </c>
    </row>
    <row r="16" spans="1:5" ht="15" customHeight="1" x14ac:dyDescent="0.25">
      <c r="A16" t="s">
        <v>37</v>
      </c>
      <c r="B16" t="str">
        <f>IFERROR(INDEX(COSHH!X:X,MATCH($B$3,COSHH!$A:$A,0)),"")</f>
        <v/>
      </c>
      <c r="D16" t="s">
        <v>23</v>
      </c>
      <c r="E16" t="str">
        <f>IFERROR(INDEX(COSHH!Y:Y,MATCH($B$3,COSHH!$A:$A,0)),"")</f>
        <v/>
      </c>
    </row>
    <row r="17" spans="1:5" ht="15" customHeight="1" x14ac:dyDescent="0.25">
      <c r="A17" t="s">
        <v>26</v>
      </c>
      <c r="B17" t="str">
        <f>IFERROR(INDEX(COSHH!Z:Z,MATCH($B$3,COSHH!$A:$A,0)),"")</f>
        <v/>
      </c>
      <c r="D17" t="s">
        <v>38</v>
      </c>
      <c r="E17" t="str">
        <f>IFERROR(INDEX(COSHH!AA:AA,MATCH($B$3,COSHH!$A:$A,0)),"")</f>
        <v/>
      </c>
    </row>
    <row r="18" spans="1:5" ht="15" customHeight="1" x14ac:dyDescent="0.25">
      <c r="A18" t="s">
        <v>39</v>
      </c>
      <c r="B18" t="str">
        <f>IFERROR(INDEX(COSHH!AB:AB,MATCH($B$3,COSHH!$A:$A,0)),"")</f>
        <v/>
      </c>
      <c r="D18" t="s">
        <v>40</v>
      </c>
      <c r="E18" t="str">
        <f>IFERROR(INDEX(COSHH!AC:AC,MATCH($B$3,COSHH!$A:$A,0)),"")</f>
        <v/>
      </c>
    </row>
    <row r="19" spans="1:5" ht="15" customHeight="1" x14ac:dyDescent="0.25">
      <c r="A19" t="s">
        <v>41</v>
      </c>
      <c r="B19" t="str">
        <f>IFERROR(INDEX(COSHH!AD:AD,MATCH($B$3,COSHH!$A:$A,0)),"")</f>
        <v/>
      </c>
      <c r="D19" t="s">
        <v>42</v>
      </c>
      <c r="E19" t="str">
        <f>IFERROR(INDEX(COSHH!AE:AE,MATCH($B$3,COSHH!$A:$A,0)),"")</f>
        <v/>
      </c>
    </row>
    <row r="20" spans="1:5" ht="15" customHeight="1" x14ac:dyDescent="0.25">
      <c r="A20" t="s">
        <v>43</v>
      </c>
      <c r="B20" t="str">
        <f>IFERROR(INDEX(COSHH!AF:AF,MATCH($B$3,COSHH!$A:$A,0)),"")</f>
        <v/>
      </c>
    </row>
    <row r="22" spans="1:5" ht="15" customHeight="1" x14ac:dyDescent="0.25">
      <c r="A22" t="s">
        <v>10021</v>
      </c>
    </row>
    <row r="24" spans="1:5" ht="15" customHeight="1" x14ac:dyDescent="0.25">
      <c r="A24" t="s">
        <v>10022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7"/>
  <dimension ref="C5:C7"/>
  <sheetViews>
    <sheetView workbookViewId="0">
      <selection activeCell="D14" sqref="D14"/>
    </sheetView>
  </sheetViews>
  <sheetFormatPr defaultRowHeight="15" x14ac:dyDescent="0.25"/>
  <cols>
    <col min="3" max="3" width="20.85546875" bestFit="1" customWidth="1"/>
  </cols>
  <sheetData>
    <row r="5" spans="3:3" x14ac:dyDescent="0.25">
      <c r="C5" s="43" t="s">
        <v>10023</v>
      </c>
    </row>
    <row r="6" spans="3:3" x14ac:dyDescent="0.25">
      <c r="C6" s="43" t="s">
        <v>10024</v>
      </c>
    </row>
    <row r="7" spans="3:3" x14ac:dyDescent="0.25">
      <c r="C7" s="43" t="s">
        <v>10025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COSHH</vt:lpstr>
      <vt:lpstr>DB</vt:lpstr>
      <vt:lpstr>FORM</vt:lpstr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İsmail Kaya</dc:creator>
  <cp:lastModifiedBy>İsmail Kaya</cp:lastModifiedBy>
  <cp:revision>0</cp:revision>
  <dcterms:created xsi:type="dcterms:W3CDTF">2026-04-08T11:47:41Z</dcterms:created>
  <dcterms:modified xsi:type="dcterms:W3CDTF">2026-05-02T20:05:34Z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ActionId">
    <vt:lpwstr>29f7ff61-904d-4148-a8b9-817ff4cd9d38</vt:lpwstr>
  </property>
  <property fmtid="{D5CDD505-2E9C-101B-9397-08002B2CF9AE}" pid="3" name="MSIP_Label_defa4170-0d19-0005-0004-bc88714345d2_ContentBits">
    <vt:lpwstr>0</vt:lpwstr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etDate">
    <vt:lpwstr>2026-04-09T07:17:27Z</vt:lpwstr>
  </property>
  <property fmtid="{D5CDD505-2E9C-101B-9397-08002B2CF9AE}" pid="8" name="MSIP_Label_defa4170-0d19-0005-0004-bc88714345d2_SiteId">
    <vt:lpwstr>de2c44c1-f4a3-4d7d-8fdc-f9416e3edf9c</vt:lpwstr>
  </property>
  <property fmtid="{D5CDD505-2E9C-101B-9397-08002B2CF9AE}" pid="9" name="MSIP_Label_defa4170-0d19-0005-0004-bc88714345d2_Tag">
    <vt:lpwstr>10, 3, 0, 1</vt:lpwstr>
  </property>
</Properties>
</file>